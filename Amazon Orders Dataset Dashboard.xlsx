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166925"/>
  <mc:AlternateContent xmlns:mc="http://schemas.openxmlformats.org/markup-compatibility/2006">
    <mc:Choice Requires="x15">
      <x15ac:absPath xmlns:x15ac="http://schemas.microsoft.com/office/spreadsheetml/2010/11/ac" url="/Users/gaurisitaramangane/Downloads/"/>
    </mc:Choice>
  </mc:AlternateContent>
  <xr:revisionPtr revIDLastSave="0" documentId="13_ncr:1_{BD2A12F6-60A8-A143-9707-392432F8F88D}" xr6:coauthVersionLast="47" xr6:coauthVersionMax="47" xr10:uidLastSave="{00000000-0000-0000-0000-000000000000}"/>
  <bookViews>
    <workbookView xWindow="0" yWindow="740" windowWidth="29400" windowHeight="16880" tabRatio="724" xr2:uid="{487FA931-B3B5-4C48-8AB8-DA281E2DAD9F}"/>
  </bookViews>
  <sheets>
    <sheet name="Orders Main data" sheetId="1" r:id="rId1"/>
    <sheet name="Customers" sheetId="4" r:id="rId2"/>
    <sheet name="Sales Targets" sheetId="3" r:id="rId3"/>
    <sheet name="Data dictionary" sheetId="9" r:id="rId4"/>
    <sheet name="Home work" sheetId="6" r:id="rId5"/>
    <sheet name="Pivot table" sheetId="7" r:id="rId6"/>
    <sheet name="Dashboard" sheetId="8" r:id="rId7"/>
  </sheets>
  <definedNames>
    <definedName name="_xlnm._FilterDatabase" localSheetId="1" hidden="1">Customers!$A$1:$E$2501</definedName>
    <definedName name="_xlnm._FilterDatabase" localSheetId="0" hidden="1">'Orders Main data'!$A$1:$Q$2501</definedName>
    <definedName name="_xlnm._FilterDatabase" localSheetId="2" hidden="1">'Sales Targets'!$A$1:$E$93</definedName>
    <definedName name="_xlchart.v1.0" hidden="1">'Orders Main data'!$G$1</definedName>
    <definedName name="_xlchart.v1.1" hidden="1">'Orders Main data'!$G$2:$G$2501</definedName>
    <definedName name="Slicer_Category">#N/A</definedName>
    <definedName name="Slicer_Sales_manager">#N/A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2" i="6" l="1"/>
  <c r="P12" i="6"/>
  <c r="J12" i="6"/>
  <c r="C30" i="6"/>
  <c r="C29" i="6"/>
  <c r="C28" i="6"/>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2" i="3"/>
  <c r="P2" i="3"/>
  <c r="Q2" i="3"/>
  <c r="R2" i="3"/>
  <c r="S2" i="3"/>
  <c r="O2" i="3"/>
  <c r="C35" i="6" l="1"/>
  <c r="C32" i="6"/>
  <c r="C34" i="6" s="1"/>
</calcChain>
</file>

<file path=xl/sharedStrings.xml><?xml version="1.0" encoding="utf-8"?>
<sst xmlns="http://schemas.openxmlformats.org/spreadsheetml/2006/main" count="30596" uniqueCount="311">
  <si>
    <t>Order Datetime</t>
  </si>
  <si>
    <t>Order Value</t>
  </si>
  <si>
    <t>Customer ID</t>
  </si>
  <si>
    <t>Sales POC</t>
  </si>
  <si>
    <t>Kwai Yu</t>
  </si>
  <si>
    <t>Paul Henriot</t>
  </si>
  <si>
    <t>Daniel Da Cunha</t>
  </si>
  <si>
    <t>Julie Young</t>
  </si>
  <si>
    <t>Julie Brown</t>
  </si>
  <si>
    <t>Juri Hirano</t>
  </si>
  <si>
    <t>Martine Rance</t>
  </si>
  <si>
    <t>Veysel Oeztan</t>
  </si>
  <si>
    <t>Julie Murphy</t>
  </si>
  <si>
    <t>Dominique Perrier</t>
  </si>
  <si>
    <t>Peter Ferguson</t>
  </si>
  <si>
    <t>Michael Frick</t>
  </si>
  <si>
    <t>William Brown</t>
  </si>
  <si>
    <t>Julie King</t>
  </si>
  <si>
    <t>Janine Labrune</t>
  </si>
  <si>
    <t>Marta Hernandez</t>
  </si>
  <si>
    <t>Matti Karttunen</t>
  </si>
  <si>
    <t>Jonas Bergulfsen</t>
  </si>
  <si>
    <t>Kyung Yu</t>
  </si>
  <si>
    <t>Georg Pipps</t>
  </si>
  <si>
    <t>Adrian Huxley</t>
  </si>
  <si>
    <t>Violeta Benitez</t>
  </si>
  <si>
    <t>Elizabeth Devon</t>
  </si>
  <si>
    <t>Diego Freyre</t>
  </si>
  <si>
    <t>Christina Berglund</t>
  </si>
  <si>
    <t>Mart¡n Sommer</t>
  </si>
  <si>
    <t>Eric Natividad</t>
  </si>
  <si>
    <t>Maria Hernandez</t>
  </si>
  <si>
    <t>Tony Calaghan</t>
  </si>
  <si>
    <t>Francisca Cervantes</t>
  </si>
  <si>
    <t>Mary Saveley</t>
  </si>
  <si>
    <t>Yoshi Tannamuri</t>
  </si>
  <si>
    <t>Steve Thompson</t>
  </si>
  <si>
    <t>Kyung Tseng</t>
  </si>
  <si>
    <t>Leslie Murphy</t>
  </si>
  <si>
    <t>Akiko Shimamura</t>
  </si>
  <si>
    <t>Paolo Accorti</t>
  </si>
  <si>
    <t>Maria Larsson</t>
  </si>
  <si>
    <t>Daniel Tonini</t>
  </si>
  <si>
    <t>Valarie Nelson</t>
  </si>
  <si>
    <t>Valarie Young</t>
  </si>
  <si>
    <t>Allen Nelson</t>
  </si>
  <si>
    <t>Anna O'Hara</t>
  </si>
  <si>
    <t>Jean Fresnisre</t>
  </si>
  <si>
    <t>Mory Kentary</t>
  </si>
  <si>
    <t>Rosa Hernandez</t>
  </si>
  <si>
    <t>Carine Schmitt</t>
  </si>
  <si>
    <t>Steve Frick</t>
  </si>
  <si>
    <t>Jytte Petersen</t>
  </si>
  <si>
    <t>Ann Brown</t>
  </si>
  <si>
    <t>Wing C Tam</t>
  </si>
  <si>
    <t>Annette Roulet</t>
  </si>
  <si>
    <t>Thomas Hardy</t>
  </si>
  <si>
    <t>Eduardo Saavedra</t>
  </si>
  <si>
    <t>Michael Chandler</t>
  </si>
  <si>
    <t>Valarie Thompson</t>
  </si>
  <si>
    <t>Catherine Dewey</t>
  </si>
  <si>
    <t>Elizabeth Lincoln</t>
  </si>
  <si>
    <t>Juri Yoshido</t>
  </si>
  <si>
    <t>Helen Bennett</t>
  </si>
  <si>
    <t>Pirkko Koskitalo</t>
  </si>
  <si>
    <t>Sue Frick</t>
  </si>
  <si>
    <t>Marie Bertrand</t>
  </si>
  <si>
    <t>Roland Mendel</t>
  </si>
  <si>
    <t>Valarie Franco</t>
  </si>
  <si>
    <t>Wendy Victorino</t>
  </si>
  <si>
    <t>Arnold Cruz</t>
  </si>
  <si>
    <t>Laurence Lebihan</t>
  </si>
  <si>
    <t>Henriette Pfalzheim</t>
  </si>
  <si>
    <t>Michael Holz</t>
  </si>
  <si>
    <t>Maurizio Moroni</t>
  </si>
  <si>
    <t>Miguel Barajas</t>
  </si>
  <si>
    <t>Roland Keitel</t>
  </si>
  <si>
    <t>Kalle Suominen</t>
  </si>
  <si>
    <t>Jeff Young</t>
  </si>
  <si>
    <t>Dean Cassidy</t>
  </si>
  <si>
    <t>Jesus Fernandez</t>
  </si>
  <si>
    <t>Victoria Ashworth</t>
  </si>
  <si>
    <t>Palle Ibsen</t>
  </si>
  <si>
    <t>Kee Kuo</t>
  </si>
  <si>
    <t>Leslie Young</t>
  </si>
  <si>
    <t>Jose Pedro Roel</t>
  </si>
  <si>
    <t>Sue Taylor</t>
  </si>
  <si>
    <t>Frederique Citeaux</t>
  </si>
  <si>
    <t>Sue King</t>
  </si>
  <si>
    <t>Jan Klaeboe</t>
  </si>
  <si>
    <t>Giovanni Rovelli</t>
  </si>
  <si>
    <t>Sean Connery</t>
  </si>
  <si>
    <t>Dan Lewis</t>
  </si>
  <si>
    <t>Michael Donnermeyer</t>
  </si>
  <si>
    <t>Pascale Cartrain</t>
  </si>
  <si>
    <t>Leslie Taylor</t>
  </si>
  <si>
    <t>Other</t>
  </si>
  <si>
    <t>App</t>
  </si>
  <si>
    <t>Website</t>
  </si>
  <si>
    <t>USA</t>
  </si>
  <si>
    <t>France</t>
  </si>
  <si>
    <t>Australia</t>
  </si>
  <si>
    <t>Finland</t>
  </si>
  <si>
    <t>Norway</t>
  </si>
  <si>
    <t>Austria</t>
  </si>
  <si>
    <t>Spain</t>
  </si>
  <si>
    <t>Singapore</t>
  </si>
  <si>
    <t>Italy</t>
  </si>
  <si>
    <t>Denmark</t>
  </si>
  <si>
    <t>Germany</t>
  </si>
  <si>
    <t>Switzerland</t>
  </si>
  <si>
    <t>Ireland</t>
  </si>
  <si>
    <t>Order Source</t>
  </si>
  <si>
    <t>India</t>
  </si>
  <si>
    <t>Customer Country</t>
  </si>
  <si>
    <t>Amelia</t>
  </si>
  <si>
    <t>Lukas</t>
  </si>
  <si>
    <t>Olivia</t>
  </si>
  <si>
    <t>Sofia</t>
  </si>
  <si>
    <t>Chloe</t>
  </si>
  <si>
    <t>Alexander</t>
  </si>
  <si>
    <t>Liam</t>
  </si>
  <si>
    <t>Sophia</t>
  </si>
  <si>
    <t>Emma</t>
  </si>
  <si>
    <t>Ethan</t>
  </si>
  <si>
    <t>Isabella</t>
  </si>
  <si>
    <t>Noah</t>
  </si>
  <si>
    <t>Ava</t>
  </si>
  <si>
    <t>Dev</t>
  </si>
  <si>
    <t>Mia</t>
  </si>
  <si>
    <t>William</t>
  </si>
  <si>
    <t>Sophie</t>
  </si>
  <si>
    <t>Lucas</t>
  </si>
  <si>
    <t>Aino</t>
  </si>
  <si>
    <t>Emily</t>
  </si>
  <si>
    <t>Benjamin</t>
  </si>
  <si>
    <t>Marco</t>
  </si>
  <si>
    <t>Daniela</t>
  </si>
  <si>
    <t>Charlotte</t>
  </si>
  <si>
    <t>Priya</t>
  </si>
  <si>
    <t>Oliver</t>
  </si>
  <si>
    <t>Sales Team</t>
  </si>
  <si>
    <t>Alpha</t>
  </si>
  <si>
    <t>Beta</t>
  </si>
  <si>
    <t>Gamma</t>
  </si>
  <si>
    <t>Delta</t>
  </si>
  <si>
    <t>Epsilon</t>
  </si>
  <si>
    <t>2023 Sales Target</t>
  </si>
  <si>
    <t>Order ID</t>
  </si>
  <si>
    <t>Gender</t>
  </si>
  <si>
    <t>Age</t>
  </si>
  <si>
    <t>M</t>
  </si>
  <si>
    <t>F</t>
  </si>
  <si>
    <t>Category</t>
  </si>
  <si>
    <t>A</t>
  </si>
  <si>
    <t>B</t>
  </si>
  <si>
    <t>C</t>
  </si>
  <si>
    <t>D</t>
  </si>
  <si>
    <t>E</t>
  </si>
  <si>
    <t>Sales Manager First Name</t>
  </si>
  <si>
    <t>Sales Manager Last Name</t>
  </si>
  <si>
    <t>Johnson</t>
  </si>
  <si>
    <t>Schmidt</t>
  </si>
  <si>
    <t>Jensen</t>
  </si>
  <si>
    <t>Laine</t>
  </si>
  <si>
    <t>Dupont</t>
  </si>
  <si>
    <t>Müller</t>
  </si>
  <si>
    <t>O'Sullivan</t>
  </si>
  <si>
    <t>Rossi</t>
  </si>
  <si>
    <t>Hansen</t>
  </si>
  <si>
    <t>Lee</t>
  </si>
  <si>
    <t>Garcia</t>
  </si>
  <si>
    <t>Meier</t>
  </si>
  <si>
    <t>Williams</t>
  </si>
  <si>
    <t>Patel</t>
  </si>
  <si>
    <t>Khan</t>
  </si>
  <si>
    <t>Brown</t>
  </si>
  <si>
    <t>Gruber</t>
  </si>
  <si>
    <t>Nielsen</t>
  </si>
  <si>
    <t>Virtanen</t>
  </si>
  <si>
    <t>Dubois</t>
  </si>
  <si>
    <t>Weber</t>
  </si>
  <si>
    <t>Murphy</t>
  </si>
  <si>
    <t>Bianchi</t>
  </si>
  <si>
    <t>Olsen</t>
  </si>
  <si>
    <t>Chen</t>
  </si>
  <si>
    <t>Hernandez</t>
  </si>
  <si>
    <t>Baumann</t>
  </si>
  <si>
    <t>Miller</t>
  </si>
  <si>
    <t>Kapoor</t>
  </si>
  <si>
    <t>Kumar</t>
  </si>
  <si>
    <t>Whatsapp</t>
  </si>
  <si>
    <t>other</t>
  </si>
  <si>
    <t>Country/index match</t>
  </si>
  <si>
    <t>Order date</t>
  </si>
  <si>
    <t>Order Time</t>
  </si>
  <si>
    <t>Sales manager</t>
  </si>
  <si>
    <t>Alexander  Müller</t>
  </si>
  <si>
    <t>Sophia  Rossi</t>
  </si>
  <si>
    <t>Lucas  Olsen</t>
  </si>
  <si>
    <t>Emma  Hansen</t>
  </si>
  <si>
    <t>Lukas  Schmidt</t>
  </si>
  <si>
    <t>Sofia  Laine</t>
  </si>
  <si>
    <t>Benjamin  Chen</t>
  </si>
  <si>
    <t>Oliver  Kumar</t>
  </si>
  <si>
    <t>Liam  Baumann</t>
  </si>
  <si>
    <t>Liam  O'Sullivan</t>
  </si>
  <si>
    <t>Marco  Bianchi</t>
  </si>
  <si>
    <t>Emily  Murphy</t>
  </si>
  <si>
    <t>Noah  Meier</t>
  </si>
  <si>
    <t>Dev  Patel</t>
  </si>
  <si>
    <t>Isabella  Garcia</t>
  </si>
  <si>
    <t>Ava  Williams</t>
  </si>
  <si>
    <t>Priya  Kapoor</t>
  </si>
  <si>
    <t>Chloe  Dupont</t>
  </si>
  <si>
    <t>Olivia  Jensen</t>
  </si>
  <si>
    <t>Daniela  Hernandez</t>
  </si>
  <si>
    <t>Sophie  Gruber</t>
  </si>
  <si>
    <t>Lucas  Nielsen</t>
  </si>
  <si>
    <t>William  Brown</t>
  </si>
  <si>
    <t>Mia  Khan</t>
  </si>
  <si>
    <t>Ethan  Lee</t>
  </si>
  <si>
    <t>Amelia  Johnson</t>
  </si>
  <si>
    <t>Aino  Virtanen</t>
  </si>
  <si>
    <t>Charlotte  Miller</t>
  </si>
  <si>
    <t>Benjamin  Weber</t>
  </si>
  <si>
    <t>Emily  Dubois</t>
  </si>
  <si>
    <t>Outlire</t>
  </si>
  <si>
    <t xml:space="preserve">Sum of the order value </t>
  </si>
  <si>
    <t>Count of the orders for Indian customers</t>
  </si>
  <si>
    <t>Average order value for order plaed via wattsup</t>
  </si>
  <si>
    <t>Find the count of orders whose order date is  on or after 15 june 2023which has been placed by customers whose age is more than 30</t>
  </si>
  <si>
    <t>Q1</t>
  </si>
  <si>
    <t>Q2</t>
  </si>
  <si>
    <t>Q3</t>
  </si>
  <si>
    <t>IQR</t>
  </si>
  <si>
    <t>Upper bond</t>
  </si>
  <si>
    <t>Lower bond</t>
  </si>
  <si>
    <t>Sum if</t>
  </si>
  <si>
    <t>Count if</t>
  </si>
  <si>
    <t>Row Labels</t>
  </si>
  <si>
    <t>Grand Total</t>
  </si>
  <si>
    <t>Sum of Order Value</t>
  </si>
  <si>
    <t>Count of Order Value</t>
  </si>
  <si>
    <t>Average if</t>
  </si>
  <si>
    <t>Average of Order Value</t>
  </si>
  <si>
    <t>Countifs</t>
  </si>
  <si>
    <t>Jan</t>
  </si>
  <si>
    <t>Feb</t>
  </si>
  <si>
    <t>Mar</t>
  </si>
  <si>
    <t>Apr</t>
  </si>
  <si>
    <t>May</t>
  </si>
  <si>
    <t>Jun</t>
  </si>
  <si>
    <t>Jul</t>
  </si>
  <si>
    <t>Aug</t>
  </si>
  <si>
    <t>Sep</t>
  </si>
  <si>
    <t>Oct</t>
  </si>
  <si>
    <t>Nov</t>
  </si>
  <si>
    <t>Dec</t>
  </si>
  <si>
    <t>Total order</t>
  </si>
  <si>
    <t>Sales  value</t>
  </si>
  <si>
    <t>Order trend across month</t>
  </si>
  <si>
    <t>1 AM</t>
  </si>
  <si>
    <t>2 AM</t>
  </si>
  <si>
    <t>4 AM</t>
  </si>
  <si>
    <t>10 AM</t>
  </si>
  <si>
    <t>11 AM</t>
  </si>
  <si>
    <t>12 PM</t>
  </si>
  <si>
    <t>Order Trends across Hrs</t>
  </si>
  <si>
    <t>2. 12 hr at midnight having more order count with high average sale</t>
  </si>
  <si>
    <t>1. 16 hr in day has less order ount and Higest average sale value</t>
  </si>
  <si>
    <t>&lt;20</t>
  </si>
  <si>
    <t>20-29</t>
  </si>
  <si>
    <t>30-39</t>
  </si>
  <si>
    <t>40-49</t>
  </si>
  <si>
    <t>50-59</t>
  </si>
  <si>
    <t>60-69</t>
  </si>
  <si>
    <t>70-79</t>
  </si>
  <si>
    <t>80-90</t>
  </si>
  <si>
    <t>2. Orders have been drop in March , april and september.</t>
  </si>
  <si>
    <t>1. Even when Order count is lower in feb and aug , Order value is high. Which implifies that some high ticket order have been place</t>
  </si>
  <si>
    <t>which hrour of the day most orders are placed and which hour of the day average order value is highest?</t>
  </si>
  <si>
    <t>Which age group has most order place and which age group has highest average sales value</t>
  </si>
  <si>
    <t>How no of orders place with order source</t>
  </si>
  <si>
    <t>1. Order placed acrros order souce having equal contribution</t>
  </si>
  <si>
    <t>Sales target and their completion rates</t>
  </si>
  <si>
    <t>Target not met, target met, target exceeded.</t>
  </si>
  <si>
    <t>Sum of 2023 Sales Target</t>
  </si>
  <si>
    <t>Average of 2023 Sales Target</t>
  </si>
  <si>
    <t xml:space="preserve"> Sales Target</t>
  </si>
  <si>
    <t xml:space="preserve"> Order Value</t>
  </si>
  <si>
    <t>1. sales target was not complited by the Valarei and wendy, where as anna and jeff exceed the targets</t>
  </si>
  <si>
    <t>1. which sales team got highest sales target in total, plot on chart to see comparision.</t>
  </si>
  <si>
    <t>Team sales target</t>
  </si>
  <si>
    <t>Quarter</t>
  </si>
  <si>
    <t>Q4</t>
  </si>
  <si>
    <t>Order trend across age group</t>
  </si>
  <si>
    <t>Amazon Orders dataset</t>
  </si>
  <si>
    <t>Represents Id of order</t>
  </si>
  <si>
    <t>Customer unique Number</t>
  </si>
  <si>
    <t>Country of customer</t>
  </si>
  <si>
    <t>Order date on which order has been done</t>
  </si>
  <si>
    <t>Source of Order</t>
  </si>
  <si>
    <t>Sales point of contact</t>
  </si>
  <si>
    <t>Cost for particular order</t>
  </si>
  <si>
    <t>Sales team name</t>
  </si>
  <si>
    <t>Target for the sales</t>
  </si>
  <si>
    <t>sales manager name</t>
  </si>
  <si>
    <t>gender of customer</t>
  </si>
  <si>
    <t>Age of customer</t>
  </si>
  <si>
    <t>Catagery of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</si>
</sst>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hh:mm:ss"/>
    <numFmt numFmtId="165" formatCode="dd/mm/yyyy\ hh:mm:ss\ AM/PM"/>
    <numFmt numFmtId="166" formatCode="dd/mm/yyyy;@"/>
  </numFmts>
  <fonts count="6" x14ac:knownFonts="1">
    <font>
      <sz val="11"/>
      <color theme="1"/>
      <name val="Calibri"/>
      <family val="2"/>
      <scheme val="minor"/>
    </font>
    <font>
      <b/>
      <sz val="11"/>
      <color theme="1"/>
      <name val="Calibri"/>
      <family val="2"/>
      <scheme val="minor"/>
    </font>
    <font>
      <sz val="10"/>
      <color theme="1"/>
      <name val="Calibri"/>
      <family val="2"/>
      <scheme val="minor"/>
    </font>
    <font>
      <b/>
      <sz val="11"/>
      <color theme="0"/>
      <name val="Calibri"/>
      <family val="2"/>
      <scheme val="minor"/>
    </font>
    <font>
      <sz val="48"/>
      <color theme="1"/>
      <name val="Calibri"/>
      <family val="2"/>
      <scheme val="minor"/>
    </font>
    <font>
      <sz val="72"/>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1" tint="0.499984740745262"/>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23">
    <xf numFmtId="0" fontId="0" fillId="0" borderId="0" xfId="0"/>
    <xf numFmtId="0" fontId="2" fillId="0" borderId="0" xfId="0" applyFont="1"/>
    <xf numFmtId="164" fontId="0" fillId="0" borderId="0" xfId="0" applyNumberFormat="1"/>
    <xf numFmtId="164" fontId="2" fillId="0" borderId="0" xfId="0" applyNumberFormat="1" applyFont="1"/>
    <xf numFmtId="0" fontId="1" fillId="0" borderId="0" xfId="0" applyFont="1"/>
    <xf numFmtId="14" fontId="0" fillId="0" borderId="0" xfId="0" applyNumberFormat="1"/>
    <xf numFmtId="21" fontId="0" fillId="0" borderId="0" xfId="0" applyNumberFormat="1"/>
    <xf numFmtId="14" fontId="1" fillId="0" borderId="0" xfId="0" applyNumberFormat="1" applyFont="1"/>
    <xf numFmtId="14" fontId="2" fillId="0" borderId="0" xfId="0" applyNumberFormat="1" applyFont="1"/>
    <xf numFmtId="165" fontId="1" fillId="0" borderId="0" xfId="0" applyNumberFormat="1" applyFont="1"/>
    <xf numFmtId="165" fontId="0" fillId="0" borderId="0" xfId="0" applyNumberFormat="1"/>
    <xf numFmtId="165" fontId="2" fillId="0" borderId="0" xfId="0" applyNumberFormat="1" applyFont="1"/>
    <xf numFmtId="0" fontId="1" fillId="2" borderId="0" xfId="0" applyFont="1" applyFill="1"/>
    <xf numFmtId="0" fontId="0" fillId="0" borderId="0" xfId="0" pivotButton="1"/>
    <xf numFmtId="0" fontId="0" fillId="0" borderId="0" xfId="0" applyAlignment="1">
      <alignment horizontal="left"/>
    </xf>
    <xf numFmtId="166" fontId="0" fillId="0" borderId="0" xfId="0" applyNumberFormat="1"/>
    <xf numFmtId="0" fontId="5" fillId="3" borderId="0" xfId="0" applyFont="1" applyFill="1" applyAlignment="1">
      <alignment vertical="center"/>
    </xf>
    <xf numFmtId="0" fontId="0" fillId="3" borderId="0" xfId="0" applyFill="1"/>
    <xf numFmtId="0" fontId="3" fillId="3" borderId="0" xfId="0" applyFont="1" applyFill="1"/>
    <xf numFmtId="0" fontId="3" fillId="3" borderId="0" xfId="0" applyFont="1" applyFill="1" applyAlignment="1">
      <alignment horizontal="left"/>
    </xf>
    <xf numFmtId="0" fontId="4" fillId="4" borderId="0" xfId="0" applyFont="1" applyFill="1" applyAlignment="1">
      <alignment horizontal="center" vertical="center"/>
    </xf>
    <xf numFmtId="0" fontId="3" fillId="3" borderId="0" xfId="0" applyFont="1" applyFill="1" applyAlignment="1">
      <alignment horizontal="center"/>
    </xf>
    <xf numFmtId="0" fontId="0" fillId="0" borderId="0" xfId="0" applyNumberFormat="1"/>
  </cellXfs>
  <cellStyles count="1">
    <cellStyle name="Normal" xfId="0" builtinId="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Orders Dataset Dashboard.xlsx]Pivot 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Order</a:t>
            </a:r>
            <a:r>
              <a:rPr lang="en-GB" baseline="0"/>
              <a:t> trends accros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table'!$C$3</c:f>
              <c:strCache>
                <c:ptCount val="1"/>
                <c:pt idx="0">
                  <c:v>Sales  value</c:v>
                </c:pt>
              </c:strCache>
            </c:strRef>
          </c:tx>
          <c:spPr>
            <a:solidFill>
              <a:schemeClr val="accent2"/>
            </a:solidFill>
            <a:ln>
              <a:noFill/>
            </a:ln>
            <a:effectLst/>
          </c:spPr>
          <c:invertIfNegative val="0"/>
          <c:cat>
            <c:strRef>
              <c:f>'Pivot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table'!$C$4:$C$16</c:f>
              <c:numCache>
                <c:formatCode>General</c:formatCode>
                <c:ptCount val="12"/>
                <c:pt idx="0">
                  <c:v>4854.4285714285716</c:v>
                </c:pt>
                <c:pt idx="1">
                  <c:v>4979.590909090909</c:v>
                </c:pt>
                <c:pt idx="2">
                  <c:v>5166.2233502538074</c:v>
                </c:pt>
                <c:pt idx="3">
                  <c:v>4822.2335025380708</c:v>
                </c:pt>
                <c:pt idx="4">
                  <c:v>4901.6425120772947</c:v>
                </c:pt>
                <c:pt idx="5">
                  <c:v>4926.7605633802814</c:v>
                </c:pt>
                <c:pt idx="6">
                  <c:v>4989.196172248804</c:v>
                </c:pt>
                <c:pt idx="7">
                  <c:v>5169.579710144928</c:v>
                </c:pt>
                <c:pt idx="8">
                  <c:v>4759.041025641026</c:v>
                </c:pt>
                <c:pt idx="9">
                  <c:v>4673.4925373134329</c:v>
                </c:pt>
                <c:pt idx="10">
                  <c:v>5236.1091703056773</c:v>
                </c:pt>
                <c:pt idx="11">
                  <c:v>4403.3846153846152</c:v>
                </c:pt>
              </c:numCache>
            </c:numRef>
          </c:val>
          <c:extLst>
            <c:ext xmlns:c16="http://schemas.microsoft.com/office/drawing/2014/chart" uri="{C3380CC4-5D6E-409C-BE32-E72D297353CC}">
              <c16:uniqueId val="{00000000-11E4-694B-BB18-BA87CD7365B1}"/>
            </c:ext>
          </c:extLst>
        </c:ser>
        <c:dLbls>
          <c:showLegendKey val="0"/>
          <c:showVal val="0"/>
          <c:showCatName val="0"/>
          <c:showSerName val="0"/>
          <c:showPercent val="0"/>
          <c:showBubbleSize val="0"/>
        </c:dLbls>
        <c:gapWidth val="219"/>
        <c:overlap val="-27"/>
        <c:axId val="979286384"/>
        <c:axId val="1063655647"/>
      </c:barChart>
      <c:lineChart>
        <c:grouping val="stacked"/>
        <c:varyColors val="0"/>
        <c:ser>
          <c:idx val="0"/>
          <c:order val="0"/>
          <c:tx>
            <c:strRef>
              <c:f>'Pivot table'!$B$3</c:f>
              <c:strCache>
                <c:ptCount val="1"/>
                <c:pt idx="0">
                  <c:v>Total order</c:v>
                </c:pt>
              </c:strCache>
            </c:strRef>
          </c:tx>
          <c:spPr>
            <a:ln w="28575" cap="rnd">
              <a:solidFill>
                <a:schemeClr val="accent1"/>
              </a:solidFill>
              <a:round/>
            </a:ln>
            <a:effectLst/>
          </c:spPr>
          <c:marker>
            <c:symbol val="none"/>
          </c:marker>
          <c:cat>
            <c:strRef>
              <c:f>'Pivot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table'!$B$4:$B$16</c:f>
              <c:numCache>
                <c:formatCode>General</c:formatCode>
                <c:ptCount val="12"/>
                <c:pt idx="0">
                  <c:v>217</c:v>
                </c:pt>
                <c:pt idx="1">
                  <c:v>220</c:v>
                </c:pt>
                <c:pt idx="2">
                  <c:v>197</c:v>
                </c:pt>
                <c:pt idx="3">
                  <c:v>197</c:v>
                </c:pt>
                <c:pt idx="4">
                  <c:v>207</c:v>
                </c:pt>
                <c:pt idx="5">
                  <c:v>213</c:v>
                </c:pt>
                <c:pt idx="6">
                  <c:v>209</c:v>
                </c:pt>
                <c:pt idx="7">
                  <c:v>207</c:v>
                </c:pt>
                <c:pt idx="8">
                  <c:v>195</c:v>
                </c:pt>
                <c:pt idx="9">
                  <c:v>201</c:v>
                </c:pt>
                <c:pt idx="10">
                  <c:v>229</c:v>
                </c:pt>
                <c:pt idx="11">
                  <c:v>208</c:v>
                </c:pt>
              </c:numCache>
            </c:numRef>
          </c:val>
          <c:smooth val="0"/>
          <c:extLst>
            <c:ext xmlns:c16="http://schemas.microsoft.com/office/drawing/2014/chart" uri="{C3380CC4-5D6E-409C-BE32-E72D297353CC}">
              <c16:uniqueId val="{00000001-11E4-694B-BB18-BA87CD7365B1}"/>
            </c:ext>
          </c:extLst>
        </c:ser>
        <c:dLbls>
          <c:showLegendKey val="0"/>
          <c:showVal val="0"/>
          <c:showCatName val="0"/>
          <c:showSerName val="0"/>
          <c:showPercent val="0"/>
          <c:showBubbleSize val="0"/>
        </c:dLbls>
        <c:marker val="1"/>
        <c:smooth val="0"/>
        <c:axId val="1413934848"/>
        <c:axId val="586960623"/>
      </c:lineChart>
      <c:catAx>
        <c:axId val="979286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655647"/>
        <c:crosses val="autoZero"/>
        <c:auto val="1"/>
        <c:lblAlgn val="ctr"/>
        <c:lblOffset val="100"/>
        <c:noMultiLvlLbl val="0"/>
      </c:catAx>
      <c:valAx>
        <c:axId val="1063655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286384"/>
        <c:crosses val="autoZero"/>
        <c:crossBetween val="between"/>
      </c:valAx>
      <c:valAx>
        <c:axId val="58696062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934848"/>
        <c:crosses val="max"/>
        <c:crossBetween val="between"/>
      </c:valAx>
      <c:catAx>
        <c:axId val="1413934848"/>
        <c:scaling>
          <c:orientation val="minMax"/>
        </c:scaling>
        <c:delete val="1"/>
        <c:axPos val="b"/>
        <c:numFmt formatCode="General" sourceLinked="1"/>
        <c:majorTickMark val="out"/>
        <c:minorTickMark val="none"/>
        <c:tickLblPos val="nextTo"/>
        <c:crossAx val="58696062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Orders Dataset Dashboard.xlsx]Pivot table!PivotTable2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Order</a:t>
            </a:r>
            <a:r>
              <a:rPr lang="en-GB" baseline="0"/>
              <a:t> trends across time of the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table'!$G$3</c:f>
              <c:strCache>
                <c:ptCount val="1"/>
                <c:pt idx="0">
                  <c:v>Total order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table'!$F$4:$F$10</c:f>
              <c:strCache>
                <c:ptCount val="6"/>
                <c:pt idx="0">
                  <c:v>4 AM</c:v>
                </c:pt>
                <c:pt idx="1">
                  <c:v>12 PM</c:v>
                </c:pt>
                <c:pt idx="2">
                  <c:v>1 AM</c:v>
                </c:pt>
                <c:pt idx="3">
                  <c:v>10 AM</c:v>
                </c:pt>
                <c:pt idx="4">
                  <c:v>11 AM</c:v>
                </c:pt>
                <c:pt idx="5">
                  <c:v>2 AM</c:v>
                </c:pt>
              </c:strCache>
            </c:strRef>
          </c:cat>
          <c:val>
            <c:numRef>
              <c:f>'Pivot table'!$G$4:$G$10</c:f>
              <c:numCache>
                <c:formatCode>General</c:formatCode>
                <c:ptCount val="6"/>
                <c:pt idx="0">
                  <c:v>2</c:v>
                </c:pt>
                <c:pt idx="1">
                  <c:v>1005</c:v>
                </c:pt>
                <c:pt idx="2">
                  <c:v>629</c:v>
                </c:pt>
                <c:pt idx="3">
                  <c:v>156</c:v>
                </c:pt>
                <c:pt idx="4">
                  <c:v>648</c:v>
                </c:pt>
                <c:pt idx="5">
                  <c:v>60</c:v>
                </c:pt>
              </c:numCache>
            </c:numRef>
          </c:val>
          <c:smooth val="0"/>
          <c:extLst>
            <c:ext xmlns:c16="http://schemas.microsoft.com/office/drawing/2014/chart" uri="{C3380CC4-5D6E-409C-BE32-E72D297353CC}">
              <c16:uniqueId val="{00000000-BBD5-DF4B-A9DC-05D9B3028AF9}"/>
            </c:ext>
          </c:extLst>
        </c:ser>
        <c:ser>
          <c:idx val="1"/>
          <c:order val="1"/>
          <c:tx>
            <c:strRef>
              <c:f>'Pivot table'!$H$3</c:f>
              <c:strCache>
                <c:ptCount val="1"/>
                <c:pt idx="0">
                  <c:v>Sales  value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table'!$F$4:$F$10</c:f>
              <c:strCache>
                <c:ptCount val="6"/>
                <c:pt idx="0">
                  <c:v>4 AM</c:v>
                </c:pt>
                <c:pt idx="1">
                  <c:v>12 PM</c:v>
                </c:pt>
                <c:pt idx="2">
                  <c:v>1 AM</c:v>
                </c:pt>
                <c:pt idx="3">
                  <c:v>10 AM</c:v>
                </c:pt>
                <c:pt idx="4">
                  <c:v>11 AM</c:v>
                </c:pt>
                <c:pt idx="5">
                  <c:v>2 AM</c:v>
                </c:pt>
              </c:strCache>
            </c:strRef>
          </c:cat>
          <c:val>
            <c:numRef>
              <c:f>'Pivot table'!$H$4:$H$10</c:f>
              <c:numCache>
                <c:formatCode>General</c:formatCode>
                <c:ptCount val="6"/>
                <c:pt idx="0">
                  <c:v>6297.5</c:v>
                </c:pt>
                <c:pt idx="1">
                  <c:v>4984.1631840796017</c:v>
                </c:pt>
                <c:pt idx="2">
                  <c:v>4969.430842607313</c:v>
                </c:pt>
                <c:pt idx="3">
                  <c:v>4933.6025641025644</c:v>
                </c:pt>
                <c:pt idx="4">
                  <c:v>4760.4429012345681</c:v>
                </c:pt>
                <c:pt idx="5">
                  <c:v>4567.166666666667</c:v>
                </c:pt>
              </c:numCache>
            </c:numRef>
          </c:val>
          <c:smooth val="0"/>
          <c:extLst>
            <c:ext xmlns:c16="http://schemas.microsoft.com/office/drawing/2014/chart" uri="{C3380CC4-5D6E-409C-BE32-E72D297353CC}">
              <c16:uniqueId val="{00000001-BBD5-DF4B-A9DC-05D9B3028AF9}"/>
            </c:ext>
          </c:extLst>
        </c:ser>
        <c:dLbls>
          <c:showLegendKey val="0"/>
          <c:showVal val="0"/>
          <c:showCatName val="0"/>
          <c:showSerName val="0"/>
          <c:showPercent val="0"/>
          <c:showBubbleSize val="0"/>
        </c:dLbls>
        <c:marker val="1"/>
        <c:smooth val="0"/>
        <c:axId val="780062815"/>
        <c:axId val="570647759"/>
      </c:lineChart>
      <c:catAx>
        <c:axId val="78006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647759"/>
        <c:crosses val="autoZero"/>
        <c:auto val="1"/>
        <c:lblAlgn val="ctr"/>
        <c:lblOffset val="100"/>
        <c:noMultiLvlLbl val="0"/>
      </c:catAx>
      <c:valAx>
        <c:axId val="570647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062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Orders Dataset Dashboard.xlsx]Pivot table!PivotTable10</c:name>
    <c:fmtId val="21"/>
  </c:pivotSource>
  <c:chart>
    <c:title>
      <c:tx>
        <c:strRef>
          <c:f>'Pivot table'!$U$1</c:f>
          <c:strCache>
            <c:ptCount val="1"/>
            <c:pt idx="0">
              <c:v>How no of orders place with order source</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table'!$U$1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185-D14A-ABD3-2011F2F356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185-D14A-ABD3-2011F2F356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185-D14A-ABD3-2011F2F3563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185-D14A-ABD3-2011F2F3563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table'!$U$1</c:f>
              <c:strCache>
                <c:ptCount val="4"/>
                <c:pt idx="0">
                  <c:v>App</c:v>
                </c:pt>
                <c:pt idx="1">
                  <c:v>Other</c:v>
                </c:pt>
                <c:pt idx="2">
                  <c:v>Website</c:v>
                </c:pt>
                <c:pt idx="3">
                  <c:v>Whatsapp</c:v>
                </c:pt>
              </c:strCache>
            </c:strRef>
          </c:cat>
          <c:val>
            <c:numRef>
              <c:f>'Pivot table'!$U$1</c:f>
              <c:numCache>
                <c:formatCode>General</c:formatCode>
                <c:ptCount val="4"/>
                <c:pt idx="0">
                  <c:v>622</c:v>
                </c:pt>
                <c:pt idx="1">
                  <c:v>608</c:v>
                </c:pt>
                <c:pt idx="2">
                  <c:v>637</c:v>
                </c:pt>
                <c:pt idx="3">
                  <c:v>633</c:v>
                </c:pt>
              </c:numCache>
            </c:numRef>
          </c:val>
          <c:extLst>
            <c:ext xmlns:c16="http://schemas.microsoft.com/office/drawing/2014/chart" uri="{C3380CC4-5D6E-409C-BE32-E72D297353CC}">
              <c16:uniqueId val="{00000008-F185-D14A-ABD3-2011F2F3563C}"/>
            </c:ext>
          </c:extLst>
        </c:ser>
        <c:dLbls>
          <c:dLblPos val="ctr"/>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Orders Dataset Dashboard.xlsx]Pivot table!PivotTable4</c:name>
    <c:fmtId val="24"/>
  </c:pivotSource>
  <c:chart>
    <c:title>
      <c:tx>
        <c:strRef>
          <c:f>'Pivot table'!$A$22</c:f>
          <c:strCache>
            <c:ptCount val="1"/>
            <c:pt idx="0">
              <c:v>Sales target and their completion rates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table'!$A$22</c:f>
              <c:strCache>
                <c:ptCount val="1"/>
                <c:pt idx="0">
                  <c:v> Order Value</c:v>
                </c:pt>
              </c:strCache>
            </c:strRef>
          </c:tx>
          <c:spPr>
            <a:solidFill>
              <a:schemeClr val="accent1"/>
            </a:solidFill>
            <a:ln>
              <a:noFill/>
            </a:ln>
            <a:effectLst/>
          </c:spPr>
          <c:invertIfNegative val="0"/>
          <c:cat>
            <c:strRef>
              <c:f>'Pivot table'!$A$22</c:f>
              <c:strCache>
                <c:ptCount val="20"/>
                <c:pt idx="0">
                  <c:v>Diego Freyre</c:v>
                </c:pt>
                <c:pt idx="1">
                  <c:v>Valarie Nelson</c:v>
                </c:pt>
                <c:pt idx="2">
                  <c:v>Wendy Victorino</c:v>
                </c:pt>
                <c:pt idx="3">
                  <c:v>Peter Ferguson</c:v>
                </c:pt>
                <c:pt idx="4">
                  <c:v>Victoria Ashworth</c:v>
                </c:pt>
                <c:pt idx="5">
                  <c:v>Kwai Yu</c:v>
                </c:pt>
                <c:pt idx="6">
                  <c:v>Janine Labrune</c:v>
                </c:pt>
                <c:pt idx="7">
                  <c:v>Paul Henriot</c:v>
                </c:pt>
                <c:pt idx="8">
                  <c:v>Anna O'Hara</c:v>
                </c:pt>
                <c:pt idx="9">
                  <c:v>Sue Frick</c:v>
                </c:pt>
                <c:pt idx="10">
                  <c:v>Eric Natividad</c:v>
                </c:pt>
                <c:pt idx="11">
                  <c:v>Jeff Young</c:v>
                </c:pt>
                <c:pt idx="12">
                  <c:v>Julie Brown</c:v>
                </c:pt>
                <c:pt idx="13">
                  <c:v>Adrian Huxley</c:v>
                </c:pt>
                <c:pt idx="14">
                  <c:v>Valarie Young</c:v>
                </c:pt>
                <c:pt idx="15">
                  <c:v>Georg Pipps</c:v>
                </c:pt>
                <c:pt idx="16">
                  <c:v>Giovanni Rovelli</c:v>
                </c:pt>
                <c:pt idx="17">
                  <c:v>Mary Saveley</c:v>
                </c:pt>
                <c:pt idx="18">
                  <c:v>Maurizio Moroni</c:v>
                </c:pt>
                <c:pt idx="19">
                  <c:v>Juri Hirano</c:v>
                </c:pt>
              </c:strCache>
            </c:strRef>
          </c:cat>
          <c:val>
            <c:numRef>
              <c:f>'Pivot table'!$A$22</c:f>
              <c:numCache>
                <c:formatCode>General</c:formatCode>
                <c:ptCount val="20"/>
                <c:pt idx="0">
                  <c:v>1089868</c:v>
                </c:pt>
                <c:pt idx="1">
                  <c:v>776835</c:v>
                </c:pt>
                <c:pt idx="2">
                  <c:v>171694</c:v>
                </c:pt>
                <c:pt idx="3">
                  <c:v>261772</c:v>
                </c:pt>
                <c:pt idx="4">
                  <c:v>261093</c:v>
                </c:pt>
                <c:pt idx="5">
                  <c:v>219735</c:v>
                </c:pt>
                <c:pt idx="6">
                  <c:v>203887</c:v>
                </c:pt>
                <c:pt idx="7">
                  <c:v>195983</c:v>
                </c:pt>
                <c:pt idx="8">
                  <c:v>242439</c:v>
                </c:pt>
                <c:pt idx="9">
                  <c:v>195359</c:v>
                </c:pt>
                <c:pt idx="10">
                  <c:v>201398</c:v>
                </c:pt>
                <c:pt idx="11">
                  <c:v>227134</c:v>
                </c:pt>
                <c:pt idx="12">
                  <c:v>192740</c:v>
                </c:pt>
                <c:pt idx="13">
                  <c:v>182094</c:v>
                </c:pt>
                <c:pt idx="14">
                  <c:v>166573</c:v>
                </c:pt>
                <c:pt idx="15">
                  <c:v>188709</c:v>
                </c:pt>
                <c:pt idx="16">
                  <c:v>175816</c:v>
                </c:pt>
                <c:pt idx="17">
                  <c:v>173391</c:v>
                </c:pt>
                <c:pt idx="18">
                  <c:v>164789</c:v>
                </c:pt>
                <c:pt idx="19">
                  <c:v>167417</c:v>
                </c:pt>
              </c:numCache>
            </c:numRef>
          </c:val>
          <c:extLst>
            <c:ext xmlns:c16="http://schemas.microsoft.com/office/drawing/2014/chart" uri="{C3380CC4-5D6E-409C-BE32-E72D297353CC}">
              <c16:uniqueId val="{00000000-1266-E549-B3C3-DD550B97DA99}"/>
            </c:ext>
          </c:extLst>
        </c:ser>
        <c:dLbls>
          <c:showLegendKey val="0"/>
          <c:showVal val="0"/>
          <c:showCatName val="0"/>
          <c:showSerName val="0"/>
          <c:showPercent val="0"/>
          <c:showBubbleSize val="0"/>
        </c:dLbls>
        <c:gapWidth val="150"/>
        <c:axId val="1018451248"/>
        <c:axId val="1018289536"/>
      </c:barChart>
      <c:lineChart>
        <c:grouping val="standard"/>
        <c:varyColors val="0"/>
        <c:ser>
          <c:idx val="1"/>
          <c:order val="1"/>
          <c:tx>
            <c:strRef>
              <c:f>'Pivot table'!$A$22</c:f>
              <c:strCache>
                <c:ptCount val="1"/>
                <c:pt idx="0">
                  <c:v> Sales Target</c:v>
                </c:pt>
              </c:strCache>
            </c:strRef>
          </c:tx>
          <c:spPr>
            <a:ln w="28575" cap="rnd">
              <a:solidFill>
                <a:schemeClr val="accent2"/>
              </a:solidFill>
              <a:round/>
            </a:ln>
            <a:effectLst/>
          </c:spPr>
          <c:marker>
            <c:symbol val="none"/>
          </c:marker>
          <c:cat>
            <c:strRef>
              <c:f>'Pivot table'!$A$22</c:f>
              <c:strCache>
                <c:ptCount val="20"/>
                <c:pt idx="0">
                  <c:v>Diego Freyre</c:v>
                </c:pt>
                <c:pt idx="1">
                  <c:v>Valarie Nelson</c:v>
                </c:pt>
                <c:pt idx="2">
                  <c:v>Wendy Victorino</c:v>
                </c:pt>
                <c:pt idx="3">
                  <c:v>Peter Ferguson</c:v>
                </c:pt>
                <c:pt idx="4">
                  <c:v>Victoria Ashworth</c:v>
                </c:pt>
                <c:pt idx="5">
                  <c:v>Kwai Yu</c:v>
                </c:pt>
                <c:pt idx="6">
                  <c:v>Janine Labrune</c:v>
                </c:pt>
                <c:pt idx="7">
                  <c:v>Paul Henriot</c:v>
                </c:pt>
                <c:pt idx="8">
                  <c:v>Anna O'Hara</c:v>
                </c:pt>
                <c:pt idx="9">
                  <c:v>Sue Frick</c:v>
                </c:pt>
                <c:pt idx="10">
                  <c:v>Eric Natividad</c:v>
                </c:pt>
                <c:pt idx="11">
                  <c:v>Jeff Young</c:v>
                </c:pt>
                <c:pt idx="12">
                  <c:v>Julie Brown</c:v>
                </c:pt>
                <c:pt idx="13">
                  <c:v>Adrian Huxley</c:v>
                </c:pt>
                <c:pt idx="14">
                  <c:v>Valarie Young</c:v>
                </c:pt>
                <c:pt idx="15">
                  <c:v>Georg Pipps</c:v>
                </c:pt>
                <c:pt idx="16">
                  <c:v>Giovanni Rovelli</c:v>
                </c:pt>
                <c:pt idx="17">
                  <c:v>Mary Saveley</c:v>
                </c:pt>
                <c:pt idx="18">
                  <c:v>Maurizio Moroni</c:v>
                </c:pt>
                <c:pt idx="19">
                  <c:v>Juri Hirano</c:v>
                </c:pt>
              </c:strCache>
            </c:strRef>
          </c:cat>
          <c:val>
            <c:numRef>
              <c:f>'Pivot table'!$A$22</c:f>
              <c:numCache>
                <c:formatCode>General</c:formatCode>
                <c:ptCount val="20"/>
                <c:pt idx="0">
                  <c:v>1000000</c:v>
                </c:pt>
                <c:pt idx="1">
                  <c:v>1000000</c:v>
                </c:pt>
                <c:pt idx="2">
                  <c:v>250000</c:v>
                </c:pt>
                <c:pt idx="3">
                  <c:v>250000</c:v>
                </c:pt>
                <c:pt idx="4">
                  <c:v>250000</c:v>
                </c:pt>
                <c:pt idx="5">
                  <c:v>200000</c:v>
                </c:pt>
                <c:pt idx="6">
                  <c:v>200000</c:v>
                </c:pt>
                <c:pt idx="7">
                  <c:v>200000</c:v>
                </c:pt>
                <c:pt idx="8">
                  <c:v>200000</c:v>
                </c:pt>
                <c:pt idx="9">
                  <c:v>200000</c:v>
                </c:pt>
                <c:pt idx="10">
                  <c:v>200000</c:v>
                </c:pt>
                <c:pt idx="11">
                  <c:v>200000</c:v>
                </c:pt>
                <c:pt idx="12">
                  <c:v>200000</c:v>
                </c:pt>
                <c:pt idx="13">
                  <c:v>200000</c:v>
                </c:pt>
                <c:pt idx="14">
                  <c:v>150000</c:v>
                </c:pt>
                <c:pt idx="15">
                  <c:v>150000</c:v>
                </c:pt>
                <c:pt idx="16">
                  <c:v>150000</c:v>
                </c:pt>
                <c:pt idx="17">
                  <c:v>150000</c:v>
                </c:pt>
                <c:pt idx="18">
                  <c:v>150000</c:v>
                </c:pt>
                <c:pt idx="19">
                  <c:v>150000</c:v>
                </c:pt>
              </c:numCache>
            </c:numRef>
          </c:val>
          <c:smooth val="0"/>
          <c:extLst>
            <c:ext xmlns:c16="http://schemas.microsoft.com/office/drawing/2014/chart" uri="{C3380CC4-5D6E-409C-BE32-E72D297353CC}">
              <c16:uniqueId val="{00000001-1266-E549-B3C3-DD550B97DA99}"/>
            </c:ext>
          </c:extLst>
        </c:ser>
        <c:dLbls>
          <c:showLegendKey val="0"/>
          <c:showVal val="0"/>
          <c:showCatName val="0"/>
          <c:showSerName val="0"/>
          <c:showPercent val="0"/>
          <c:showBubbleSize val="0"/>
        </c:dLbls>
        <c:marker val="1"/>
        <c:smooth val="0"/>
        <c:axId val="1018451248"/>
        <c:axId val="1018289536"/>
      </c:lineChart>
      <c:catAx>
        <c:axId val="1018451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289536"/>
        <c:crosses val="autoZero"/>
        <c:auto val="1"/>
        <c:lblAlgn val="ctr"/>
        <c:lblOffset val="100"/>
        <c:noMultiLvlLbl val="0"/>
      </c:catAx>
      <c:valAx>
        <c:axId val="1018289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451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Orders Dataset Dashboard.xlsx]Pivot table!PivotTable12</c:name>
    <c:fmtId val="24"/>
  </c:pivotSource>
  <c:chart>
    <c:title>
      <c:tx>
        <c:strRef>
          <c:f>'Pivot table'!$F$23</c:f>
          <c:strCache>
            <c:ptCount val="1"/>
            <c:pt idx="0">
              <c:v>Team sales target</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table'!$F$23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51-3B44-B16C-F3D47F5CE3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51-3B44-B16C-F3D47F5CE3C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051-3B44-B16C-F3D47F5CE3C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051-3B44-B16C-F3D47F5CE3C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051-3B44-B16C-F3D47F5CE3C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table'!$F$23</c:f>
              <c:strCache>
                <c:ptCount val="5"/>
                <c:pt idx="0">
                  <c:v>Alpha</c:v>
                </c:pt>
                <c:pt idx="1">
                  <c:v>Beta</c:v>
                </c:pt>
                <c:pt idx="2">
                  <c:v>Delta</c:v>
                </c:pt>
                <c:pt idx="3">
                  <c:v>Epsilon</c:v>
                </c:pt>
                <c:pt idx="4">
                  <c:v>Gamma</c:v>
                </c:pt>
              </c:strCache>
            </c:strRef>
          </c:cat>
          <c:val>
            <c:numRef>
              <c:f>'Pivot table'!$F$23</c:f>
              <c:numCache>
                <c:formatCode>General</c:formatCode>
                <c:ptCount val="5"/>
                <c:pt idx="0">
                  <c:v>395339.19597989949</c:v>
                </c:pt>
                <c:pt idx="1">
                  <c:v>146003.75234521576</c:v>
                </c:pt>
                <c:pt idx="2">
                  <c:v>472118.45102505694</c:v>
                </c:pt>
                <c:pt idx="3">
                  <c:v>135812.27436823104</c:v>
                </c:pt>
                <c:pt idx="4">
                  <c:v>126087.91208791209</c:v>
                </c:pt>
              </c:numCache>
            </c:numRef>
          </c:val>
          <c:extLst>
            <c:ext xmlns:c16="http://schemas.microsoft.com/office/drawing/2014/chart" uri="{C3380CC4-5D6E-409C-BE32-E72D297353CC}">
              <c16:uniqueId val="{0000000A-E051-3B44-B16C-F3D47F5CE3CE}"/>
            </c:ext>
          </c:extLst>
        </c:ser>
        <c:dLbls>
          <c:dLblPos val="bestFit"/>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plotArea>
      <cx:plotAreaRegion>
        <cx:series layoutId="boxWhisker" uniqueId="{9501FB9B-E971-DF4B-8C73-90FEBA1E063C}">
          <cx:tx>
            <cx:txData>
              <cx:f>_xlchart.v1.0</cx:f>
              <cx:v>Order Value</cx:v>
            </cx:txData>
          </cx:tx>
          <cx:dataLabels/>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0</xdr:colOff>
      <xdr:row>11</xdr:row>
      <xdr:rowOff>0</xdr:rowOff>
    </xdr:from>
    <xdr:to>
      <xdr:col>7</xdr:col>
      <xdr:colOff>444500</xdr:colOff>
      <xdr:row>25</xdr:row>
      <xdr:rowOff>76200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375E0BF-CCD9-974C-866F-E2A40BB5E8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600200" y="2095500"/>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190500</xdr:colOff>
      <xdr:row>9</xdr:row>
      <xdr:rowOff>0</xdr:rowOff>
    </xdr:from>
    <xdr:to>
      <xdr:col>8</xdr:col>
      <xdr:colOff>635000</xdr:colOff>
      <xdr:row>23</xdr:row>
      <xdr:rowOff>76200</xdr:rowOff>
    </xdr:to>
    <xdr:graphicFrame macro="">
      <xdr:nvGraphicFramePr>
        <xdr:cNvPr id="2" name="Chart 1">
          <a:extLst>
            <a:ext uri="{FF2B5EF4-FFF2-40B4-BE49-F238E27FC236}">
              <a16:creationId xmlns:a16="http://schemas.microsoft.com/office/drawing/2014/main" id="{7E2D7337-FA4A-C343-86A1-45BC3019DB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9</xdr:row>
      <xdr:rowOff>0</xdr:rowOff>
    </xdr:from>
    <xdr:to>
      <xdr:col>19</xdr:col>
      <xdr:colOff>444500</xdr:colOff>
      <xdr:row>23</xdr:row>
      <xdr:rowOff>76200</xdr:rowOff>
    </xdr:to>
    <xdr:graphicFrame macro="">
      <xdr:nvGraphicFramePr>
        <xdr:cNvPr id="3" name="Chart 2">
          <a:extLst>
            <a:ext uri="{FF2B5EF4-FFF2-40B4-BE49-F238E27FC236}">
              <a16:creationId xmlns:a16="http://schemas.microsoft.com/office/drawing/2014/main" id="{7A1961B8-7603-B146-BBF3-114A56A265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31</xdr:row>
      <xdr:rowOff>0</xdr:rowOff>
    </xdr:from>
    <xdr:to>
      <xdr:col>8</xdr:col>
      <xdr:colOff>444500</xdr:colOff>
      <xdr:row>45</xdr:row>
      <xdr:rowOff>76200</xdr:rowOff>
    </xdr:to>
    <xdr:graphicFrame macro="">
      <xdr:nvGraphicFramePr>
        <xdr:cNvPr id="5" name="Chart 4">
          <a:extLst>
            <a:ext uri="{FF2B5EF4-FFF2-40B4-BE49-F238E27FC236}">
              <a16:creationId xmlns:a16="http://schemas.microsoft.com/office/drawing/2014/main" id="{103F31A6-2E40-234B-89C9-514725B4C2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xdr:colOff>
      <xdr:row>51</xdr:row>
      <xdr:rowOff>84667</xdr:rowOff>
    </xdr:from>
    <xdr:to>
      <xdr:col>20</xdr:col>
      <xdr:colOff>79376</xdr:colOff>
      <xdr:row>65</xdr:row>
      <xdr:rowOff>160867</xdr:rowOff>
    </xdr:to>
    <xdr:graphicFrame macro="">
      <xdr:nvGraphicFramePr>
        <xdr:cNvPr id="4" name="Chart 3">
          <a:extLst>
            <a:ext uri="{FF2B5EF4-FFF2-40B4-BE49-F238E27FC236}">
              <a16:creationId xmlns:a16="http://schemas.microsoft.com/office/drawing/2014/main" id="{093FDAEC-2AF8-8742-98E9-7422DFD48F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0</xdr:colOff>
      <xdr:row>31</xdr:row>
      <xdr:rowOff>0</xdr:rowOff>
    </xdr:from>
    <xdr:to>
      <xdr:col>19</xdr:col>
      <xdr:colOff>444500</xdr:colOff>
      <xdr:row>45</xdr:row>
      <xdr:rowOff>76200</xdr:rowOff>
    </xdr:to>
    <xdr:graphicFrame macro="">
      <xdr:nvGraphicFramePr>
        <xdr:cNvPr id="6" name="Chart 5">
          <a:extLst>
            <a:ext uri="{FF2B5EF4-FFF2-40B4-BE49-F238E27FC236}">
              <a16:creationId xmlns:a16="http://schemas.microsoft.com/office/drawing/2014/main" id="{FC807108-E009-F347-A7C7-594EFE3A0D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817034</xdr:colOff>
      <xdr:row>9</xdr:row>
      <xdr:rowOff>93133</xdr:rowOff>
    </xdr:from>
    <xdr:to>
      <xdr:col>22</xdr:col>
      <xdr:colOff>169334</xdr:colOff>
      <xdr:row>50</xdr:row>
      <xdr:rowOff>119063</xdr:rowOff>
    </xdr:to>
    <mc:AlternateContent xmlns:mc="http://schemas.openxmlformats.org/markup-compatibility/2006" xmlns:a14="http://schemas.microsoft.com/office/drawing/2010/main">
      <mc:Choice Requires="a14">
        <xdr:graphicFrame macro="">
          <xdr:nvGraphicFramePr>
            <xdr:cNvPr id="7" name="Sales manager">
              <a:extLst>
                <a:ext uri="{FF2B5EF4-FFF2-40B4-BE49-F238E27FC236}">
                  <a16:creationId xmlns:a16="http://schemas.microsoft.com/office/drawing/2014/main" id="{3BD677B6-2A5A-E1F7-1ED2-87E27BFB4B6B}"/>
                </a:ext>
              </a:extLst>
            </xdr:cNvPr>
            <xdr:cNvGraphicFramePr/>
          </xdr:nvGraphicFramePr>
          <xdr:xfrm>
            <a:off x="0" y="0"/>
            <a:ext cx="0" cy="0"/>
          </xdr:xfrm>
          <a:graphic>
            <a:graphicData uri="http://schemas.microsoft.com/office/drawing/2010/slicer">
              <sle:slicer xmlns:sle="http://schemas.microsoft.com/office/drawing/2010/slicer" name="Sales manager"/>
            </a:graphicData>
          </a:graphic>
        </xdr:graphicFrame>
      </mc:Choice>
      <mc:Fallback xmlns="">
        <xdr:sp macro="" textlink="">
          <xdr:nvSpPr>
            <xdr:cNvPr id="0" name=""/>
            <xdr:cNvSpPr>
              <a:spLocks noTextEdit="1"/>
            </xdr:cNvSpPr>
          </xdr:nvSpPr>
          <xdr:spPr>
            <a:xfrm>
              <a:off x="16015395" y="1030018"/>
              <a:ext cx="1850660" cy="238827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368300</xdr:colOff>
      <xdr:row>9</xdr:row>
      <xdr:rowOff>38100</xdr:rowOff>
    </xdr:from>
    <xdr:to>
      <xdr:col>2</xdr:col>
      <xdr:colOff>546100</xdr:colOff>
      <xdr:row>51</xdr:row>
      <xdr:rowOff>59531</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E369739D-E4E8-F7E1-B7DC-6044A0E1589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68300" y="974985"/>
              <a:ext cx="1843374" cy="318857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ri Sitaram Angane" refreshedDate="45958.854439699076" createdVersion="8" refreshedVersion="8" minRefreshableVersion="3" recordCount="2500" xr:uid="{A9873231-6256-C048-A22B-3C6E8CEBDD52}">
  <cacheSource type="worksheet">
    <worksheetSource ref="A1:Q2501" sheet="Orders Main data"/>
  </cacheSource>
  <cacheFields count="20">
    <cacheField name="Order ID" numFmtId="0">
      <sharedItems containsSemiMixedTypes="0" containsString="0" containsNumber="1" containsInteger="1" minValue="1597" maxValue="1682358"/>
    </cacheField>
    <cacheField name="Customer ID" numFmtId="0">
      <sharedItems containsSemiMixedTypes="0" containsString="0" containsNumber="1" containsInteger="1" minValue="1" maxValue="1998"/>
    </cacheField>
    <cacheField name="Customer Country" numFmtId="0">
      <sharedItems/>
    </cacheField>
    <cacheField name="Order Datetime" numFmtId="165">
      <sharedItems containsSemiMixedTypes="0" containsNonDate="0" containsDate="1" containsString="0" minDate="2023-01-01T00:44:00" maxDate="2023-12-31T23:34:00"/>
    </cacheField>
    <cacheField name="Order Source" numFmtId="0">
      <sharedItems count="4">
        <s v="Other"/>
        <s v="Whatsapp"/>
        <s v="Website"/>
        <s v="App"/>
      </sharedItems>
    </cacheField>
    <cacheField name="Sales POC" numFmtId="0">
      <sharedItems count="92">
        <s v="Kwai Yu"/>
        <s v="Paul Henriot"/>
        <s v="Daniel Da Cunha"/>
        <s v="Julie Young"/>
        <s v="Julie Brown"/>
        <s v="Juri Hirano"/>
        <s v="Martine Rance"/>
        <s v="Veysel Oeztan"/>
        <s v="Julie Murphy"/>
        <s v="Dominique Perrier"/>
        <s v="Peter Ferguson"/>
        <s v="Michael Frick"/>
        <s v="William Brown"/>
        <s v="Julie King"/>
        <s v="Janine Labrune"/>
        <s v="Marta Hernandez"/>
        <s v="Matti Karttunen"/>
        <s v="Jonas Bergulfsen"/>
        <s v="Kyung Yu"/>
        <s v="Georg Pipps"/>
        <s v="Adrian Huxley"/>
        <s v="Violeta Benitez"/>
        <s v="Elizabeth Devon"/>
        <s v="Diego Freyre"/>
        <s v="Christina Berglund"/>
        <s v="Mart¡n Sommer"/>
        <s v="Eric Natividad"/>
        <s v="Maria Hernandez"/>
        <s v="Tony Calaghan"/>
        <s v="Francisca Cervantes"/>
        <s v="Mary Saveley"/>
        <s v="Yoshi Tannamuri"/>
        <s v="Steve Thompson"/>
        <s v="Kyung Tseng"/>
        <s v="Leslie Murphy"/>
        <s v="Akiko Shimamura"/>
        <s v="Paolo Accorti"/>
        <s v="Maria Larsson"/>
        <s v="Daniel Tonini"/>
        <s v="Valarie Nelson"/>
        <s v="Valarie Young"/>
        <s v="Allen Nelson"/>
        <s v="Anna O'Hara"/>
        <s v="Jean Fresnisre"/>
        <s v="Mory Kentary"/>
        <s v="Rosa Hernandez"/>
        <s v="Carine Schmitt"/>
        <s v="Steve Frick"/>
        <s v="Jytte Petersen"/>
        <s v="Ann Brown"/>
        <s v="Wing C Tam"/>
        <s v="Annette Roulet"/>
        <s v="Thomas Hardy"/>
        <s v="Eduardo Saavedra"/>
        <s v="Michael Chandler"/>
        <s v="Valarie Thompson"/>
        <s v="Catherine Dewey"/>
        <s v="Elizabeth Lincoln"/>
        <s v="Juri Yoshido"/>
        <s v="Helen Bennett"/>
        <s v="Pirkko Koskitalo"/>
        <s v="Sue Frick"/>
        <s v="Marie Bertrand"/>
        <s v="Roland Mendel"/>
        <s v="Valarie Franco"/>
        <s v="Wendy Victorino"/>
        <s v="Arnold Cruz"/>
        <s v="Laurence Lebihan"/>
        <s v="Henriette Pfalzheim"/>
        <s v="Michael Holz"/>
        <s v="Maurizio Moroni"/>
        <s v="Miguel Barajas"/>
        <s v="Roland Keitel"/>
        <s v="Kalle Suominen"/>
        <s v="Jeff Young"/>
        <s v="Dean Cassidy"/>
        <s v="Jesus Fernandez"/>
        <s v="Victoria Ashworth"/>
        <s v="Palle Ibsen"/>
        <s v="Kee Kuo"/>
        <s v="Leslie Young"/>
        <s v="Jose Pedro Roel"/>
        <s v="Sue Taylor"/>
        <s v="Frederique Citeaux"/>
        <s v="Sue King"/>
        <s v="Jan Klaeboe"/>
        <s v="Giovanni Rovelli"/>
        <s v="Sean Connery"/>
        <s v="Dan Lewis"/>
        <s v="Michael Donnermeyer"/>
        <s v="Pascale Cartrain"/>
        <s v="Leslie Taylor"/>
      </sharedItems>
    </cacheField>
    <cacheField name="Order Value" numFmtId="0">
      <sharedItems containsSemiMixedTypes="0" containsString="0" containsNumber="1" containsInteger="1" minValue="10" maxValue="9994"/>
    </cacheField>
    <cacheField name="Country/index match" numFmtId="14">
      <sharedItems/>
    </cacheField>
    <cacheField name="Order date" numFmtId="14">
      <sharedItems containsSemiMixedTypes="0" containsNonDate="0" containsDate="1" containsString="0" minDate="2023-01-01T00:00:00" maxDate="2024-01-01T00:00:00" count="365">
        <d v="2023-12-15T00:00:00"/>
        <d v="2023-04-29T00:00:00"/>
        <d v="2023-12-30T00:00:00"/>
        <d v="2023-11-28T00:00:00"/>
        <d v="2023-10-26T00:00:00"/>
        <d v="2023-03-08T00:00:00"/>
        <d v="2023-02-18T00:00:00"/>
        <d v="2023-11-23T00:00:00"/>
        <d v="2023-12-23T00:00:00"/>
        <d v="2023-11-03T00:00:00"/>
        <d v="2023-07-26T00:00:00"/>
        <d v="2023-12-18T00:00:00"/>
        <d v="2023-06-05T00:00:00"/>
        <d v="2023-11-27T00:00:00"/>
        <d v="2023-10-04T00:00:00"/>
        <d v="2023-08-24T00:00:00"/>
        <d v="2023-10-19T00:00:00"/>
        <d v="2023-10-13T00:00:00"/>
        <d v="2023-01-19T00:00:00"/>
        <d v="2023-03-17T00:00:00"/>
        <d v="2023-06-11T00:00:00"/>
        <d v="2023-01-23T00:00:00"/>
        <d v="2023-09-10T00:00:00"/>
        <d v="2023-03-18T00:00:00"/>
        <d v="2023-06-03T00:00:00"/>
        <d v="2023-07-31T00:00:00"/>
        <d v="2023-11-30T00:00:00"/>
        <d v="2023-11-08T00:00:00"/>
        <d v="2023-03-21T00:00:00"/>
        <d v="2023-03-16T00:00:00"/>
        <d v="2023-03-03T00:00:00"/>
        <d v="2023-02-20T00:00:00"/>
        <d v="2023-07-03T00:00:00"/>
        <d v="2023-10-10T00:00:00"/>
        <d v="2023-10-27T00:00:00"/>
        <d v="2023-06-30T00:00:00"/>
        <d v="2023-11-05T00:00:00"/>
        <d v="2023-05-07T00:00:00"/>
        <d v="2023-02-17T00:00:00"/>
        <d v="2023-02-23T00:00:00"/>
        <d v="2023-11-16T00:00:00"/>
        <d v="2023-07-01T00:00:00"/>
        <d v="2023-05-29T00:00:00"/>
        <d v="2023-09-25T00:00:00"/>
        <d v="2023-05-11T00:00:00"/>
        <d v="2023-10-06T00:00:00"/>
        <d v="2023-05-17T00:00:00"/>
        <d v="2023-10-18T00:00:00"/>
        <d v="2023-04-26T00:00:00"/>
        <d v="2023-02-06T00:00:00"/>
        <d v="2023-07-13T00:00:00"/>
        <d v="2023-05-10T00:00:00"/>
        <d v="2023-10-24T00:00:00"/>
        <d v="2023-06-24T00:00:00"/>
        <d v="2023-01-03T00:00:00"/>
        <d v="2023-10-20T00:00:00"/>
        <d v="2023-09-24T00:00:00"/>
        <d v="2023-05-12T00:00:00"/>
        <d v="2023-06-16T00:00:00"/>
        <d v="2023-10-15T00:00:00"/>
        <d v="2023-03-31T00:00:00"/>
        <d v="2023-06-09T00:00:00"/>
        <d v="2023-11-18T00:00:00"/>
        <d v="2023-07-09T00:00:00"/>
        <d v="2023-09-22T00:00:00"/>
        <d v="2023-10-28T00:00:00"/>
        <d v="2023-01-29T00:00:00"/>
        <d v="2023-04-02T00:00:00"/>
        <d v="2023-11-11T00:00:00"/>
        <d v="2023-06-07T00:00:00"/>
        <d v="2023-04-14T00:00:00"/>
        <d v="2023-09-23T00:00:00"/>
        <d v="2023-12-17T00:00:00"/>
        <d v="2023-02-07T00:00:00"/>
        <d v="2023-08-30T00:00:00"/>
        <d v="2023-10-05T00:00:00"/>
        <d v="2023-01-12T00:00:00"/>
        <d v="2023-07-21T00:00:00"/>
        <d v="2023-01-13T00:00:00"/>
        <d v="2023-01-06T00:00:00"/>
        <d v="2023-01-02T00:00:00"/>
        <d v="2023-12-26T00:00:00"/>
        <d v="2023-06-22T00:00:00"/>
        <d v="2023-03-28T00:00:00"/>
        <d v="2023-02-25T00:00:00"/>
        <d v="2023-07-27T00:00:00"/>
        <d v="2023-09-05T00:00:00"/>
        <d v="2023-03-07T00:00:00"/>
        <d v="2023-12-13T00:00:00"/>
        <d v="2023-01-17T00:00:00"/>
        <d v="2023-09-15T00:00:00"/>
        <d v="2023-11-07T00:00:00"/>
        <d v="2023-12-12T00:00:00"/>
        <d v="2023-06-23T00:00:00"/>
        <d v="2023-12-14T00:00:00"/>
        <d v="2023-04-05T00:00:00"/>
        <d v="2023-10-21T00:00:00"/>
        <d v="2023-03-14T00:00:00"/>
        <d v="2023-08-08T00:00:00"/>
        <d v="2023-05-13T00:00:00"/>
        <d v="2023-12-09T00:00:00"/>
        <d v="2023-03-30T00:00:00"/>
        <d v="2023-07-15T00:00:00"/>
        <d v="2023-12-21T00:00:00"/>
        <d v="2023-02-11T00:00:00"/>
        <d v="2023-11-02T00:00:00"/>
        <d v="2023-05-05T00:00:00"/>
        <d v="2023-04-17T00:00:00"/>
        <d v="2023-04-19T00:00:00"/>
        <d v="2023-11-12T00:00:00"/>
        <d v="2023-02-19T00:00:00"/>
        <d v="2023-01-05T00:00:00"/>
        <d v="2023-01-26T00:00:00"/>
        <d v="2023-07-30T00:00:00"/>
        <d v="2023-10-16T00:00:00"/>
        <d v="2023-02-10T00:00:00"/>
        <d v="2023-05-15T00:00:00"/>
        <d v="2023-06-10T00:00:00"/>
        <d v="2023-03-25T00:00:00"/>
        <d v="2023-11-09T00:00:00"/>
        <d v="2023-11-25T00:00:00"/>
        <d v="2023-09-18T00:00:00"/>
        <d v="2023-08-17T00:00:00"/>
        <d v="2023-06-15T00:00:00"/>
        <d v="2023-06-14T00:00:00"/>
        <d v="2023-05-20T00:00:00"/>
        <d v="2023-11-24T00:00:00"/>
        <d v="2023-04-04T00:00:00"/>
        <d v="2023-01-27T00:00:00"/>
        <d v="2023-04-03T00:00:00"/>
        <d v="2023-03-01T00:00:00"/>
        <d v="2023-02-08T00:00:00"/>
        <d v="2023-03-26T00:00:00"/>
        <d v="2023-05-19T00:00:00"/>
        <d v="2023-04-25T00:00:00"/>
        <d v="2023-08-03T00:00:00"/>
        <d v="2023-12-06T00:00:00"/>
        <d v="2023-03-02T00:00:00"/>
        <d v="2023-06-25T00:00:00"/>
        <d v="2023-02-02T00:00:00"/>
        <d v="2023-03-19T00:00:00"/>
        <d v="2023-05-03T00:00:00"/>
        <d v="2023-10-01T00:00:00"/>
        <d v="2023-07-02T00:00:00"/>
        <d v="2023-05-16T00:00:00"/>
        <d v="2023-02-28T00:00:00"/>
        <d v="2023-02-15T00:00:00"/>
        <d v="2023-04-11T00:00:00"/>
        <d v="2023-09-12T00:00:00"/>
        <d v="2023-07-11T00:00:00"/>
        <d v="2023-08-18T00:00:00"/>
        <d v="2023-02-03T00:00:00"/>
        <d v="2023-10-17T00:00:00"/>
        <d v="2023-05-18T00:00:00"/>
        <d v="2023-07-29T00:00:00"/>
        <d v="2023-10-02T00:00:00"/>
        <d v="2023-01-11T00:00:00"/>
        <d v="2023-02-14T00:00:00"/>
        <d v="2023-08-19T00:00:00"/>
        <d v="2023-08-02T00:00:00"/>
        <d v="2023-02-24T00:00:00"/>
        <d v="2023-01-15T00:00:00"/>
        <d v="2023-04-10T00:00:00"/>
        <d v="2023-01-20T00:00:00"/>
        <d v="2023-05-24T00:00:00"/>
        <d v="2023-04-20T00:00:00"/>
        <d v="2023-08-12T00:00:00"/>
        <d v="2023-07-04T00:00:00"/>
        <d v="2023-06-20T00:00:00"/>
        <d v="2023-11-17T00:00:00"/>
        <d v="2023-01-14T00:00:00"/>
        <d v="2023-03-20T00:00:00"/>
        <d v="2023-11-01T00:00:00"/>
        <d v="2023-05-14T00:00:00"/>
        <d v="2023-06-06T00:00:00"/>
        <d v="2023-11-06T00:00:00"/>
        <d v="2023-05-21T00:00:00"/>
        <d v="2023-02-09T00:00:00"/>
        <d v="2023-11-29T00:00:00"/>
        <d v="2023-05-31T00:00:00"/>
        <d v="2023-12-02T00:00:00"/>
        <d v="2023-01-16T00:00:00"/>
        <d v="2023-05-09T00:00:00"/>
        <d v="2023-08-22T00:00:00"/>
        <d v="2023-02-22T00:00:00"/>
        <d v="2023-11-21T00:00:00"/>
        <d v="2023-08-13T00:00:00"/>
        <d v="2023-08-06T00:00:00"/>
        <d v="2023-08-05T00:00:00"/>
        <d v="2023-02-04T00:00:00"/>
        <d v="2023-06-04T00:00:00"/>
        <d v="2023-07-06T00:00:00"/>
        <d v="2023-08-14T00:00:00"/>
        <d v="2023-04-16T00:00:00"/>
        <d v="2023-04-07T00:00:00"/>
        <d v="2023-02-05T00:00:00"/>
        <d v="2023-09-07T00:00:00"/>
        <d v="2023-02-16T00:00:00"/>
        <d v="2023-08-31T00:00:00"/>
        <d v="2023-02-12T00:00:00"/>
        <d v="2023-07-24T00:00:00"/>
        <d v="2023-12-03T00:00:00"/>
        <d v="2023-03-27T00:00:00"/>
        <d v="2023-01-04T00:00:00"/>
        <d v="2023-09-02T00:00:00"/>
        <d v="2023-07-23T00:00:00"/>
        <d v="2023-09-21T00:00:00"/>
        <d v="2023-08-28T00:00:00"/>
        <d v="2023-10-09T00:00:00"/>
        <d v="2023-07-28T00:00:00"/>
        <d v="2023-07-08T00:00:00"/>
        <d v="2023-05-02T00:00:00"/>
        <d v="2023-07-17T00:00:00"/>
        <d v="2023-09-17T00:00:00"/>
        <d v="2023-01-30T00:00:00"/>
        <d v="2023-05-08T00:00:00"/>
        <d v="2023-11-20T00:00:00"/>
        <d v="2023-12-22T00:00:00"/>
        <d v="2023-04-23T00:00:00"/>
        <d v="2023-04-01T00:00:00"/>
        <d v="2023-07-16T00:00:00"/>
        <d v="2023-05-26T00:00:00"/>
        <d v="2023-07-12T00:00:00"/>
        <d v="2023-12-05T00:00:00"/>
        <d v="2023-12-11T00:00:00"/>
        <d v="2023-03-15T00:00:00"/>
        <d v="2023-12-07T00:00:00"/>
        <d v="2023-08-15T00:00:00"/>
        <d v="2023-06-01T00:00:00"/>
        <d v="2023-05-28T00:00:00"/>
        <d v="2023-08-26T00:00:00"/>
        <d v="2023-12-24T00:00:00"/>
        <d v="2023-09-03T00:00:00"/>
        <d v="2023-08-21T00:00:00"/>
        <d v="2023-06-17T00:00:00"/>
        <d v="2023-10-23T00:00:00"/>
        <d v="2023-01-31T00:00:00"/>
        <d v="2023-09-14T00:00:00"/>
        <d v="2023-08-01T00:00:00"/>
        <d v="2023-09-26T00:00:00"/>
        <d v="2023-06-21T00:00:00"/>
        <d v="2023-09-11T00:00:00"/>
        <d v="2023-03-12T00:00:00"/>
        <d v="2023-05-30T00:00:00"/>
        <d v="2023-11-04T00:00:00"/>
        <d v="2023-04-15T00:00:00"/>
        <d v="2023-04-22T00:00:00"/>
        <d v="2023-01-18T00:00:00"/>
        <d v="2023-08-29T00:00:00"/>
        <d v="2023-11-19T00:00:00"/>
        <d v="2023-03-11T00:00:00"/>
        <d v="2023-08-20T00:00:00"/>
        <d v="2023-06-13T00:00:00"/>
        <d v="2023-04-06T00:00:00"/>
        <d v="2023-09-16T00:00:00"/>
        <d v="2023-04-18T00:00:00"/>
        <d v="2023-10-14T00:00:00"/>
        <d v="2023-12-16T00:00:00"/>
        <d v="2023-08-07T00:00:00"/>
        <d v="2023-12-28T00:00:00"/>
        <d v="2023-04-13T00:00:00"/>
        <d v="2023-09-30T00:00:00"/>
        <d v="2023-05-25T00:00:00"/>
        <d v="2023-12-08T00:00:00"/>
        <d v="2023-07-07T00:00:00"/>
        <d v="2023-07-20T00:00:00"/>
        <d v="2023-06-02T00:00:00"/>
        <d v="2023-06-08T00:00:00"/>
        <d v="2023-09-13T00:00:00"/>
        <d v="2023-02-26T00:00:00"/>
        <d v="2023-09-28T00:00:00"/>
        <d v="2023-09-01T00:00:00"/>
        <d v="2023-03-04T00:00:00"/>
        <d v="2023-09-20T00:00:00"/>
        <d v="2023-09-19T00:00:00"/>
        <d v="2023-01-24T00:00:00"/>
        <d v="2023-04-21T00:00:00"/>
        <d v="2023-12-29T00:00:00"/>
        <d v="2023-05-27T00:00:00"/>
        <d v="2023-12-31T00:00:00"/>
        <d v="2023-08-16T00:00:00"/>
        <d v="2023-03-06T00:00:00"/>
        <d v="2023-08-09T00:00:00"/>
        <d v="2023-11-10T00:00:00"/>
        <d v="2023-03-29T00:00:00"/>
        <d v="2023-06-28T00:00:00"/>
        <d v="2023-10-07T00:00:00"/>
        <d v="2023-10-31T00:00:00"/>
        <d v="2023-05-06T00:00:00"/>
        <d v="2023-11-26T00:00:00"/>
        <d v="2023-04-24T00:00:00"/>
        <d v="2023-05-01T00:00:00"/>
        <d v="2023-12-27T00:00:00"/>
        <d v="2023-01-10T00:00:00"/>
        <d v="2023-03-24T00:00:00"/>
        <d v="2023-04-30T00:00:00"/>
        <d v="2023-03-22T00:00:00"/>
        <d v="2023-01-08T00:00:00"/>
        <d v="2023-02-27T00:00:00"/>
        <d v="2023-09-27T00:00:00"/>
        <d v="2023-10-30T00:00:00"/>
        <d v="2023-02-13T00:00:00"/>
        <d v="2023-07-22T00:00:00"/>
        <d v="2023-10-12T00:00:00"/>
        <d v="2023-01-22T00:00:00"/>
        <d v="2023-06-29T00:00:00"/>
        <d v="2023-11-13T00:00:00"/>
        <d v="2023-10-03T00:00:00"/>
        <d v="2023-01-25T00:00:00"/>
        <d v="2023-12-10T00:00:00"/>
        <d v="2023-05-22T00:00:00"/>
        <d v="2023-07-10T00:00:00"/>
        <d v="2023-12-25T00:00:00"/>
        <d v="2023-01-09T00:00:00"/>
        <d v="2023-06-26T00:00:00"/>
        <d v="2023-09-08T00:00:00"/>
        <d v="2023-07-19T00:00:00"/>
        <d v="2023-03-13T00:00:00"/>
        <d v="2023-09-04T00:00:00"/>
        <d v="2023-10-08T00:00:00"/>
        <d v="2023-03-23T00:00:00"/>
        <d v="2023-04-27T00:00:00"/>
        <d v="2023-10-22T00:00:00"/>
        <d v="2023-01-28T00:00:00"/>
        <d v="2023-07-05T00:00:00"/>
        <d v="2023-01-21T00:00:00"/>
        <d v="2023-12-01T00:00:00"/>
        <d v="2023-10-29T00:00:00"/>
        <d v="2023-06-27T00:00:00"/>
        <d v="2023-10-11T00:00:00"/>
        <d v="2023-01-01T00:00:00"/>
        <d v="2023-07-25T00:00:00"/>
        <d v="2023-08-25T00:00:00"/>
        <d v="2023-08-23T00:00:00"/>
        <d v="2023-07-18T00:00:00"/>
        <d v="2023-04-28T00:00:00"/>
        <d v="2023-01-07T00:00:00"/>
        <d v="2023-06-19T00:00:00"/>
        <d v="2023-02-21T00:00:00"/>
        <d v="2023-09-06T00:00:00"/>
        <d v="2023-08-11T00:00:00"/>
        <d v="2023-12-20T00:00:00"/>
        <d v="2023-06-12T00:00:00"/>
        <d v="2023-10-25T00:00:00"/>
        <d v="2023-07-14T00:00:00"/>
        <d v="2023-06-18T00:00:00"/>
        <d v="2023-03-05T00:00:00"/>
        <d v="2023-08-10T00:00:00"/>
        <d v="2023-04-08T00:00:00"/>
        <d v="2023-05-23T00:00:00"/>
        <d v="2023-12-19T00:00:00"/>
        <d v="2023-03-09T00:00:00"/>
        <d v="2023-08-27T00:00:00"/>
        <d v="2023-08-04T00:00:00"/>
        <d v="2023-12-04T00:00:00"/>
        <d v="2023-11-15T00:00:00"/>
        <d v="2023-05-04T00:00:00"/>
        <d v="2023-11-22T00:00:00"/>
        <d v="2023-03-10T00:00:00"/>
        <d v="2023-09-29T00:00:00"/>
        <d v="2023-09-09T00:00:00"/>
        <d v="2023-04-12T00:00:00"/>
        <d v="2023-11-14T00:00:00"/>
        <d v="2023-02-01T00:00:00"/>
        <d v="2023-04-09T00:00:00"/>
      </sharedItems>
      <fieldGroup par="17"/>
    </cacheField>
    <cacheField name="Order Time" numFmtId="21">
      <sharedItems containsSemiMixedTypes="0" containsNonDate="0" containsDate="1" containsString="0" minDate="1899-12-30T01:00:00" maxDate="1899-12-30T12:59:00" count="221">
        <d v="1899-12-30T12:50:00"/>
        <d v="1899-12-30T11:40:00"/>
        <d v="1899-12-30T12:21:00"/>
        <d v="1899-12-30T12:31:00"/>
        <d v="1899-12-30T11:11:00"/>
        <d v="1899-12-30T10:52:00"/>
        <d v="1899-12-30T12:23:00"/>
        <d v="1899-12-30T01:10:00"/>
        <d v="1899-12-30T01:20:00"/>
        <d v="1899-12-30T11:46:00"/>
        <d v="1899-12-30T12:11:00"/>
        <d v="1899-12-30T12:39:00"/>
        <d v="1899-12-30T01:05:00"/>
        <d v="1899-12-30T10:29:00"/>
        <d v="1899-12-30T01:42:00"/>
        <d v="1899-12-30T11:13:00"/>
        <d v="1899-12-30T01:01:00"/>
        <d v="1899-12-30T10:33:00"/>
        <d v="1899-12-30T11:16:00"/>
        <d v="1899-12-30T12:12:00"/>
        <d v="1899-12-30T12:17:00"/>
        <d v="1899-12-30T12:34:00"/>
        <d v="1899-12-30T12:06:00"/>
        <d v="1899-12-30T02:00:00"/>
        <d v="1899-12-30T11:19:00"/>
        <d v="1899-12-30T10:59:00"/>
        <d v="1899-12-30T10:56:00"/>
        <d v="1899-12-30T11:20:00"/>
        <d v="1899-12-30T12:58:00"/>
        <d v="1899-12-30T12:45:00"/>
        <d v="1899-12-30T12:52:00"/>
        <d v="1899-12-30T01:07:00"/>
        <d v="1899-12-30T01:13:00"/>
        <d v="1899-12-30T01:49:00"/>
        <d v="1899-12-30T12:07:00"/>
        <d v="1899-12-30T12:49:00"/>
        <d v="1899-12-30T12:53:00"/>
        <d v="1899-12-30T01:08:00"/>
        <d v="1899-12-30T11:42:00"/>
        <d v="1899-12-30T12:28:00"/>
        <d v="1899-12-30T11:07:00"/>
        <d v="1899-12-30T02:22:00"/>
        <d v="1899-12-30T12:57:00"/>
        <d v="1899-12-30T11:49:00"/>
        <d v="1899-12-30T12:55:00"/>
        <d v="1899-12-30T01:50:00"/>
        <d v="1899-12-30T01:48:00"/>
        <d v="1899-12-30T01:33:00"/>
        <d v="1899-12-30T12:05:00"/>
        <d v="1899-12-30T01:28:00"/>
        <d v="1899-12-30T12:29:00"/>
        <d v="1899-12-30T12:40:00"/>
        <d v="1899-12-30T01:12:00"/>
        <d v="1899-12-30T12:33:00"/>
        <d v="1899-12-30T12:22:00"/>
        <d v="1899-12-30T10:35:00"/>
        <d v="1899-12-30T11:24:00"/>
        <d v="1899-12-30T11:31:00"/>
        <d v="1899-12-30T12:32:00"/>
        <d v="1899-12-30T01:45:00"/>
        <d v="1899-12-30T12:41:00"/>
        <d v="1899-12-30T12:16:00"/>
        <d v="1899-12-30T11:33:00"/>
        <d v="1899-12-30T12:01:00"/>
        <d v="1899-12-30T12:04:00"/>
        <d v="1899-12-30T01:26:00"/>
        <d v="1899-12-30T11:08:00"/>
        <d v="1899-12-30T12:35:00"/>
        <d v="1899-12-30T12:20:00"/>
        <d v="1899-12-30T11:21:00"/>
        <d v="1899-12-30T11:14:00"/>
        <d v="1899-12-30T11:29:00"/>
        <d v="1899-12-30T12:03:00"/>
        <d v="1899-12-30T12:54:00"/>
        <d v="1899-12-30T11:35:00"/>
        <d v="1899-12-30T12:47:00"/>
        <d v="1899-12-30T01:40:00"/>
        <d v="1899-12-30T12:46:00"/>
        <d v="1899-12-30T11:37:00"/>
        <d v="1899-12-30T11:27:00"/>
        <d v="1899-12-30T11:38:00"/>
        <d v="1899-12-30T12:09:00"/>
        <d v="1899-12-30T02:12:00"/>
        <d v="1899-12-30T01:23:00"/>
        <d v="1899-12-30T01:16:00"/>
        <d v="1899-12-30T12:44:00"/>
        <d v="1899-12-30T01:41:00"/>
        <d v="1899-12-30T11:51:00"/>
        <d v="1899-12-30T12:48:00"/>
        <d v="1899-12-30T12:02:00"/>
        <d v="1899-12-30T10:39:00"/>
        <d v="1899-12-30T11:32:00"/>
        <d v="1899-12-30T01:09:00"/>
        <d v="1899-12-30T12:51:00"/>
        <d v="1899-12-30T11:52:00"/>
        <d v="1899-12-30T01:19:00"/>
        <d v="1899-12-30T11:58:00"/>
        <d v="1899-12-30T12:13:00"/>
        <d v="1899-12-30T02:16:00"/>
        <d v="1899-12-30T11:34:00"/>
        <d v="1899-12-30T11:47:00"/>
        <d v="1899-12-30T11:39:00"/>
        <d v="1899-12-30T01:53:00"/>
        <d v="1899-12-30T01:29:00"/>
        <d v="1899-12-30T01:51:00"/>
        <d v="1899-12-30T10:54:00"/>
        <d v="1899-12-30T10:36:00"/>
        <d v="1899-12-30T12:10:00"/>
        <d v="1899-12-30T12:27:00"/>
        <d v="1899-12-30T01:37:00"/>
        <d v="1899-12-30T10:57:00"/>
        <d v="1899-12-30T12:30:00"/>
        <d v="1899-12-30T12:43:00"/>
        <d v="1899-12-30T02:26:00"/>
        <d v="1899-12-30T11:02:00"/>
        <d v="1899-12-30T12:24:00"/>
        <d v="1899-12-30T11:57:00"/>
        <d v="1899-12-30T01:32:00"/>
        <d v="1899-12-30T01:43:00"/>
        <d v="1899-12-30T10:41:00"/>
        <d v="1899-12-30T12:36:00"/>
        <d v="1899-12-30T01:04:00"/>
        <d v="1899-12-30T01:11:00"/>
        <d v="1899-12-30T12:15:00"/>
        <d v="1899-12-30T01:24:00"/>
        <d v="1899-12-30T10:55:00"/>
        <d v="1899-12-30T12:00:00"/>
        <d v="1899-12-30T01:15:00"/>
        <d v="1899-12-30T01:21:00"/>
        <d v="1899-12-30T01:46:00"/>
        <d v="1899-12-30T01:03:00"/>
        <d v="1899-12-30T02:07:00"/>
        <d v="1899-12-30T01:59:00"/>
        <d v="1899-12-30T10:50:00"/>
        <d v="1899-12-30T11:28:00"/>
        <d v="1899-12-30T11:36:00"/>
        <d v="1899-12-30T11:15:00"/>
        <d v="1899-12-30T11:22:00"/>
        <d v="1899-12-30T11:56:00"/>
        <d v="1899-12-30T12:18:00"/>
        <d v="1899-12-30T11:18:00"/>
        <d v="1899-12-30T11:25:00"/>
        <d v="1899-12-30T01:22:00"/>
        <d v="1899-12-30T01:54:00"/>
        <d v="1899-12-30T11:01:00"/>
        <d v="1899-12-30T10:40:00"/>
        <d v="1899-12-30T11:44:00"/>
        <d v="1899-12-30T10:44:00"/>
        <d v="1899-12-30T12:25:00"/>
        <d v="1899-12-30T12:08:00"/>
        <d v="1899-12-30T12:56:00"/>
        <d v="1899-12-30T12:26:00"/>
        <d v="1899-12-30T01:39:00"/>
        <d v="1899-12-30T11:48:00"/>
        <d v="1899-12-30T11:23:00"/>
        <d v="1899-12-30T11:41:00"/>
        <d v="1899-12-30T01:14:00"/>
        <d v="1899-12-30T01:58:00"/>
        <d v="1899-12-30T10:58:00"/>
        <d v="1899-12-30T11:05:00"/>
        <d v="1899-12-30T02:05:00"/>
        <d v="1899-12-30T01:34:00"/>
        <d v="1899-12-30T12:38:00"/>
        <d v="1899-12-30T11:06:00"/>
        <d v="1899-12-30T11:45:00"/>
        <d v="1899-12-30T10:47:00"/>
        <d v="1899-12-30T11:55:00"/>
        <d v="1899-12-30T12:19:00"/>
        <d v="1899-12-30T01:00:00"/>
        <d v="1899-12-30T11:43:00"/>
        <d v="1899-12-30T10:32:00"/>
        <d v="1899-12-30T11:00:00"/>
        <d v="1899-12-30T12:14:00"/>
        <d v="1899-12-30T01:36:00"/>
        <d v="1899-12-30T11:54:00"/>
        <d v="1899-12-30T11:09:00"/>
        <d v="1899-12-30T11:10:00"/>
        <d v="1899-12-30T01:31:00"/>
        <d v="1899-12-30T10:53:00"/>
        <d v="1899-12-30T01:52:00"/>
        <d v="1899-12-30T02:29:00"/>
        <d v="1899-12-30T11:59:00"/>
        <d v="1899-12-30T11:04:00"/>
        <d v="1899-12-30T11:03:00"/>
        <d v="1899-12-30T10:51:00"/>
        <d v="1899-12-30T10:12:00"/>
        <d v="1899-12-30T01:02:00"/>
        <d v="1899-12-30T11:53:00"/>
        <d v="1899-12-30T10:43:00"/>
        <d v="1899-12-30T01:47:00"/>
        <d v="1899-12-30T11:17:00"/>
        <d v="1899-12-30T11:26:00"/>
        <d v="1899-12-30T12:59:00"/>
        <d v="1899-12-30T10:45:00"/>
        <d v="1899-12-30T11:50:00"/>
        <d v="1899-12-30T01:25:00"/>
        <d v="1899-12-30T10:34:00"/>
        <d v="1899-12-30T02:23:00"/>
        <d v="1899-12-30T02:14:00"/>
        <d v="1899-12-30T02:10:00"/>
        <d v="1899-12-30T01:35:00"/>
        <d v="1899-12-30T12:37:00"/>
        <d v="1899-12-30T02:09:00"/>
        <d v="1899-12-30T01:44:00"/>
        <d v="1899-12-30T02:20:00"/>
        <d v="1899-12-30T04:44:00"/>
        <d v="1899-12-30T10:49:00"/>
        <d v="1899-12-30T01:06:00"/>
        <d v="1899-12-30T10:31:00"/>
        <d v="1899-12-30T01:30:00"/>
        <d v="1899-12-30T01:17:00"/>
        <d v="1899-12-30T01:38:00"/>
        <d v="1899-12-30T01:56:00"/>
        <d v="1899-12-30T11:30:00"/>
        <d v="1899-12-30T02:58:00"/>
        <d v="1899-12-30T12:42:00"/>
        <d v="1899-12-30T02:06:00"/>
        <d v="1899-12-30T01:57:00"/>
        <d v="1899-12-30T10:37:00"/>
        <d v="1899-12-30T01:27:00"/>
        <d v="1899-12-30T01:55:00"/>
      </sharedItems>
      <fieldGroup par="19"/>
    </cacheField>
    <cacheField name="Sales Team" numFmtId="0">
      <sharedItems count="5">
        <s v="Alpha"/>
        <s v="Beta"/>
        <s v="Gamma"/>
        <s v="Delta"/>
        <s v="Epsilon"/>
      </sharedItems>
    </cacheField>
    <cacheField name="2023 Sales Target" numFmtId="0">
      <sharedItems containsSemiMixedTypes="0" containsString="0" containsNumber="1" containsInteger="1" minValue="30000" maxValue="1000000"/>
    </cacheField>
    <cacheField name="Sales manager" numFmtId="0">
      <sharedItems count="30">
        <s v="Alexander  Müller"/>
        <s v="Sophia  Rossi"/>
        <s v="Lucas  Olsen"/>
        <s v="Emma  Hansen"/>
        <s v="Lukas  Schmidt"/>
        <s v="Sofia  Laine"/>
        <s v="Benjamin  Chen"/>
        <s v="Oliver  Kumar"/>
        <s v="Liam  Baumann"/>
        <s v="Liam  O'Sullivan"/>
        <s v="Marco  Bianchi"/>
        <s v="Emily  Murphy"/>
        <s v="Noah  Meier"/>
        <s v="Dev  Patel"/>
        <s v="Isabella  Garcia"/>
        <s v="Ava  Williams"/>
        <s v="Priya  Kapoor"/>
        <s v="Chloe  Dupont"/>
        <s v="Olivia  Jensen"/>
        <s v="Daniela  Hernandez"/>
        <s v="Sophie  Gruber"/>
        <s v="Lucas  Nielsen"/>
        <s v="William  Brown"/>
        <s v="Mia  Khan"/>
        <s v="Ethan  Lee"/>
        <s v="Amelia  Johnson"/>
        <s v="Aino  Virtanen"/>
        <s v="Charlotte  Miller"/>
        <s v="Benjamin  Weber"/>
        <s v="Emily  Dubois"/>
      </sharedItems>
    </cacheField>
    <cacheField name="Gender" numFmtId="0">
      <sharedItems/>
    </cacheField>
    <cacheField name="Age" numFmtId="0">
      <sharedItems containsSemiMixedTypes="0" containsString="0" containsNumber="1" containsInteger="1" minValue="18" maxValue="90" count="73">
        <n v="59"/>
        <n v="20"/>
        <n v="37"/>
        <n v="29"/>
        <n v="38"/>
        <n v="25"/>
        <n v="34"/>
        <n v="46"/>
        <n v="74"/>
        <n v="28"/>
        <n v="41"/>
        <n v="19"/>
        <n v="23"/>
        <n v="22"/>
        <n v="62"/>
        <n v="76"/>
        <n v="80"/>
        <n v="68"/>
        <n v="27"/>
        <n v="33"/>
        <n v="89"/>
        <n v="75"/>
        <n v="49"/>
        <n v="45"/>
        <n v="32"/>
        <n v="67"/>
        <n v="54"/>
        <n v="87"/>
        <n v="40"/>
        <n v="21"/>
        <n v="58"/>
        <n v="35"/>
        <n v="24"/>
        <n v="79"/>
        <n v="31"/>
        <n v="30"/>
        <n v="39"/>
        <n v="71"/>
        <n v="73"/>
        <n v="55"/>
        <n v="36"/>
        <n v="70"/>
        <n v="63"/>
        <n v="82"/>
        <n v="52"/>
        <n v="69"/>
        <n v="86"/>
        <n v="26"/>
        <n v="65"/>
        <n v="81"/>
        <n v="66"/>
        <n v="88"/>
        <n v="60"/>
        <n v="42"/>
        <n v="72"/>
        <n v="77"/>
        <n v="57"/>
        <n v="61"/>
        <n v="84"/>
        <n v="47"/>
        <n v="44"/>
        <n v="78"/>
        <n v="53"/>
        <n v="50"/>
        <n v="43"/>
        <n v="18"/>
        <n v="51"/>
        <n v="85"/>
        <n v="48"/>
        <n v="83"/>
        <n v="90"/>
        <n v="64"/>
        <n v="56"/>
      </sharedItems>
      <fieldGroup base="14">
        <rangePr autoStart="0" startNum="20" endNum="90" groupInterval="10"/>
        <groupItems count="9">
          <s v="&lt;20"/>
          <s v="20-29"/>
          <s v="30-39"/>
          <s v="40-49"/>
          <s v="50-59"/>
          <s v="60-69"/>
          <s v="70-79"/>
          <s v="80-90"/>
          <s v="&gt;90"/>
        </groupItems>
      </fieldGroup>
    </cacheField>
    <cacheField name="Category" numFmtId="0">
      <sharedItems count="4">
        <s v="B"/>
        <s v="D"/>
        <s v="A"/>
        <s v="C"/>
      </sharedItems>
    </cacheField>
    <cacheField name="Days (Order date)" numFmtId="0" databaseField="0">
      <fieldGroup base="8">
        <rangePr groupBy="days" startDate="2023-01-01T00:00:00" endDate="2024-01-01T00:00:00"/>
        <groupItems count="368">
          <s v="&lt;01/01/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4"/>
        </groupItems>
      </fieldGroup>
    </cacheField>
    <cacheField name="Months (Order date)" numFmtId="0" databaseField="0">
      <fieldGroup base="8">
        <rangePr groupBy="months" startDate="2023-01-01T00:00:00" endDate="2024-01-01T00:00:00"/>
        <groupItems count="14">
          <s v="&lt;01/01/23"/>
          <s v="Jan"/>
          <s v="Feb"/>
          <s v="Mar"/>
          <s v="Apr"/>
          <s v="May"/>
          <s v="Jun"/>
          <s v="Jul"/>
          <s v="Aug"/>
          <s v="Sep"/>
          <s v="Oct"/>
          <s v="Nov"/>
          <s v="Dec"/>
          <s v="&gt;01/01/24"/>
        </groupItems>
      </fieldGroup>
    </cacheField>
    <cacheField name="Minutes (Order Time)" numFmtId="0" databaseField="0">
      <fieldGroup base="9">
        <rangePr groupBy="minutes" startDate="1899-12-30T01:00:00" endDate="1899-12-30T12:59:00"/>
        <groupItems count="62">
          <s v="&lt;00/01/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00"/>
        </groupItems>
      </fieldGroup>
    </cacheField>
    <cacheField name="Hours (Order Time)" numFmtId="0" databaseField="0">
      <fieldGroup base="9">
        <rangePr groupBy="hours" startDate="1899-12-30T01:00:00" endDate="1899-12-30T12:59:00"/>
        <groupItems count="26">
          <s v="&lt;00/01/00"/>
          <s v="12 AM"/>
          <s v="1 AM"/>
          <s v="2 AM"/>
          <s v="3 AM"/>
          <s v="4 AM"/>
          <s v="5 AM"/>
          <s v="6 AM"/>
          <s v="7 AM"/>
          <s v="8 AM"/>
          <s v="9 AM"/>
          <s v="10 AM"/>
          <s v="11 AM"/>
          <s v="12 PM"/>
          <s v="1 PM"/>
          <s v="2 PM"/>
          <s v="3 PM"/>
          <s v="4 PM"/>
          <s v="5 PM"/>
          <s v="6 PM"/>
          <s v="7 PM"/>
          <s v="8 PM"/>
          <s v="9 PM"/>
          <s v="10 PM"/>
          <s v="11 PM"/>
          <s v="&gt;00/01/00"/>
        </groupItems>
      </fieldGroup>
    </cacheField>
  </cacheFields>
  <extLst>
    <ext xmlns:x14="http://schemas.microsoft.com/office/spreadsheetml/2009/9/main" uri="{725AE2AE-9491-48be-B2B4-4EB974FC3084}">
      <x14:pivotCacheDefinition pivotCacheId="134401390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ri Sitaram Angane" refreshedDate="45959.562315162038" createdVersion="8" refreshedVersion="8" minRefreshableVersion="3" recordCount="92" xr:uid="{7ADBEEEC-DD2E-9747-8970-1B12B35824AC}">
  <cacheSource type="worksheet">
    <worksheetSource ref="A1:F93" sheet="Sales Targets"/>
  </cacheSource>
  <cacheFields count="6">
    <cacheField name="Sales POC" numFmtId="0">
      <sharedItems/>
    </cacheField>
    <cacheField name="Sales Manager First Name" numFmtId="0">
      <sharedItems/>
    </cacheField>
    <cacheField name="Sales Manager Last Name" numFmtId="0">
      <sharedItems/>
    </cacheField>
    <cacheField name="Sales Team" numFmtId="0">
      <sharedItems count="5">
        <s v="Epsilon"/>
        <s v="Alpha"/>
        <s v="Beta"/>
        <s v="Gamma"/>
        <s v="Delta"/>
      </sharedItems>
    </cacheField>
    <cacheField name="2023 Sales Target" numFmtId="0">
      <sharedItems containsSemiMixedTypes="0" containsString="0" containsNumber="1" containsInteger="1" minValue="30000" maxValue="1000000"/>
    </cacheField>
    <cacheField name="Sales manag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n v="1597"/>
    <n v="856"/>
    <s v="USA"/>
    <d v="2023-12-15T00:50:00"/>
    <x v="0"/>
    <x v="0"/>
    <n v="412"/>
    <s v="USA"/>
    <x v="0"/>
    <x v="0"/>
    <x v="0"/>
    <n v="200000"/>
    <x v="0"/>
    <s v="M"/>
    <x v="0"/>
    <x v="0"/>
  </r>
  <r>
    <n v="2011"/>
    <n v="525"/>
    <s v="India"/>
    <d v="2023-04-29T23:40:00"/>
    <x v="1"/>
    <x v="1"/>
    <n v="4551"/>
    <s v="India"/>
    <x v="1"/>
    <x v="1"/>
    <x v="1"/>
    <n v="200000"/>
    <x v="1"/>
    <s v="F"/>
    <x v="1"/>
    <x v="0"/>
  </r>
  <r>
    <n v="2822"/>
    <n v="1614"/>
    <s v="USA"/>
    <d v="2023-12-30T00:21:00"/>
    <x v="1"/>
    <x v="2"/>
    <n v="3960"/>
    <s v="USA"/>
    <x v="2"/>
    <x v="2"/>
    <x v="2"/>
    <n v="100000"/>
    <x v="2"/>
    <s v="M"/>
    <x v="2"/>
    <x v="1"/>
  </r>
  <r>
    <n v="2889"/>
    <n v="743"/>
    <s v="USA"/>
    <d v="2023-11-28T00:31:00"/>
    <x v="1"/>
    <x v="3"/>
    <n v="8397"/>
    <s v="USA"/>
    <x v="3"/>
    <x v="3"/>
    <x v="2"/>
    <n v="150000"/>
    <x v="3"/>
    <s v="F"/>
    <x v="3"/>
    <x v="0"/>
  </r>
  <r>
    <n v="3971"/>
    <n v="20"/>
    <s v="USA"/>
    <d v="2023-10-26T23:11:00"/>
    <x v="2"/>
    <x v="4"/>
    <n v="5545"/>
    <s v="USA"/>
    <x v="4"/>
    <x v="4"/>
    <x v="0"/>
    <n v="200000"/>
    <x v="4"/>
    <s v="F"/>
    <x v="4"/>
    <x v="2"/>
  </r>
  <r>
    <n v="4111"/>
    <n v="1367"/>
    <s v="Italy"/>
    <d v="2023-03-08T22:52:00"/>
    <x v="3"/>
    <x v="5"/>
    <n v="7800"/>
    <s v="Italy"/>
    <x v="5"/>
    <x v="5"/>
    <x v="2"/>
    <n v="150000"/>
    <x v="5"/>
    <s v="F"/>
    <x v="5"/>
    <x v="3"/>
  </r>
  <r>
    <n v="4801"/>
    <n v="945"/>
    <s v="France"/>
    <d v="2023-02-18T00:23:00"/>
    <x v="0"/>
    <x v="6"/>
    <n v="4674"/>
    <s v="France"/>
    <x v="6"/>
    <x v="6"/>
    <x v="3"/>
    <n v="150000"/>
    <x v="6"/>
    <s v="M"/>
    <x v="6"/>
    <x v="0"/>
  </r>
  <r>
    <n v="5719"/>
    <n v="218"/>
    <s v="France"/>
    <d v="2023-11-23T01:10:00"/>
    <x v="2"/>
    <x v="7"/>
    <n v="5954"/>
    <s v="France"/>
    <x v="7"/>
    <x v="7"/>
    <x v="1"/>
    <n v="150000"/>
    <x v="7"/>
    <s v="F"/>
    <x v="6"/>
    <x v="2"/>
  </r>
  <r>
    <n v="5846"/>
    <n v="264"/>
    <s v="USA"/>
    <d v="2023-12-23T01:20:00"/>
    <x v="2"/>
    <x v="8"/>
    <n v="9887"/>
    <s v="USA"/>
    <x v="8"/>
    <x v="8"/>
    <x v="1"/>
    <n v="150000"/>
    <x v="8"/>
    <s v="M"/>
    <x v="7"/>
    <x v="2"/>
  </r>
  <r>
    <n v="7615"/>
    <n v="566"/>
    <s v="USA"/>
    <d v="2023-11-03T23:46:00"/>
    <x v="1"/>
    <x v="9"/>
    <n v="8303"/>
    <s v="USA"/>
    <x v="9"/>
    <x v="9"/>
    <x v="1"/>
    <n v="150000"/>
    <x v="9"/>
    <s v="M"/>
    <x v="8"/>
    <x v="0"/>
  </r>
  <r>
    <n v="8568"/>
    <n v="1414"/>
    <s v="USA"/>
    <d v="2023-07-26T00:11:00"/>
    <x v="3"/>
    <x v="10"/>
    <n v="8969"/>
    <s v="USA"/>
    <x v="10"/>
    <x v="10"/>
    <x v="0"/>
    <n v="250000"/>
    <x v="10"/>
    <s v="F"/>
    <x v="9"/>
    <x v="3"/>
  </r>
  <r>
    <n v="9339"/>
    <n v="1681"/>
    <s v="Spain"/>
    <d v="2023-12-18T00:39:00"/>
    <x v="3"/>
    <x v="11"/>
    <n v="2782"/>
    <s v="Spain"/>
    <x v="11"/>
    <x v="11"/>
    <x v="1"/>
    <n v="150000"/>
    <x v="1"/>
    <s v="F"/>
    <x v="4"/>
    <x v="1"/>
  </r>
  <r>
    <n v="9839"/>
    <n v="223"/>
    <s v="India"/>
    <d v="2023-06-05T01:05:00"/>
    <x v="0"/>
    <x v="12"/>
    <n v="7215"/>
    <s v="India"/>
    <x v="12"/>
    <x v="12"/>
    <x v="0"/>
    <n v="80000"/>
    <x v="11"/>
    <s v="M"/>
    <x v="10"/>
    <x v="2"/>
  </r>
  <r>
    <n v="10101"/>
    <n v="276"/>
    <s v="India"/>
    <d v="2023-11-27T22:29:00"/>
    <x v="3"/>
    <x v="13"/>
    <n v="6947"/>
    <s v="India"/>
    <x v="13"/>
    <x v="13"/>
    <x v="0"/>
    <n v="100000"/>
    <x v="12"/>
    <s v="F"/>
    <x v="0"/>
    <x v="2"/>
  </r>
  <r>
    <n v="10208"/>
    <n v="1219"/>
    <s v="USA"/>
    <d v="2023-10-04T01:42:00"/>
    <x v="2"/>
    <x v="14"/>
    <n v="3866"/>
    <s v="USA"/>
    <x v="14"/>
    <x v="14"/>
    <x v="3"/>
    <n v="200000"/>
    <x v="13"/>
    <s v="M"/>
    <x v="11"/>
    <x v="3"/>
  </r>
  <r>
    <n v="10508"/>
    <n v="1016"/>
    <s v="India"/>
    <d v="2023-08-24T23:13:00"/>
    <x v="1"/>
    <x v="15"/>
    <n v="4247"/>
    <s v="India"/>
    <x v="15"/>
    <x v="15"/>
    <x v="0"/>
    <n v="150000"/>
    <x v="14"/>
    <s v="F"/>
    <x v="12"/>
    <x v="3"/>
  </r>
  <r>
    <n v="10526"/>
    <n v="241"/>
    <s v="USA"/>
    <d v="2023-10-19T22:52:00"/>
    <x v="2"/>
    <x v="16"/>
    <n v="6627"/>
    <s v="USA"/>
    <x v="16"/>
    <x v="5"/>
    <x v="4"/>
    <n v="150000"/>
    <x v="15"/>
    <s v="F"/>
    <x v="13"/>
    <x v="2"/>
  </r>
  <r>
    <n v="10667"/>
    <n v="467"/>
    <s v="France"/>
    <d v="2023-10-13T01:01:00"/>
    <x v="1"/>
    <x v="17"/>
    <n v="840"/>
    <s v="France"/>
    <x v="17"/>
    <x v="16"/>
    <x v="0"/>
    <n v="150000"/>
    <x v="14"/>
    <s v="M"/>
    <x v="14"/>
    <x v="2"/>
  </r>
  <r>
    <n v="10922"/>
    <n v="7"/>
    <s v="Singapore"/>
    <d v="2023-01-19T22:33:00"/>
    <x v="3"/>
    <x v="18"/>
    <n v="3157"/>
    <s v="Singapore"/>
    <x v="18"/>
    <x v="17"/>
    <x v="2"/>
    <n v="100000"/>
    <x v="5"/>
    <s v="M"/>
    <x v="15"/>
    <x v="2"/>
  </r>
  <r>
    <n v="11114"/>
    <n v="563"/>
    <s v="France"/>
    <d v="2023-03-17T23:16:00"/>
    <x v="2"/>
    <x v="0"/>
    <n v="6371"/>
    <s v="France"/>
    <x v="19"/>
    <x v="18"/>
    <x v="0"/>
    <n v="200000"/>
    <x v="0"/>
    <s v="F"/>
    <x v="16"/>
    <x v="0"/>
  </r>
  <r>
    <n v="12200"/>
    <n v="1218"/>
    <s v="USA"/>
    <d v="2023-06-11T00:12:00"/>
    <x v="1"/>
    <x v="19"/>
    <n v="1774"/>
    <s v="USA"/>
    <x v="20"/>
    <x v="19"/>
    <x v="0"/>
    <n v="150000"/>
    <x v="16"/>
    <s v="M"/>
    <x v="17"/>
    <x v="3"/>
  </r>
  <r>
    <n v="13586"/>
    <n v="26"/>
    <s v="France"/>
    <d v="2023-01-23T00:17:00"/>
    <x v="3"/>
    <x v="20"/>
    <n v="321"/>
    <s v="France"/>
    <x v="21"/>
    <x v="20"/>
    <x v="1"/>
    <n v="200000"/>
    <x v="17"/>
    <s v="M"/>
    <x v="18"/>
    <x v="2"/>
  </r>
  <r>
    <n v="14287"/>
    <n v="1552"/>
    <s v="Italy"/>
    <d v="2023-02-18T00:34:00"/>
    <x v="0"/>
    <x v="14"/>
    <n v="1628"/>
    <s v="Italy"/>
    <x v="6"/>
    <x v="21"/>
    <x v="3"/>
    <n v="200000"/>
    <x v="13"/>
    <s v="F"/>
    <x v="2"/>
    <x v="1"/>
  </r>
  <r>
    <n v="14971"/>
    <n v="148"/>
    <s v="Spain"/>
    <d v="2023-09-10T00:06:00"/>
    <x v="0"/>
    <x v="21"/>
    <n v="7545"/>
    <s v="Spain"/>
    <x v="22"/>
    <x v="22"/>
    <x v="0"/>
    <n v="100000"/>
    <x v="4"/>
    <s v="F"/>
    <x v="19"/>
    <x v="2"/>
  </r>
  <r>
    <n v="15113"/>
    <n v="252"/>
    <s v="USA"/>
    <d v="2023-03-18T02:00:00"/>
    <x v="3"/>
    <x v="22"/>
    <n v="2730"/>
    <s v="USA"/>
    <x v="23"/>
    <x v="23"/>
    <x v="3"/>
    <n v="100000"/>
    <x v="13"/>
    <s v="F"/>
    <x v="20"/>
    <x v="2"/>
  </r>
  <r>
    <n v="15878"/>
    <n v="1524"/>
    <s v="France"/>
    <d v="2023-06-03T01:01:00"/>
    <x v="1"/>
    <x v="23"/>
    <n v="2717"/>
    <s v="France"/>
    <x v="24"/>
    <x v="16"/>
    <x v="0"/>
    <n v="1000000"/>
    <x v="12"/>
    <s v="F"/>
    <x v="21"/>
    <x v="1"/>
  </r>
  <r>
    <n v="16243"/>
    <n v="1812"/>
    <s v="Spain"/>
    <d v="2023-07-31T23:19:00"/>
    <x v="2"/>
    <x v="17"/>
    <n v="9723"/>
    <s v="Spain"/>
    <x v="25"/>
    <x v="24"/>
    <x v="0"/>
    <n v="150000"/>
    <x v="14"/>
    <s v="M"/>
    <x v="22"/>
    <x v="1"/>
  </r>
  <r>
    <n v="16263"/>
    <n v="311"/>
    <s v="Australia"/>
    <d v="2023-11-30T22:59:00"/>
    <x v="2"/>
    <x v="24"/>
    <n v="6673"/>
    <s v="Australia"/>
    <x v="26"/>
    <x v="25"/>
    <x v="1"/>
    <n v="100000"/>
    <x v="18"/>
    <s v="M"/>
    <x v="23"/>
    <x v="2"/>
  </r>
  <r>
    <n v="16847"/>
    <n v="406"/>
    <s v="India"/>
    <d v="2023-11-08T00:17:00"/>
    <x v="0"/>
    <x v="25"/>
    <n v="1802"/>
    <s v="India"/>
    <x v="27"/>
    <x v="20"/>
    <x v="1"/>
    <n v="150000"/>
    <x v="17"/>
    <s v="F"/>
    <x v="6"/>
    <x v="2"/>
  </r>
  <r>
    <n v="17912"/>
    <n v="498"/>
    <s v="Germany"/>
    <d v="2023-03-21T22:56:00"/>
    <x v="0"/>
    <x v="5"/>
    <n v="9179"/>
    <s v="Germany"/>
    <x v="28"/>
    <x v="26"/>
    <x v="2"/>
    <n v="150000"/>
    <x v="5"/>
    <s v="F"/>
    <x v="24"/>
    <x v="2"/>
  </r>
  <r>
    <n v="20076"/>
    <n v="446"/>
    <s v="USA"/>
    <d v="2023-03-16T23:20:00"/>
    <x v="2"/>
    <x v="26"/>
    <n v="2311"/>
    <s v="USA"/>
    <x v="29"/>
    <x v="27"/>
    <x v="2"/>
    <n v="200000"/>
    <x v="19"/>
    <s v="M"/>
    <x v="25"/>
    <x v="2"/>
  </r>
  <r>
    <n v="20342"/>
    <n v="451"/>
    <s v="Norway"/>
    <d v="2023-03-03T00:58:00"/>
    <x v="0"/>
    <x v="27"/>
    <n v="3940"/>
    <s v="Norway"/>
    <x v="30"/>
    <x v="28"/>
    <x v="1"/>
    <n v="80000"/>
    <x v="7"/>
    <s v="M"/>
    <x v="8"/>
    <x v="2"/>
  </r>
  <r>
    <n v="21461"/>
    <n v="975"/>
    <s v="France"/>
    <d v="2023-02-20T23:40:00"/>
    <x v="2"/>
    <x v="28"/>
    <n v="5888"/>
    <s v="France"/>
    <x v="31"/>
    <x v="1"/>
    <x v="3"/>
    <n v="80000"/>
    <x v="20"/>
    <s v="M"/>
    <x v="23"/>
    <x v="0"/>
  </r>
  <r>
    <n v="22486"/>
    <n v="1315"/>
    <s v="USA"/>
    <d v="2023-07-03T00:45:00"/>
    <x v="3"/>
    <x v="29"/>
    <n v="2819"/>
    <s v="USA"/>
    <x v="32"/>
    <x v="29"/>
    <x v="3"/>
    <n v="100000"/>
    <x v="13"/>
    <s v="F"/>
    <x v="15"/>
    <x v="3"/>
  </r>
  <r>
    <n v="23598"/>
    <n v="1017"/>
    <s v="India"/>
    <d v="2023-10-10T00:52:00"/>
    <x v="3"/>
    <x v="30"/>
    <n v="3015"/>
    <s v="India"/>
    <x v="33"/>
    <x v="30"/>
    <x v="2"/>
    <n v="150000"/>
    <x v="21"/>
    <s v="M"/>
    <x v="4"/>
    <x v="3"/>
  </r>
  <r>
    <n v="25923"/>
    <n v="875"/>
    <s v="USA"/>
    <d v="2023-10-27T01:07:00"/>
    <x v="3"/>
    <x v="31"/>
    <n v="8826"/>
    <s v="USA"/>
    <x v="34"/>
    <x v="31"/>
    <x v="2"/>
    <n v="100000"/>
    <x v="22"/>
    <s v="M"/>
    <x v="26"/>
    <x v="0"/>
  </r>
  <r>
    <n v="27076"/>
    <n v="242"/>
    <s v="USA"/>
    <d v="2023-06-30T01:13:00"/>
    <x v="0"/>
    <x v="32"/>
    <n v="4466"/>
    <s v="USA"/>
    <x v="35"/>
    <x v="32"/>
    <x v="4"/>
    <n v="100000"/>
    <x v="23"/>
    <s v="F"/>
    <x v="27"/>
    <x v="2"/>
  </r>
  <r>
    <n v="27115"/>
    <n v="276"/>
    <s v="India"/>
    <d v="2023-11-05T01:49:00"/>
    <x v="2"/>
    <x v="33"/>
    <n v="9943"/>
    <s v="India"/>
    <x v="36"/>
    <x v="33"/>
    <x v="2"/>
    <n v="100000"/>
    <x v="2"/>
    <s v="F"/>
    <x v="0"/>
    <x v="2"/>
  </r>
  <r>
    <n v="27493"/>
    <n v="827"/>
    <s v="Singapore"/>
    <d v="2023-10-26T00:12:00"/>
    <x v="1"/>
    <x v="34"/>
    <n v="2811"/>
    <s v="Singapore"/>
    <x v="4"/>
    <x v="19"/>
    <x v="1"/>
    <n v="100000"/>
    <x v="24"/>
    <s v="M"/>
    <x v="28"/>
    <x v="0"/>
  </r>
  <r>
    <n v="28066"/>
    <n v="1986"/>
    <s v="France"/>
    <d v="2023-05-07T00:07:00"/>
    <x v="3"/>
    <x v="35"/>
    <n v="7129"/>
    <s v="France"/>
    <x v="37"/>
    <x v="34"/>
    <x v="4"/>
    <n v="100000"/>
    <x v="15"/>
    <s v="M"/>
    <x v="29"/>
    <x v="1"/>
  </r>
  <r>
    <n v="28318"/>
    <n v="983"/>
    <s v="USA"/>
    <d v="2023-02-17T00:49:00"/>
    <x v="2"/>
    <x v="20"/>
    <n v="5284"/>
    <s v="USA"/>
    <x v="38"/>
    <x v="35"/>
    <x v="1"/>
    <n v="200000"/>
    <x v="17"/>
    <s v="M"/>
    <x v="30"/>
    <x v="0"/>
  </r>
  <r>
    <n v="28720"/>
    <n v="725"/>
    <s v="USA"/>
    <d v="2023-02-23T00:53:00"/>
    <x v="1"/>
    <x v="36"/>
    <n v="405"/>
    <s v="USA"/>
    <x v="39"/>
    <x v="36"/>
    <x v="0"/>
    <n v="150000"/>
    <x v="10"/>
    <s v="M"/>
    <x v="13"/>
    <x v="0"/>
  </r>
  <r>
    <n v="28841"/>
    <n v="954"/>
    <s v="India"/>
    <d v="2023-01-19T01:08:00"/>
    <x v="3"/>
    <x v="37"/>
    <n v="8558"/>
    <s v="India"/>
    <x v="18"/>
    <x v="37"/>
    <x v="3"/>
    <n v="150000"/>
    <x v="6"/>
    <s v="M"/>
    <x v="31"/>
    <x v="0"/>
  </r>
  <r>
    <n v="28901"/>
    <n v="1093"/>
    <s v="India"/>
    <d v="2023-11-16T23:46:00"/>
    <x v="3"/>
    <x v="38"/>
    <n v="5536"/>
    <s v="India"/>
    <x v="40"/>
    <x v="9"/>
    <x v="2"/>
    <n v="100000"/>
    <x v="22"/>
    <s v="F"/>
    <x v="6"/>
    <x v="3"/>
  </r>
  <r>
    <n v="30449"/>
    <n v="962"/>
    <s v="USA"/>
    <d v="2023-07-01T23:42:00"/>
    <x v="3"/>
    <x v="39"/>
    <n v="660"/>
    <s v="USA"/>
    <x v="41"/>
    <x v="38"/>
    <x v="3"/>
    <n v="1000000"/>
    <x v="6"/>
    <s v="F"/>
    <x v="21"/>
    <x v="0"/>
  </r>
  <r>
    <n v="30739"/>
    <n v="1771"/>
    <s v="Italy"/>
    <d v="2023-05-29T00:28:00"/>
    <x v="0"/>
    <x v="40"/>
    <n v="5684"/>
    <s v="Italy"/>
    <x v="42"/>
    <x v="39"/>
    <x v="2"/>
    <n v="150000"/>
    <x v="2"/>
    <s v="M"/>
    <x v="16"/>
    <x v="1"/>
  </r>
  <r>
    <n v="31216"/>
    <n v="1240"/>
    <s v="Germany"/>
    <d v="2023-09-25T23:46:00"/>
    <x v="2"/>
    <x v="8"/>
    <n v="8294"/>
    <s v="Germany"/>
    <x v="43"/>
    <x v="9"/>
    <x v="1"/>
    <n v="150000"/>
    <x v="8"/>
    <s v="M"/>
    <x v="32"/>
    <x v="3"/>
  </r>
  <r>
    <n v="31707"/>
    <n v="652"/>
    <s v="USA"/>
    <d v="2023-05-11T00:31:00"/>
    <x v="0"/>
    <x v="10"/>
    <n v="8379"/>
    <s v="USA"/>
    <x v="44"/>
    <x v="3"/>
    <x v="0"/>
    <n v="250000"/>
    <x v="10"/>
    <s v="F"/>
    <x v="33"/>
    <x v="0"/>
  </r>
  <r>
    <n v="33662"/>
    <n v="1381"/>
    <s v="USA"/>
    <d v="2023-01-19T23:07:00"/>
    <x v="2"/>
    <x v="39"/>
    <n v="8214"/>
    <s v="USA"/>
    <x v="18"/>
    <x v="40"/>
    <x v="3"/>
    <n v="1000000"/>
    <x v="6"/>
    <s v="M"/>
    <x v="9"/>
    <x v="3"/>
  </r>
  <r>
    <n v="33963"/>
    <n v="1251"/>
    <s v="USA"/>
    <d v="2023-10-06T23:40:00"/>
    <x v="0"/>
    <x v="41"/>
    <n v="6147"/>
    <s v="USA"/>
    <x v="45"/>
    <x v="1"/>
    <x v="0"/>
    <n v="100000"/>
    <x v="0"/>
    <s v="M"/>
    <x v="34"/>
    <x v="3"/>
  </r>
  <r>
    <n v="33983"/>
    <n v="305"/>
    <s v="Australia"/>
    <d v="2023-05-17T02:22:00"/>
    <x v="3"/>
    <x v="4"/>
    <n v="3894"/>
    <s v="Australia"/>
    <x v="46"/>
    <x v="41"/>
    <x v="0"/>
    <n v="200000"/>
    <x v="4"/>
    <s v="F"/>
    <x v="30"/>
    <x v="2"/>
  </r>
  <r>
    <n v="34125"/>
    <n v="530"/>
    <s v="Australia"/>
    <d v="2023-10-18T00:57:00"/>
    <x v="1"/>
    <x v="42"/>
    <n v="4341"/>
    <s v="Australia"/>
    <x v="47"/>
    <x v="42"/>
    <x v="0"/>
    <n v="200000"/>
    <x v="14"/>
    <s v="F"/>
    <x v="12"/>
    <x v="0"/>
  </r>
  <r>
    <n v="34477"/>
    <n v="1749"/>
    <s v="Austria"/>
    <d v="2023-04-26T23:49:00"/>
    <x v="3"/>
    <x v="43"/>
    <n v="9140"/>
    <s v="Austria"/>
    <x v="48"/>
    <x v="43"/>
    <x v="2"/>
    <n v="100000"/>
    <x v="21"/>
    <s v="M"/>
    <x v="35"/>
    <x v="1"/>
  </r>
  <r>
    <n v="34504"/>
    <n v="915"/>
    <s v="France"/>
    <d v="2023-02-06T00:55:00"/>
    <x v="0"/>
    <x v="23"/>
    <n v="9163"/>
    <s v="France"/>
    <x v="49"/>
    <x v="44"/>
    <x v="0"/>
    <n v="1000000"/>
    <x v="12"/>
    <s v="M"/>
    <x v="36"/>
    <x v="0"/>
  </r>
  <r>
    <n v="34978"/>
    <n v="492"/>
    <s v="Spain"/>
    <d v="2023-07-13T01:50:00"/>
    <x v="3"/>
    <x v="0"/>
    <n v="1494"/>
    <s v="Spain"/>
    <x v="50"/>
    <x v="45"/>
    <x v="0"/>
    <n v="200000"/>
    <x v="0"/>
    <s v="F"/>
    <x v="24"/>
    <x v="2"/>
  </r>
  <r>
    <n v="35391"/>
    <n v="1057"/>
    <s v="Spain"/>
    <d v="2023-05-10T01:48:00"/>
    <x v="2"/>
    <x v="10"/>
    <n v="6287"/>
    <s v="Spain"/>
    <x v="51"/>
    <x v="46"/>
    <x v="0"/>
    <n v="250000"/>
    <x v="10"/>
    <s v="M"/>
    <x v="37"/>
    <x v="3"/>
  </r>
  <r>
    <n v="36759"/>
    <n v="1667"/>
    <s v="France"/>
    <d v="2023-01-23T01:33:00"/>
    <x v="1"/>
    <x v="2"/>
    <n v="6587"/>
    <s v="France"/>
    <x v="21"/>
    <x v="47"/>
    <x v="2"/>
    <n v="100000"/>
    <x v="2"/>
    <s v="F"/>
    <x v="38"/>
    <x v="1"/>
  </r>
  <r>
    <n v="37737"/>
    <n v="744"/>
    <s v="Finland"/>
    <d v="2023-10-24T00:05:00"/>
    <x v="2"/>
    <x v="3"/>
    <n v="9738"/>
    <s v="Finland"/>
    <x v="52"/>
    <x v="48"/>
    <x v="2"/>
    <n v="150000"/>
    <x v="3"/>
    <s v="M"/>
    <x v="19"/>
    <x v="0"/>
  </r>
  <r>
    <n v="37971"/>
    <n v="433"/>
    <s v="India"/>
    <d v="2023-06-24T01:28:00"/>
    <x v="1"/>
    <x v="4"/>
    <n v="7884"/>
    <s v="India"/>
    <x v="53"/>
    <x v="49"/>
    <x v="0"/>
    <n v="200000"/>
    <x v="4"/>
    <s v="M"/>
    <x v="39"/>
    <x v="2"/>
  </r>
  <r>
    <n v="38242"/>
    <n v="1131"/>
    <s v="Australia"/>
    <d v="2023-01-03T00:29:00"/>
    <x v="1"/>
    <x v="5"/>
    <n v="9299"/>
    <s v="Australia"/>
    <x v="54"/>
    <x v="50"/>
    <x v="2"/>
    <n v="150000"/>
    <x v="5"/>
    <s v="F"/>
    <x v="4"/>
    <x v="3"/>
  </r>
  <r>
    <n v="38528"/>
    <n v="551"/>
    <s v="Switzerland"/>
    <d v="2023-10-20T00:40:00"/>
    <x v="0"/>
    <x v="6"/>
    <n v="7036"/>
    <s v="Switzerland"/>
    <x v="55"/>
    <x v="51"/>
    <x v="3"/>
    <n v="150000"/>
    <x v="6"/>
    <s v="M"/>
    <x v="1"/>
    <x v="0"/>
  </r>
  <r>
    <n v="40114"/>
    <n v="172"/>
    <s v="USA"/>
    <d v="2023-09-24T01:12:00"/>
    <x v="3"/>
    <x v="7"/>
    <n v="1841"/>
    <s v="USA"/>
    <x v="56"/>
    <x v="52"/>
    <x v="1"/>
    <n v="150000"/>
    <x v="7"/>
    <s v="M"/>
    <x v="40"/>
    <x v="2"/>
  </r>
  <r>
    <n v="41110"/>
    <n v="1858"/>
    <s v="USA"/>
    <d v="2023-06-03T00:33:00"/>
    <x v="2"/>
    <x v="8"/>
    <n v="9844"/>
    <s v="USA"/>
    <x v="24"/>
    <x v="53"/>
    <x v="1"/>
    <n v="150000"/>
    <x v="8"/>
    <s v="F"/>
    <x v="0"/>
    <x v="1"/>
  </r>
  <r>
    <n v="41478"/>
    <n v="871"/>
    <s v="Italy"/>
    <d v="2023-05-12T00:22:00"/>
    <x v="2"/>
    <x v="44"/>
    <n v="2454"/>
    <s v="Italy"/>
    <x v="57"/>
    <x v="54"/>
    <x v="0"/>
    <n v="100000"/>
    <x v="12"/>
    <s v="F"/>
    <x v="15"/>
    <x v="0"/>
  </r>
  <r>
    <n v="42094"/>
    <n v="987"/>
    <s v="USA"/>
    <d v="2023-06-16T22:35:00"/>
    <x v="2"/>
    <x v="10"/>
    <n v="4039"/>
    <s v="USA"/>
    <x v="58"/>
    <x v="55"/>
    <x v="0"/>
    <n v="250000"/>
    <x v="10"/>
    <s v="F"/>
    <x v="12"/>
    <x v="0"/>
  </r>
  <r>
    <n v="43427"/>
    <n v="1066"/>
    <s v="India"/>
    <d v="2023-03-18T23:24:00"/>
    <x v="1"/>
    <x v="45"/>
    <n v="959"/>
    <s v="India"/>
    <x v="23"/>
    <x v="56"/>
    <x v="4"/>
    <n v="100000"/>
    <x v="25"/>
    <s v="M"/>
    <x v="41"/>
    <x v="3"/>
  </r>
  <r>
    <n v="43722"/>
    <n v="1223"/>
    <s v="USA"/>
    <d v="2023-11-03T23:31:00"/>
    <x v="0"/>
    <x v="12"/>
    <n v="6074"/>
    <s v="USA"/>
    <x v="9"/>
    <x v="57"/>
    <x v="0"/>
    <n v="80000"/>
    <x v="11"/>
    <s v="M"/>
    <x v="42"/>
    <x v="3"/>
  </r>
  <r>
    <n v="44241"/>
    <n v="800"/>
    <s v="Ireland"/>
    <d v="2023-10-15T00:32:00"/>
    <x v="1"/>
    <x v="13"/>
    <n v="3306"/>
    <s v="Ireland"/>
    <x v="59"/>
    <x v="58"/>
    <x v="0"/>
    <n v="100000"/>
    <x v="12"/>
    <s v="M"/>
    <x v="27"/>
    <x v="0"/>
  </r>
  <r>
    <n v="44275"/>
    <n v="423"/>
    <s v="Singapore"/>
    <d v="2023-03-31T01:45:00"/>
    <x v="3"/>
    <x v="14"/>
    <n v="7290"/>
    <s v="Singapore"/>
    <x v="60"/>
    <x v="59"/>
    <x v="3"/>
    <n v="200000"/>
    <x v="13"/>
    <s v="F"/>
    <x v="18"/>
    <x v="2"/>
  </r>
  <r>
    <n v="44486"/>
    <n v="905"/>
    <s v="USA"/>
    <d v="2023-06-09T00:41:00"/>
    <x v="2"/>
    <x v="15"/>
    <n v="8730"/>
    <s v="USA"/>
    <x v="61"/>
    <x v="60"/>
    <x v="0"/>
    <n v="150000"/>
    <x v="14"/>
    <s v="F"/>
    <x v="5"/>
    <x v="0"/>
  </r>
  <r>
    <n v="47050"/>
    <n v="1466"/>
    <s v="Ireland"/>
    <d v="2023-11-18T00:16:00"/>
    <x v="2"/>
    <x v="46"/>
    <n v="6692"/>
    <s v="Ireland"/>
    <x v="62"/>
    <x v="61"/>
    <x v="1"/>
    <n v="30000"/>
    <x v="26"/>
    <s v="F"/>
    <x v="36"/>
    <x v="3"/>
  </r>
  <r>
    <n v="47212"/>
    <n v="1083"/>
    <s v="Spain"/>
    <d v="2023-07-09T23:33:00"/>
    <x v="0"/>
    <x v="47"/>
    <n v="1067"/>
    <s v="Spain"/>
    <x v="63"/>
    <x v="62"/>
    <x v="3"/>
    <n v="100000"/>
    <x v="20"/>
    <s v="F"/>
    <x v="5"/>
    <x v="3"/>
  </r>
  <r>
    <n v="49060"/>
    <n v="430"/>
    <s v="India"/>
    <d v="2023-09-22T00:33:00"/>
    <x v="0"/>
    <x v="18"/>
    <n v="5513"/>
    <s v="India"/>
    <x v="64"/>
    <x v="53"/>
    <x v="2"/>
    <n v="100000"/>
    <x v="5"/>
    <s v="M"/>
    <x v="43"/>
    <x v="2"/>
  </r>
  <r>
    <n v="49520"/>
    <n v="1670"/>
    <s v="USA"/>
    <d v="2023-07-03T00:01:00"/>
    <x v="1"/>
    <x v="0"/>
    <n v="6214"/>
    <s v="USA"/>
    <x v="32"/>
    <x v="63"/>
    <x v="0"/>
    <n v="200000"/>
    <x v="0"/>
    <s v="F"/>
    <x v="16"/>
    <x v="1"/>
  </r>
  <r>
    <n v="49544"/>
    <n v="526"/>
    <s v="USA"/>
    <d v="2023-10-28T00:04:00"/>
    <x v="2"/>
    <x v="35"/>
    <n v="7802"/>
    <s v="USA"/>
    <x v="65"/>
    <x v="64"/>
    <x v="4"/>
    <n v="100000"/>
    <x v="15"/>
    <s v="M"/>
    <x v="22"/>
    <x v="0"/>
  </r>
  <r>
    <n v="50199"/>
    <n v="105"/>
    <s v="USA"/>
    <d v="2023-01-29T01:26:00"/>
    <x v="1"/>
    <x v="20"/>
    <n v="8898"/>
    <s v="USA"/>
    <x v="66"/>
    <x v="65"/>
    <x v="1"/>
    <n v="200000"/>
    <x v="17"/>
    <s v="M"/>
    <x v="16"/>
    <x v="2"/>
  </r>
  <r>
    <n v="50499"/>
    <n v="639"/>
    <s v="USA"/>
    <d v="2023-04-02T23:08:00"/>
    <x v="2"/>
    <x v="28"/>
    <n v="3514"/>
    <s v="USA"/>
    <x v="67"/>
    <x v="66"/>
    <x v="3"/>
    <n v="80000"/>
    <x v="20"/>
    <s v="F"/>
    <x v="0"/>
    <x v="0"/>
  </r>
  <r>
    <n v="51688"/>
    <n v="453"/>
    <s v="France"/>
    <d v="2023-12-18T00:35:00"/>
    <x v="0"/>
    <x v="21"/>
    <n v="4365"/>
    <s v="France"/>
    <x v="11"/>
    <x v="67"/>
    <x v="0"/>
    <n v="100000"/>
    <x v="4"/>
    <s v="M"/>
    <x v="44"/>
    <x v="2"/>
  </r>
  <r>
    <n v="51913"/>
    <n v="1208"/>
    <s v="USA"/>
    <d v="2023-11-11T00:20:00"/>
    <x v="2"/>
    <x v="9"/>
    <n v="1733"/>
    <s v="USA"/>
    <x v="68"/>
    <x v="68"/>
    <x v="1"/>
    <n v="150000"/>
    <x v="9"/>
    <s v="M"/>
    <x v="38"/>
    <x v="3"/>
  </r>
  <r>
    <n v="52659"/>
    <n v="1282"/>
    <s v="France"/>
    <d v="2023-06-07T00:55:00"/>
    <x v="1"/>
    <x v="23"/>
    <n v="3865"/>
    <s v="France"/>
    <x v="69"/>
    <x v="44"/>
    <x v="0"/>
    <n v="1000000"/>
    <x v="12"/>
    <s v="M"/>
    <x v="31"/>
    <x v="3"/>
  </r>
  <r>
    <n v="53119"/>
    <n v="1257"/>
    <s v="USA"/>
    <d v="2023-04-14T01:28:00"/>
    <x v="3"/>
    <x v="0"/>
    <n v="6403"/>
    <s v="USA"/>
    <x v="70"/>
    <x v="49"/>
    <x v="0"/>
    <n v="200000"/>
    <x v="0"/>
    <s v="M"/>
    <x v="45"/>
    <x v="3"/>
  </r>
  <r>
    <n v="53899"/>
    <n v="392"/>
    <s v="India"/>
    <d v="2023-09-23T00:53:00"/>
    <x v="1"/>
    <x v="10"/>
    <n v="8165"/>
    <s v="India"/>
    <x v="71"/>
    <x v="36"/>
    <x v="0"/>
    <n v="250000"/>
    <x v="10"/>
    <s v="M"/>
    <x v="33"/>
    <x v="2"/>
  </r>
  <r>
    <n v="54569"/>
    <n v="147"/>
    <s v="USA"/>
    <d v="2023-12-17T23:21:00"/>
    <x v="3"/>
    <x v="2"/>
    <n v="6561"/>
    <s v="USA"/>
    <x v="72"/>
    <x v="69"/>
    <x v="2"/>
    <n v="100000"/>
    <x v="2"/>
    <s v="F"/>
    <x v="3"/>
    <x v="2"/>
  </r>
  <r>
    <n v="55920"/>
    <n v="769"/>
    <s v="France"/>
    <d v="2023-02-07T23:14:00"/>
    <x v="0"/>
    <x v="3"/>
    <n v="9946"/>
    <s v="France"/>
    <x v="73"/>
    <x v="70"/>
    <x v="2"/>
    <n v="150000"/>
    <x v="3"/>
    <s v="M"/>
    <x v="13"/>
    <x v="0"/>
  </r>
  <r>
    <n v="56130"/>
    <n v="1446"/>
    <s v="Germany"/>
    <d v="2023-08-30T23:29:00"/>
    <x v="2"/>
    <x v="4"/>
    <n v="9631"/>
    <s v="Germany"/>
    <x v="74"/>
    <x v="71"/>
    <x v="0"/>
    <n v="200000"/>
    <x v="4"/>
    <s v="F"/>
    <x v="44"/>
    <x v="3"/>
  </r>
  <r>
    <n v="56703"/>
    <n v="381"/>
    <s v="Italy"/>
    <d v="2023-10-05T00:22:00"/>
    <x v="1"/>
    <x v="5"/>
    <n v="3490"/>
    <s v="Italy"/>
    <x v="75"/>
    <x v="54"/>
    <x v="2"/>
    <n v="150000"/>
    <x v="5"/>
    <s v="M"/>
    <x v="46"/>
    <x v="2"/>
  </r>
  <r>
    <n v="57478"/>
    <n v="1004"/>
    <s v="USA"/>
    <d v="2023-02-06T00:03:00"/>
    <x v="0"/>
    <x v="6"/>
    <n v="7689"/>
    <s v="USA"/>
    <x v="49"/>
    <x v="72"/>
    <x v="3"/>
    <n v="150000"/>
    <x v="6"/>
    <s v="M"/>
    <x v="39"/>
    <x v="3"/>
  </r>
  <r>
    <n v="57568"/>
    <n v="464"/>
    <s v="Italy"/>
    <d v="2023-03-21T00:54:00"/>
    <x v="2"/>
    <x v="7"/>
    <n v="5877"/>
    <s v="Italy"/>
    <x v="28"/>
    <x v="73"/>
    <x v="1"/>
    <n v="150000"/>
    <x v="7"/>
    <s v="F"/>
    <x v="47"/>
    <x v="2"/>
  </r>
  <r>
    <n v="57650"/>
    <n v="1542"/>
    <s v="France"/>
    <d v="2023-10-28T00:04:00"/>
    <x v="1"/>
    <x v="8"/>
    <n v="1231"/>
    <s v="France"/>
    <x v="65"/>
    <x v="64"/>
    <x v="1"/>
    <n v="150000"/>
    <x v="8"/>
    <s v="M"/>
    <x v="48"/>
    <x v="1"/>
  </r>
  <r>
    <n v="58309"/>
    <n v="479"/>
    <s v="Finland"/>
    <d v="2023-01-12T23:35:00"/>
    <x v="2"/>
    <x v="44"/>
    <n v="9668"/>
    <s v="Finland"/>
    <x v="76"/>
    <x v="74"/>
    <x v="0"/>
    <n v="100000"/>
    <x v="12"/>
    <s v="M"/>
    <x v="49"/>
    <x v="2"/>
  </r>
  <r>
    <n v="58546"/>
    <n v="1218"/>
    <s v="USA"/>
    <d v="2023-07-21T00:11:00"/>
    <x v="0"/>
    <x v="10"/>
    <n v="736"/>
    <s v="USA"/>
    <x v="77"/>
    <x v="10"/>
    <x v="0"/>
    <n v="250000"/>
    <x v="10"/>
    <s v="M"/>
    <x v="17"/>
    <x v="3"/>
  </r>
  <r>
    <n v="59723"/>
    <n v="1606"/>
    <s v="France"/>
    <d v="2023-11-05T01:05:00"/>
    <x v="0"/>
    <x v="11"/>
    <n v="3606"/>
    <s v="France"/>
    <x v="36"/>
    <x v="12"/>
    <x v="1"/>
    <n v="150000"/>
    <x v="1"/>
    <s v="M"/>
    <x v="12"/>
    <x v="1"/>
  </r>
  <r>
    <n v="60635"/>
    <n v="723"/>
    <s v="Denmark"/>
    <d v="2023-01-13T00:07:00"/>
    <x v="0"/>
    <x v="12"/>
    <n v="2575"/>
    <s v="Denmark"/>
    <x v="78"/>
    <x v="34"/>
    <x v="0"/>
    <n v="80000"/>
    <x v="11"/>
    <s v="F"/>
    <x v="16"/>
    <x v="0"/>
  </r>
  <r>
    <n v="60770"/>
    <n v="1934"/>
    <s v="Spain"/>
    <d v="2023-01-06T00:47:00"/>
    <x v="3"/>
    <x v="13"/>
    <n v="7606"/>
    <s v="Spain"/>
    <x v="79"/>
    <x v="75"/>
    <x v="0"/>
    <n v="100000"/>
    <x v="12"/>
    <s v="M"/>
    <x v="5"/>
    <x v="1"/>
  </r>
  <r>
    <n v="60781"/>
    <n v="353"/>
    <s v="France"/>
    <d v="2023-10-26T01:40:00"/>
    <x v="3"/>
    <x v="14"/>
    <n v="936"/>
    <s v="France"/>
    <x v="4"/>
    <x v="76"/>
    <x v="3"/>
    <n v="200000"/>
    <x v="13"/>
    <s v="F"/>
    <x v="50"/>
    <x v="2"/>
  </r>
  <r>
    <n v="61005"/>
    <n v="480"/>
    <s v="Finland"/>
    <d v="2023-01-02T00:46:00"/>
    <x v="0"/>
    <x v="15"/>
    <n v="7727"/>
    <s v="Finland"/>
    <x v="80"/>
    <x v="77"/>
    <x v="0"/>
    <n v="150000"/>
    <x v="14"/>
    <s v="M"/>
    <x v="7"/>
    <x v="2"/>
  </r>
  <r>
    <n v="61504"/>
    <n v="260"/>
    <s v="USA"/>
    <d v="2023-12-26T00:32:00"/>
    <x v="3"/>
    <x v="16"/>
    <n v="7129"/>
    <s v="USA"/>
    <x v="81"/>
    <x v="58"/>
    <x v="4"/>
    <n v="150000"/>
    <x v="15"/>
    <s v="F"/>
    <x v="51"/>
    <x v="2"/>
  </r>
  <r>
    <n v="61520"/>
    <n v="1870"/>
    <s v="USA"/>
    <d v="2023-06-22T23:37:00"/>
    <x v="1"/>
    <x v="47"/>
    <n v="3077"/>
    <s v="USA"/>
    <x v="82"/>
    <x v="78"/>
    <x v="3"/>
    <n v="100000"/>
    <x v="20"/>
    <s v="F"/>
    <x v="36"/>
    <x v="1"/>
  </r>
  <r>
    <n v="63153"/>
    <n v="765"/>
    <s v="Norway"/>
    <d v="2023-03-28T23:27:00"/>
    <x v="1"/>
    <x v="18"/>
    <n v="5427"/>
    <s v="Norway"/>
    <x v="83"/>
    <x v="79"/>
    <x v="2"/>
    <n v="100000"/>
    <x v="5"/>
    <s v="F"/>
    <x v="7"/>
    <x v="0"/>
  </r>
  <r>
    <n v="64461"/>
    <n v="1755"/>
    <s v="Spain"/>
    <d v="2023-03-21T23:38:00"/>
    <x v="1"/>
    <x v="0"/>
    <n v="7725"/>
    <s v="Spain"/>
    <x v="28"/>
    <x v="80"/>
    <x v="0"/>
    <n v="200000"/>
    <x v="0"/>
    <s v="M"/>
    <x v="50"/>
    <x v="1"/>
  </r>
  <r>
    <n v="66118"/>
    <n v="1425"/>
    <s v="Australia"/>
    <d v="2023-02-25T00:11:00"/>
    <x v="0"/>
    <x v="35"/>
    <n v="1282"/>
    <s v="Australia"/>
    <x v="84"/>
    <x v="10"/>
    <x v="4"/>
    <n v="100000"/>
    <x v="15"/>
    <s v="F"/>
    <x v="33"/>
    <x v="3"/>
  </r>
  <r>
    <n v="66951"/>
    <n v="342"/>
    <s v="India"/>
    <d v="2023-07-27T00:04:00"/>
    <x v="1"/>
    <x v="5"/>
    <n v="7338"/>
    <s v="India"/>
    <x v="85"/>
    <x v="64"/>
    <x v="2"/>
    <n v="150000"/>
    <x v="5"/>
    <s v="F"/>
    <x v="48"/>
    <x v="2"/>
  </r>
  <r>
    <n v="69722"/>
    <n v="571"/>
    <s v="Finland"/>
    <d v="2023-09-05T00:58:00"/>
    <x v="2"/>
    <x v="28"/>
    <n v="1269"/>
    <s v="Finland"/>
    <x v="86"/>
    <x v="28"/>
    <x v="3"/>
    <n v="80000"/>
    <x v="20"/>
    <s v="F"/>
    <x v="51"/>
    <x v="0"/>
  </r>
  <r>
    <n v="69918"/>
    <n v="1378"/>
    <s v="Spain"/>
    <d v="2023-03-07T00:09:00"/>
    <x v="3"/>
    <x v="21"/>
    <n v="8657"/>
    <s v="Spain"/>
    <x v="87"/>
    <x v="81"/>
    <x v="0"/>
    <n v="100000"/>
    <x v="4"/>
    <s v="M"/>
    <x v="34"/>
    <x v="3"/>
  </r>
  <r>
    <n v="69942"/>
    <n v="1070"/>
    <s v="Singapore"/>
    <d v="2023-12-13T22:59:00"/>
    <x v="2"/>
    <x v="22"/>
    <n v="3418"/>
    <s v="Singapore"/>
    <x v="88"/>
    <x v="25"/>
    <x v="3"/>
    <n v="100000"/>
    <x v="13"/>
    <s v="F"/>
    <x v="52"/>
    <x v="3"/>
  </r>
  <r>
    <n v="70005"/>
    <n v="1014"/>
    <s v="India"/>
    <d v="2023-06-09T00:05:00"/>
    <x v="3"/>
    <x v="23"/>
    <n v="3582"/>
    <s v="India"/>
    <x v="61"/>
    <x v="48"/>
    <x v="0"/>
    <n v="1000000"/>
    <x v="12"/>
    <s v="F"/>
    <x v="45"/>
    <x v="3"/>
  </r>
  <r>
    <n v="70020"/>
    <n v="1811"/>
    <s v="USA"/>
    <d v="2023-01-17T00:07:00"/>
    <x v="3"/>
    <x v="48"/>
    <n v="7484"/>
    <s v="USA"/>
    <x v="89"/>
    <x v="34"/>
    <x v="1"/>
    <n v="100000"/>
    <x v="9"/>
    <s v="F"/>
    <x v="33"/>
    <x v="1"/>
  </r>
  <r>
    <n v="71722"/>
    <n v="1420"/>
    <s v="USA"/>
    <d v="2023-09-15T00:34:00"/>
    <x v="3"/>
    <x v="19"/>
    <n v="8556"/>
    <s v="USA"/>
    <x v="90"/>
    <x v="21"/>
    <x v="0"/>
    <n v="150000"/>
    <x v="16"/>
    <s v="M"/>
    <x v="9"/>
    <x v="3"/>
  </r>
  <r>
    <n v="72556"/>
    <n v="89"/>
    <s v="Italy"/>
    <d v="2023-07-13T02:12:00"/>
    <x v="2"/>
    <x v="49"/>
    <n v="427"/>
    <s v="Italy"/>
    <x v="50"/>
    <x v="82"/>
    <x v="0"/>
    <n v="100000"/>
    <x v="10"/>
    <s v="M"/>
    <x v="19"/>
    <x v="2"/>
  </r>
  <r>
    <n v="73057"/>
    <n v="306"/>
    <s v="India"/>
    <d v="2023-11-07T00:55:00"/>
    <x v="3"/>
    <x v="50"/>
    <n v="7936"/>
    <s v="India"/>
    <x v="91"/>
    <x v="44"/>
    <x v="2"/>
    <n v="100000"/>
    <x v="27"/>
    <s v="F"/>
    <x v="1"/>
    <x v="2"/>
  </r>
  <r>
    <n v="73293"/>
    <n v="128"/>
    <s v="USA"/>
    <d v="2023-12-12T01:23:00"/>
    <x v="3"/>
    <x v="16"/>
    <n v="7868"/>
    <s v="USA"/>
    <x v="92"/>
    <x v="83"/>
    <x v="4"/>
    <n v="150000"/>
    <x v="15"/>
    <s v="F"/>
    <x v="39"/>
    <x v="2"/>
  </r>
  <r>
    <n v="73642"/>
    <n v="1519"/>
    <s v="Spain"/>
    <d v="2023-09-25T01:16:00"/>
    <x v="1"/>
    <x v="37"/>
    <n v="3758"/>
    <s v="Spain"/>
    <x v="43"/>
    <x v="84"/>
    <x v="3"/>
    <n v="150000"/>
    <x v="6"/>
    <s v="M"/>
    <x v="1"/>
    <x v="1"/>
  </r>
  <r>
    <n v="73914"/>
    <n v="1772"/>
    <s v="USA"/>
    <d v="2023-06-23T00:44:00"/>
    <x v="0"/>
    <x v="51"/>
    <n v="8306"/>
    <s v="USA"/>
    <x v="93"/>
    <x v="85"/>
    <x v="2"/>
    <n v="100000"/>
    <x v="22"/>
    <s v="M"/>
    <x v="53"/>
    <x v="1"/>
  </r>
  <r>
    <n v="74485"/>
    <n v="1247"/>
    <s v="USA"/>
    <d v="2023-12-14T00:20:00"/>
    <x v="3"/>
    <x v="52"/>
    <n v="4523"/>
    <s v="USA"/>
    <x v="94"/>
    <x v="68"/>
    <x v="4"/>
    <n v="50000"/>
    <x v="23"/>
    <s v="F"/>
    <x v="32"/>
    <x v="3"/>
  </r>
  <r>
    <n v="74526"/>
    <n v="1489"/>
    <s v="Spain"/>
    <d v="2023-12-13T01:41:00"/>
    <x v="2"/>
    <x v="53"/>
    <n v="1132"/>
    <s v="Spain"/>
    <x v="88"/>
    <x v="86"/>
    <x v="0"/>
    <n v="50000"/>
    <x v="11"/>
    <s v="F"/>
    <x v="7"/>
    <x v="3"/>
  </r>
  <r>
    <n v="75315"/>
    <n v="1291"/>
    <s v="USA"/>
    <d v="2023-07-31T00:47:00"/>
    <x v="2"/>
    <x v="54"/>
    <n v="7931"/>
    <s v="USA"/>
    <x v="25"/>
    <x v="75"/>
    <x v="1"/>
    <n v="80000"/>
    <x v="17"/>
    <s v="F"/>
    <x v="54"/>
    <x v="3"/>
  </r>
  <r>
    <n v="75706"/>
    <n v="737"/>
    <s v="India"/>
    <d v="2023-04-05T23:51:00"/>
    <x v="2"/>
    <x v="55"/>
    <n v="989"/>
    <s v="India"/>
    <x v="95"/>
    <x v="87"/>
    <x v="2"/>
    <n v="80000"/>
    <x v="27"/>
    <s v="M"/>
    <x v="53"/>
    <x v="0"/>
  </r>
  <r>
    <n v="76181"/>
    <n v="773"/>
    <s v="USA"/>
    <d v="2023-10-21T00:48:00"/>
    <x v="1"/>
    <x v="0"/>
    <n v="2221"/>
    <s v="USA"/>
    <x v="96"/>
    <x v="88"/>
    <x v="0"/>
    <n v="200000"/>
    <x v="0"/>
    <s v="M"/>
    <x v="55"/>
    <x v="0"/>
  </r>
  <r>
    <n v="78613"/>
    <n v="784"/>
    <s v="USA"/>
    <d v="2023-03-14T00:02:00"/>
    <x v="1"/>
    <x v="43"/>
    <n v="6104"/>
    <s v="USA"/>
    <x v="97"/>
    <x v="89"/>
    <x v="2"/>
    <n v="100000"/>
    <x v="21"/>
    <s v="M"/>
    <x v="4"/>
    <x v="0"/>
  </r>
  <r>
    <n v="79407"/>
    <n v="1784"/>
    <s v="USA"/>
    <d v="2023-08-08T22:39:00"/>
    <x v="1"/>
    <x v="56"/>
    <n v="8067"/>
    <s v="USA"/>
    <x v="98"/>
    <x v="90"/>
    <x v="4"/>
    <n v="100000"/>
    <x v="28"/>
    <s v="M"/>
    <x v="56"/>
    <x v="1"/>
  </r>
  <r>
    <n v="80630"/>
    <n v="748"/>
    <s v="USA"/>
    <d v="2023-05-13T23:32:00"/>
    <x v="1"/>
    <x v="57"/>
    <n v="62"/>
    <s v="USA"/>
    <x v="99"/>
    <x v="91"/>
    <x v="0"/>
    <n v="80000"/>
    <x v="0"/>
    <s v="F"/>
    <x v="28"/>
    <x v="0"/>
  </r>
  <r>
    <n v="80707"/>
    <n v="1993"/>
    <s v="USA"/>
    <d v="2023-12-09T01:09:00"/>
    <x v="3"/>
    <x v="58"/>
    <n v="2966"/>
    <s v="USA"/>
    <x v="100"/>
    <x v="92"/>
    <x v="3"/>
    <n v="100000"/>
    <x v="20"/>
    <s v="M"/>
    <x v="57"/>
    <x v="1"/>
  </r>
  <r>
    <n v="81061"/>
    <n v="676"/>
    <s v="India"/>
    <d v="2023-03-30T00:28:00"/>
    <x v="2"/>
    <x v="29"/>
    <n v="4219"/>
    <s v="India"/>
    <x v="101"/>
    <x v="39"/>
    <x v="3"/>
    <n v="100000"/>
    <x v="13"/>
    <s v="F"/>
    <x v="8"/>
    <x v="0"/>
  </r>
  <r>
    <n v="81431"/>
    <n v="508"/>
    <s v="Switzerland"/>
    <d v="2023-07-15T00:39:00"/>
    <x v="3"/>
    <x v="59"/>
    <n v="9101"/>
    <s v="Switzerland"/>
    <x v="102"/>
    <x v="11"/>
    <x v="1"/>
    <n v="100000"/>
    <x v="1"/>
    <s v="F"/>
    <x v="48"/>
    <x v="0"/>
  </r>
  <r>
    <n v="82314"/>
    <n v="1242"/>
    <s v="Spain"/>
    <d v="2023-12-21T00:51:00"/>
    <x v="3"/>
    <x v="17"/>
    <n v="9870"/>
    <s v="Spain"/>
    <x v="103"/>
    <x v="93"/>
    <x v="0"/>
    <n v="150000"/>
    <x v="14"/>
    <s v="F"/>
    <x v="39"/>
    <x v="3"/>
  </r>
  <r>
    <n v="82480"/>
    <n v="1899"/>
    <s v="USA"/>
    <d v="2023-02-11T23:52:00"/>
    <x v="2"/>
    <x v="27"/>
    <n v="3220"/>
    <s v="USA"/>
    <x v="104"/>
    <x v="94"/>
    <x v="1"/>
    <n v="80000"/>
    <x v="7"/>
    <s v="F"/>
    <x v="42"/>
    <x v="1"/>
  </r>
  <r>
    <n v="82755"/>
    <n v="689"/>
    <s v="France"/>
    <d v="2023-11-02T01:19:00"/>
    <x v="3"/>
    <x v="23"/>
    <n v="5551"/>
    <s v="France"/>
    <x v="105"/>
    <x v="95"/>
    <x v="0"/>
    <n v="1000000"/>
    <x v="12"/>
    <s v="F"/>
    <x v="10"/>
    <x v="0"/>
  </r>
  <r>
    <n v="83365"/>
    <n v="829"/>
    <s v="USA"/>
    <d v="2023-05-05T23:58:00"/>
    <x v="1"/>
    <x v="1"/>
    <n v="7937"/>
    <s v="USA"/>
    <x v="106"/>
    <x v="96"/>
    <x v="1"/>
    <n v="200000"/>
    <x v="1"/>
    <s v="F"/>
    <x v="48"/>
    <x v="0"/>
  </r>
  <r>
    <n v="83818"/>
    <n v="827"/>
    <s v="Singapore"/>
    <d v="2023-04-17T00:40:00"/>
    <x v="3"/>
    <x v="60"/>
    <n v="7643"/>
    <s v="Singapore"/>
    <x v="107"/>
    <x v="51"/>
    <x v="1"/>
    <n v="100000"/>
    <x v="26"/>
    <s v="M"/>
    <x v="28"/>
    <x v="0"/>
  </r>
  <r>
    <n v="84351"/>
    <n v="1331"/>
    <s v="USA"/>
    <d v="2023-04-19T00:13:00"/>
    <x v="1"/>
    <x v="4"/>
    <n v="4824"/>
    <s v="USA"/>
    <x v="108"/>
    <x v="97"/>
    <x v="0"/>
    <n v="200000"/>
    <x v="4"/>
    <s v="F"/>
    <x v="58"/>
    <x v="3"/>
  </r>
  <r>
    <n v="85001"/>
    <n v="266"/>
    <s v="USA"/>
    <d v="2023-11-12T01:08:00"/>
    <x v="1"/>
    <x v="2"/>
    <n v="9796"/>
    <s v="USA"/>
    <x v="109"/>
    <x v="37"/>
    <x v="2"/>
    <n v="100000"/>
    <x v="2"/>
    <s v="F"/>
    <x v="2"/>
    <x v="2"/>
  </r>
  <r>
    <n v="85142"/>
    <n v="1794"/>
    <s v="Australia"/>
    <d v="2023-02-19T02:16:00"/>
    <x v="2"/>
    <x v="61"/>
    <n v="1569"/>
    <s v="Australia"/>
    <x v="110"/>
    <x v="98"/>
    <x v="4"/>
    <n v="200000"/>
    <x v="28"/>
    <s v="M"/>
    <x v="10"/>
    <x v="1"/>
  </r>
  <r>
    <n v="85195"/>
    <n v="1954"/>
    <s v="Finland"/>
    <d v="2023-10-27T23:34:00"/>
    <x v="1"/>
    <x v="58"/>
    <n v="1860"/>
    <s v="Finland"/>
    <x v="34"/>
    <x v="99"/>
    <x v="3"/>
    <n v="100000"/>
    <x v="20"/>
    <s v="F"/>
    <x v="39"/>
    <x v="1"/>
  </r>
  <r>
    <n v="85703"/>
    <n v="142"/>
    <s v="India"/>
    <d v="2023-01-05T23:47:00"/>
    <x v="3"/>
    <x v="17"/>
    <n v="3427"/>
    <s v="India"/>
    <x v="111"/>
    <x v="100"/>
    <x v="0"/>
    <n v="150000"/>
    <x v="14"/>
    <s v="M"/>
    <x v="55"/>
    <x v="2"/>
  </r>
  <r>
    <n v="85897"/>
    <n v="948"/>
    <s v="Finland"/>
    <d v="2023-01-29T23:39:00"/>
    <x v="2"/>
    <x v="62"/>
    <n v="4650"/>
    <s v="Finland"/>
    <x v="66"/>
    <x v="101"/>
    <x v="2"/>
    <n v="150000"/>
    <x v="27"/>
    <s v="M"/>
    <x v="18"/>
    <x v="0"/>
  </r>
  <r>
    <n v="86258"/>
    <n v="726"/>
    <s v="USA"/>
    <d v="2023-11-23T01:53:00"/>
    <x v="3"/>
    <x v="25"/>
    <n v="6129"/>
    <s v="USA"/>
    <x v="7"/>
    <x v="102"/>
    <x v="1"/>
    <n v="150000"/>
    <x v="17"/>
    <s v="M"/>
    <x v="38"/>
    <x v="0"/>
  </r>
  <r>
    <n v="88069"/>
    <n v="61"/>
    <s v="Spain"/>
    <d v="2023-01-26T01:29:00"/>
    <x v="0"/>
    <x v="5"/>
    <n v="8410"/>
    <s v="Spain"/>
    <x v="112"/>
    <x v="103"/>
    <x v="2"/>
    <n v="150000"/>
    <x v="5"/>
    <s v="F"/>
    <x v="59"/>
    <x v="2"/>
  </r>
  <r>
    <n v="88156"/>
    <n v="719"/>
    <s v="Norway"/>
    <d v="2023-12-14T01:07:00"/>
    <x v="0"/>
    <x v="26"/>
    <n v="9836"/>
    <s v="Norway"/>
    <x v="94"/>
    <x v="31"/>
    <x v="2"/>
    <n v="200000"/>
    <x v="19"/>
    <s v="M"/>
    <x v="3"/>
    <x v="0"/>
  </r>
  <r>
    <n v="89811"/>
    <n v="1007"/>
    <s v="USA"/>
    <d v="2023-07-30T23:40:00"/>
    <x v="2"/>
    <x v="63"/>
    <n v="3761"/>
    <s v="USA"/>
    <x v="113"/>
    <x v="1"/>
    <x v="0"/>
    <n v="100000"/>
    <x v="16"/>
    <s v="F"/>
    <x v="14"/>
    <x v="3"/>
  </r>
  <r>
    <n v="89864"/>
    <n v="1150"/>
    <s v="USA"/>
    <d v="2023-10-16T01:51:00"/>
    <x v="0"/>
    <x v="49"/>
    <n v="8022"/>
    <s v="USA"/>
    <x v="114"/>
    <x v="104"/>
    <x v="0"/>
    <n v="100000"/>
    <x v="10"/>
    <s v="M"/>
    <x v="55"/>
    <x v="3"/>
  </r>
  <r>
    <n v="92317"/>
    <n v="820"/>
    <s v="Italy"/>
    <d v="2023-02-10T01:26:00"/>
    <x v="2"/>
    <x v="29"/>
    <n v="6790"/>
    <s v="Italy"/>
    <x v="115"/>
    <x v="65"/>
    <x v="3"/>
    <n v="100000"/>
    <x v="13"/>
    <s v="M"/>
    <x v="3"/>
    <x v="0"/>
  </r>
  <r>
    <n v="93408"/>
    <n v="1804"/>
    <s v="Australia"/>
    <d v="2023-11-05T22:54:00"/>
    <x v="3"/>
    <x v="30"/>
    <n v="6323"/>
    <s v="Australia"/>
    <x v="36"/>
    <x v="105"/>
    <x v="2"/>
    <n v="150000"/>
    <x v="21"/>
    <s v="F"/>
    <x v="49"/>
    <x v="1"/>
  </r>
  <r>
    <n v="94344"/>
    <n v="1122"/>
    <s v="Germany"/>
    <d v="2023-03-14T00:49:00"/>
    <x v="1"/>
    <x v="64"/>
    <n v="5649"/>
    <s v="Germany"/>
    <x v="97"/>
    <x v="35"/>
    <x v="2"/>
    <n v="100000"/>
    <x v="3"/>
    <s v="M"/>
    <x v="19"/>
    <x v="3"/>
  </r>
  <r>
    <n v="94709"/>
    <n v="991"/>
    <s v="USA"/>
    <d v="2023-05-15T22:36:00"/>
    <x v="2"/>
    <x v="65"/>
    <n v="1850"/>
    <s v="USA"/>
    <x v="116"/>
    <x v="106"/>
    <x v="4"/>
    <n v="250000"/>
    <x v="28"/>
    <s v="F"/>
    <x v="39"/>
    <x v="0"/>
  </r>
  <r>
    <n v="95054"/>
    <n v="1666"/>
    <s v="Spain"/>
    <d v="2023-06-10T00:40:00"/>
    <x v="0"/>
    <x v="39"/>
    <n v="2320"/>
    <s v="Spain"/>
    <x v="117"/>
    <x v="51"/>
    <x v="3"/>
    <n v="1000000"/>
    <x v="6"/>
    <s v="F"/>
    <x v="29"/>
    <x v="1"/>
  </r>
  <r>
    <n v="95500"/>
    <n v="158"/>
    <s v="USA"/>
    <d v="2023-03-25T00:51:00"/>
    <x v="1"/>
    <x v="34"/>
    <n v="7674"/>
    <s v="USA"/>
    <x v="118"/>
    <x v="93"/>
    <x v="1"/>
    <n v="100000"/>
    <x v="24"/>
    <s v="F"/>
    <x v="10"/>
    <x v="2"/>
  </r>
  <r>
    <n v="95657"/>
    <n v="985"/>
    <s v="USA"/>
    <d v="2023-05-12T23:40:00"/>
    <x v="0"/>
    <x v="65"/>
    <n v="8990"/>
    <s v="USA"/>
    <x v="57"/>
    <x v="1"/>
    <x v="4"/>
    <n v="250000"/>
    <x v="28"/>
    <s v="M"/>
    <x v="45"/>
    <x v="0"/>
  </r>
  <r>
    <n v="98453"/>
    <n v="1169"/>
    <s v="France"/>
    <d v="2023-04-29T00:10:00"/>
    <x v="1"/>
    <x v="20"/>
    <n v="2261"/>
    <s v="France"/>
    <x v="1"/>
    <x v="107"/>
    <x v="1"/>
    <n v="200000"/>
    <x v="17"/>
    <s v="M"/>
    <x v="47"/>
    <x v="3"/>
  </r>
  <r>
    <n v="98856"/>
    <n v="129"/>
    <s v="USA"/>
    <d v="2023-11-09T00:10:00"/>
    <x v="2"/>
    <x v="18"/>
    <n v="7750"/>
    <s v="USA"/>
    <x v="119"/>
    <x v="107"/>
    <x v="2"/>
    <n v="100000"/>
    <x v="5"/>
    <s v="F"/>
    <x v="29"/>
    <x v="2"/>
  </r>
  <r>
    <n v="98968"/>
    <n v="215"/>
    <s v="USA"/>
    <d v="2023-01-23T00:13:00"/>
    <x v="3"/>
    <x v="37"/>
    <n v="2161"/>
    <s v="USA"/>
    <x v="21"/>
    <x v="97"/>
    <x v="3"/>
    <n v="150000"/>
    <x v="6"/>
    <s v="M"/>
    <x v="52"/>
    <x v="2"/>
  </r>
  <r>
    <n v="99495"/>
    <n v="1957"/>
    <s v="USA"/>
    <d v="2023-03-16T23:31:00"/>
    <x v="2"/>
    <x v="15"/>
    <n v="1403"/>
    <s v="USA"/>
    <x v="29"/>
    <x v="57"/>
    <x v="0"/>
    <n v="150000"/>
    <x v="14"/>
    <s v="F"/>
    <x v="53"/>
    <x v="1"/>
  </r>
  <r>
    <n v="101471"/>
    <n v="584"/>
    <s v="USA"/>
    <d v="2023-11-25T01:12:00"/>
    <x v="0"/>
    <x v="31"/>
    <n v="9105"/>
    <s v="USA"/>
    <x v="120"/>
    <x v="52"/>
    <x v="2"/>
    <n v="100000"/>
    <x v="22"/>
    <s v="F"/>
    <x v="41"/>
    <x v="0"/>
  </r>
  <r>
    <n v="101807"/>
    <n v="1181"/>
    <s v="Singapore"/>
    <d v="2023-11-02T00:27:00"/>
    <x v="1"/>
    <x v="40"/>
    <n v="3541"/>
    <s v="Singapore"/>
    <x v="105"/>
    <x v="108"/>
    <x v="2"/>
    <n v="150000"/>
    <x v="2"/>
    <s v="F"/>
    <x v="17"/>
    <x v="3"/>
  </r>
  <r>
    <n v="101815"/>
    <n v="520"/>
    <s v="Spain"/>
    <d v="2023-09-18T01:37:00"/>
    <x v="1"/>
    <x v="24"/>
    <n v="5420"/>
    <s v="Spain"/>
    <x v="121"/>
    <x v="109"/>
    <x v="1"/>
    <n v="100000"/>
    <x v="18"/>
    <s v="M"/>
    <x v="49"/>
    <x v="0"/>
  </r>
  <r>
    <n v="102053"/>
    <n v="1739"/>
    <s v="Spain"/>
    <d v="2023-08-17T23:19:00"/>
    <x v="0"/>
    <x v="10"/>
    <n v="3746"/>
    <s v="Spain"/>
    <x v="122"/>
    <x v="24"/>
    <x v="0"/>
    <n v="250000"/>
    <x v="10"/>
    <s v="F"/>
    <x v="60"/>
    <x v="1"/>
  </r>
  <r>
    <n v="102252"/>
    <n v="1812"/>
    <s v="Spain"/>
    <d v="2023-11-08T00:23:00"/>
    <x v="3"/>
    <x v="39"/>
    <n v="2944"/>
    <s v="Spain"/>
    <x v="27"/>
    <x v="6"/>
    <x v="3"/>
    <n v="1000000"/>
    <x v="6"/>
    <s v="M"/>
    <x v="22"/>
    <x v="1"/>
  </r>
  <r>
    <n v="102931"/>
    <n v="1185"/>
    <s v="Australia"/>
    <d v="2023-06-15T22:57:00"/>
    <x v="1"/>
    <x v="42"/>
    <n v="3433"/>
    <s v="Australia"/>
    <x v="123"/>
    <x v="110"/>
    <x v="0"/>
    <n v="200000"/>
    <x v="14"/>
    <s v="F"/>
    <x v="6"/>
    <x v="3"/>
  </r>
  <r>
    <n v="103462"/>
    <n v="1280"/>
    <s v="USA"/>
    <d v="2023-10-13T00:35:00"/>
    <x v="1"/>
    <x v="4"/>
    <n v="9693"/>
    <s v="USA"/>
    <x v="17"/>
    <x v="67"/>
    <x v="0"/>
    <n v="200000"/>
    <x v="4"/>
    <s v="M"/>
    <x v="45"/>
    <x v="3"/>
  </r>
  <r>
    <n v="103711"/>
    <n v="1972"/>
    <s v="USA"/>
    <d v="2023-06-14T00:45:00"/>
    <x v="2"/>
    <x v="42"/>
    <n v="9524"/>
    <s v="USA"/>
    <x v="124"/>
    <x v="29"/>
    <x v="0"/>
    <n v="200000"/>
    <x v="14"/>
    <s v="M"/>
    <x v="2"/>
    <x v="1"/>
  </r>
  <r>
    <n v="103812"/>
    <n v="1047"/>
    <s v="Italy"/>
    <d v="2023-12-13T00:30:00"/>
    <x v="2"/>
    <x v="43"/>
    <n v="3954"/>
    <s v="Italy"/>
    <x v="88"/>
    <x v="111"/>
    <x v="2"/>
    <n v="100000"/>
    <x v="21"/>
    <s v="F"/>
    <x v="1"/>
    <x v="3"/>
  </r>
  <r>
    <n v="104755"/>
    <n v="1663"/>
    <s v="Austria"/>
    <d v="2023-05-20T00:43:00"/>
    <x v="0"/>
    <x v="14"/>
    <n v="4423"/>
    <s v="Austria"/>
    <x v="125"/>
    <x v="112"/>
    <x v="3"/>
    <n v="200000"/>
    <x v="13"/>
    <s v="F"/>
    <x v="52"/>
    <x v="1"/>
  </r>
  <r>
    <n v="105735"/>
    <n v="1793"/>
    <s v="France"/>
    <d v="2023-11-24T01:51:00"/>
    <x v="3"/>
    <x v="66"/>
    <n v="5861"/>
    <s v="France"/>
    <x v="126"/>
    <x v="104"/>
    <x v="1"/>
    <n v="100000"/>
    <x v="8"/>
    <s v="F"/>
    <x v="50"/>
    <x v="1"/>
  </r>
  <r>
    <n v="106294"/>
    <n v="1011"/>
    <s v="France"/>
    <d v="2023-04-04T22:59:00"/>
    <x v="1"/>
    <x v="67"/>
    <n v="4430"/>
    <s v="France"/>
    <x v="127"/>
    <x v="25"/>
    <x v="3"/>
    <n v="150000"/>
    <x v="29"/>
    <s v="M"/>
    <x v="1"/>
    <x v="3"/>
  </r>
  <r>
    <n v="106529"/>
    <n v="723"/>
    <s v="Denmark"/>
    <d v="2023-01-27T00:01:00"/>
    <x v="0"/>
    <x v="39"/>
    <n v="6130"/>
    <s v="Denmark"/>
    <x v="128"/>
    <x v="63"/>
    <x v="3"/>
    <n v="1000000"/>
    <x v="6"/>
    <s v="F"/>
    <x v="16"/>
    <x v="0"/>
  </r>
  <r>
    <n v="108586"/>
    <n v="1584"/>
    <s v="USA"/>
    <d v="2023-04-03T02:26:00"/>
    <x v="0"/>
    <x v="41"/>
    <n v="4335"/>
    <s v="USA"/>
    <x v="129"/>
    <x v="113"/>
    <x v="0"/>
    <n v="100000"/>
    <x v="0"/>
    <s v="F"/>
    <x v="35"/>
    <x v="1"/>
  </r>
  <r>
    <n v="109103"/>
    <n v="856"/>
    <s v="USA"/>
    <d v="2023-03-01T23:29:00"/>
    <x v="3"/>
    <x v="4"/>
    <n v="936"/>
    <s v="USA"/>
    <x v="130"/>
    <x v="71"/>
    <x v="0"/>
    <n v="200000"/>
    <x v="4"/>
    <s v="M"/>
    <x v="0"/>
    <x v="0"/>
  </r>
  <r>
    <n v="109547"/>
    <n v="1223"/>
    <s v="USA"/>
    <d v="2023-02-08T00:10:00"/>
    <x v="3"/>
    <x v="42"/>
    <n v="719"/>
    <s v="USA"/>
    <x v="131"/>
    <x v="107"/>
    <x v="0"/>
    <n v="200000"/>
    <x v="14"/>
    <s v="M"/>
    <x v="42"/>
    <x v="3"/>
  </r>
  <r>
    <n v="110341"/>
    <n v="1628"/>
    <s v="USA"/>
    <d v="2023-04-29T00:55:00"/>
    <x v="2"/>
    <x v="7"/>
    <n v="1411"/>
    <s v="USA"/>
    <x v="1"/>
    <x v="44"/>
    <x v="1"/>
    <n v="150000"/>
    <x v="7"/>
    <s v="F"/>
    <x v="33"/>
    <x v="1"/>
  </r>
  <r>
    <n v="111992"/>
    <n v="1515"/>
    <s v="USA"/>
    <d v="2023-03-26T23:02:00"/>
    <x v="3"/>
    <x v="68"/>
    <n v="9312"/>
    <s v="USA"/>
    <x v="132"/>
    <x v="114"/>
    <x v="1"/>
    <n v="150000"/>
    <x v="26"/>
    <s v="M"/>
    <x v="26"/>
    <x v="1"/>
  </r>
  <r>
    <n v="112219"/>
    <n v="1857"/>
    <s v="France"/>
    <d v="2023-05-19T23:07:00"/>
    <x v="1"/>
    <x v="23"/>
    <n v="7425"/>
    <s v="France"/>
    <x v="133"/>
    <x v="40"/>
    <x v="0"/>
    <n v="1000000"/>
    <x v="12"/>
    <s v="F"/>
    <x v="21"/>
    <x v="1"/>
  </r>
  <r>
    <n v="112565"/>
    <n v="1485"/>
    <s v="Spain"/>
    <d v="2023-04-25T00:24:00"/>
    <x v="2"/>
    <x v="9"/>
    <n v="6159"/>
    <s v="Spain"/>
    <x v="134"/>
    <x v="115"/>
    <x v="1"/>
    <n v="150000"/>
    <x v="9"/>
    <s v="F"/>
    <x v="4"/>
    <x v="3"/>
  </r>
  <r>
    <n v="112919"/>
    <n v="1262"/>
    <s v="USA"/>
    <d v="2023-08-03T00:09:00"/>
    <x v="0"/>
    <x v="69"/>
    <n v="3155"/>
    <s v="USA"/>
    <x v="135"/>
    <x v="81"/>
    <x v="4"/>
    <n v="150000"/>
    <x v="25"/>
    <s v="M"/>
    <x v="10"/>
    <x v="3"/>
  </r>
  <r>
    <n v="113132"/>
    <n v="211"/>
    <s v="France"/>
    <d v="2023-12-06T23:57:00"/>
    <x v="1"/>
    <x v="48"/>
    <n v="2270"/>
    <s v="France"/>
    <x v="136"/>
    <x v="116"/>
    <x v="1"/>
    <n v="100000"/>
    <x v="9"/>
    <s v="F"/>
    <x v="33"/>
    <x v="2"/>
  </r>
  <r>
    <n v="113406"/>
    <n v="1911"/>
    <s v="Australia"/>
    <d v="2023-03-02T01:48:00"/>
    <x v="0"/>
    <x v="22"/>
    <n v="2500"/>
    <s v="Australia"/>
    <x v="137"/>
    <x v="46"/>
    <x v="3"/>
    <n v="100000"/>
    <x v="13"/>
    <s v="F"/>
    <x v="61"/>
    <x v="1"/>
  </r>
  <r>
    <n v="114309"/>
    <n v="139"/>
    <s v="USA"/>
    <d v="2023-06-25T01:42:00"/>
    <x v="0"/>
    <x v="70"/>
    <n v="5868"/>
    <s v="USA"/>
    <x v="138"/>
    <x v="14"/>
    <x v="3"/>
    <n v="150000"/>
    <x v="29"/>
    <s v="F"/>
    <x v="21"/>
    <x v="2"/>
  </r>
  <r>
    <n v="114621"/>
    <n v="501"/>
    <s v="Spain"/>
    <d v="2023-12-23T23:51:00"/>
    <x v="1"/>
    <x v="71"/>
    <n v="3842"/>
    <s v="Spain"/>
    <x v="8"/>
    <x v="87"/>
    <x v="1"/>
    <n v="50000"/>
    <x v="8"/>
    <s v="F"/>
    <x v="23"/>
    <x v="0"/>
  </r>
  <r>
    <n v="115590"/>
    <n v="517"/>
    <s v="Australia"/>
    <d v="2023-02-02T23:52:00"/>
    <x v="0"/>
    <x v="69"/>
    <n v="9953"/>
    <s v="Australia"/>
    <x v="139"/>
    <x v="94"/>
    <x v="4"/>
    <n v="150000"/>
    <x v="25"/>
    <s v="F"/>
    <x v="55"/>
    <x v="0"/>
  </r>
  <r>
    <n v="116342"/>
    <n v="1210"/>
    <s v="Spain"/>
    <d v="2023-12-17T00:58:00"/>
    <x v="0"/>
    <x v="72"/>
    <n v="2323"/>
    <s v="Spain"/>
    <x v="72"/>
    <x v="28"/>
    <x v="0"/>
    <n v="80000"/>
    <x v="4"/>
    <s v="M"/>
    <x v="51"/>
    <x v="3"/>
  </r>
  <r>
    <n v="118335"/>
    <n v="1715"/>
    <s v="USA"/>
    <d v="2023-09-25T00:11:00"/>
    <x v="0"/>
    <x v="68"/>
    <n v="477"/>
    <s v="USA"/>
    <x v="43"/>
    <x v="10"/>
    <x v="1"/>
    <n v="150000"/>
    <x v="26"/>
    <s v="M"/>
    <x v="10"/>
    <x v="1"/>
  </r>
  <r>
    <n v="118716"/>
    <n v="1599"/>
    <s v="USA"/>
    <d v="2023-12-15T00:10:00"/>
    <x v="0"/>
    <x v="24"/>
    <n v="4765"/>
    <s v="USA"/>
    <x v="0"/>
    <x v="107"/>
    <x v="1"/>
    <n v="100000"/>
    <x v="18"/>
    <s v="M"/>
    <x v="49"/>
    <x v="1"/>
  </r>
  <r>
    <n v="118960"/>
    <n v="1265"/>
    <s v="USA"/>
    <d v="2023-03-19T00:27:00"/>
    <x v="2"/>
    <x v="0"/>
    <n v="3942"/>
    <s v="USA"/>
    <x v="140"/>
    <x v="108"/>
    <x v="0"/>
    <n v="200000"/>
    <x v="0"/>
    <s v="M"/>
    <x v="54"/>
    <x v="3"/>
  </r>
  <r>
    <n v="120228"/>
    <n v="1795"/>
    <s v="France"/>
    <d v="2023-05-03T01:32:00"/>
    <x v="1"/>
    <x v="19"/>
    <n v="5864"/>
    <s v="France"/>
    <x v="141"/>
    <x v="117"/>
    <x v="0"/>
    <n v="150000"/>
    <x v="16"/>
    <s v="M"/>
    <x v="62"/>
    <x v="1"/>
  </r>
  <r>
    <n v="120567"/>
    <n v="1523"/>
    <s v="Spain"/>
    <d v="2023-06-30T23:33:00"/>
    <x v="1"/>
    <x v="73"/>
    <n v="1876"/>
    <s v="Spain"/>
    <x v="35"/>
    <x v="62"/>
    <x v="4"/>
    <n v="100000"/>
    <x v="25"/>
    <s v="M"/>
    <x v="63"/>
    <x v="1"/>
  </r>
  <r>
    <n v="122068"/>
    <n v="624"/>
    <s v="Australia"/>
    <d v="2023-10-01T01:43:00"/>
    <x v="0"/>
    <x v="14"/>
    <n v="3030"/>
    <s v="Australia"/>
    <x v="142"/>
    <x v="118"/>
    <x v="3"/>
    <n v="200000"/>
    <x v="13"/>
    <s v="M"/>
    <x v="64"/>
    <x v="0"/>
  </r>
  <r>
    <n v="122492"/>
    <n v="147"/>
    <s v="USA"/>
    <d v="2023-07-02T22:41:00"/>
    <x v="3"/>
    <x v="37"/>
    <n v="1788"/>
    <s v="USA"/>
    <x v="143"/>
    <x v="119"/>
    <x v="3"/>
    <n v="150000"/>
    <x v="6"/>
    <s v="F"/>
    <x v="3"/>
    <x v="2"/>
  </r>
  <r>
    <n v="123546"/>
    <n v="990"/>
    <s v="Germany"/>
    <d v="2023-05-16T00:44:00"/>
    <x v="3"/>
    <x v="19"/>
    <n v="9475"/>
    <s v="Germany"/>
    <x v="144"/>
    <x v="85"/>
    <x v="0"/>
    <n v="150000"/>
    <x v="16"/>
    <s v="M"/>
    <x v="2"/>
    <x v="0"/>
  </r>
  <r>
    <n v="125939"/>
    <n v="213"/>
    <s v="USA"/>
    <d v="2023-02-28T00:53:00"/>
    <x v="1"/>
    <x v="48"/>
    <n v="6023"/>
    <s v="USA"/>
    <x v="145"/>
    <x v="36"/>
    <x v="1"/>
    <n v="100000"/>
    <x v="9"/>
    <s v="F"/>
    <x v="44"/>
    <x v="2"/>
  </r>
  <r>
    <n v="127157"/>
    <n v="532"/>
    <s v="USA"/>
    <d v="2023-02-15T23:57:00"/>
    <x v="3"/>
    <x v="26"/>
    <n v="2367"/>
    <s v="USA"/>
    <x v="146"/>
    <x v="116"/>
    <x v="2"/>
    <n v="200000"/>
    <x v="19"/>
    <s v="F"/>
    <x v="58"/>
    <x v="0"/>
  </r>
  <r>
    <n v="127349"/>
    <n v="620"/>
    <s v="Singapore"/>
    <d v="2023-04-11T00:36:00"/>
    <x v="1"/>
    <x v="74"/>
    <n v="4477"/>
    <s v="Singapore"/>
    <x v="147"/>
    <x v="120"/>
    <x v="1"/>
    <n v="200000"/>
    <x v="18"/>
    <s v="M"/>
    <x v="10"/>
    <x v="0"/>
  </r>
  <r>
    <n v="127352"/>
    <n v="1534"/>
    <s v="USA"/>
    <d v="2023-09-12T00:12:00"/>
    <x v="3"/>
    <x v="39"/>
    <n v="8980"/>
    <s v="USA"/>
    <x v="148"/>
    <x v="19"/>
    <x v="3"/>
    <n v="1000000"/>
    <x v="6"/>
    <s v="F"/>
    <x v="65"/>
    <x v="1"/>
  </r>
  <r>
    <n v="128831"/>
    <n v="816"/>
    <s v="India"/>
    <d v="2023-11-25T01:04:00"/>
    <x v="1"/>
    <x v="23"/>
    <n v="483"/>
    <s v="India"/>
    <x v="120"/>
    <x v="121"/>
    <x v="0"/>
    <n v="1000000"/>
    <x v="12"/>
    <s v="M"/>
    <x v="7"/>
    <x v="0"/>
  </r>
  <r>
    <n v="130037"/>
    <n v="765"/>
    <s v="Norway"/>
    <d v="2023-05-16T01:11:00"/>
    <x v="3"/>
    <x v="26"/>
    <n v="7380"/>
    <s v="Norway"/>
    <x v="144"/>
    <x v="122"/>
    <x v="2"/>
    <n v="200000"/>
    <x v="19"/>
    <s v="F"/>
    <x v="7"/>
    <x v="0"/>
  </r>
  <r>
    <n v="130805"/>
    <n v="207"/>
    <s v="Denmark"/>
    <d v="2023-07-11T00:15:00"/>
    <x v="3"/>
    <x v="70"/>
    <n v="9542"/>
    <s v="Denmark"/>
    <x v="149"/>
    <x v="123"/>
    <x v="3"/>
    <n v="150000"/>
    <x v="29"/>
    <s v="M"/>
    <x v="15"/>
    <x v="2"/>
  </r>
  <r>
    <n v="130920"/>
    <n v="1099"/>
    <s v="France"/>
    <d v="2023-04-19T23:47:00"/>
    <x v="3"/>
    <x v="50"/>
    <n v="5261"/>
    <s v="France"/>
    <x v="108"/>
    <x v="100"/>
    <x v="2"/>
    <n v="100000"/>
    <x v="27"/>
    <s v="F"/>
    <x v="15"/>
    <x v="3"/>
  </r>
  <r>
    <n v="131508"/>
    <n v="140"/>
    <s v="USA"/>
    <d v="2023-02-11T00:50:00"/>
    <x v="2"/>
    <x v="34"/>
    <n v="2656"/>
    <s v="USA"/>
    <x v="104"/>
    <x v="0"/>
    <x v="1"/>
    <n v="100000"/>
    <x v="24"/>
    <s v="M"/>
    <x v="30"/>
    <x v="2"/>
  </r>
  <r>
    <n v="133285"/>
    <n v="516"/>
    <s v="France"/>
    <d v="2023-02-11T01:24:00"/>
    <x v="0"/>
    <x v="30"/>
    <n v="7837"/>
    <s v="France"/>
    <x v="104"/>
    <x v="124"/>
    <x v="2"/>
    <n v="150000"/>
    <x v="21"/>
    <s v="M"/>
    <x v="66"/>
    <x v="0"/>
  </r>
  <r>
    <n v="133922"/>
    <n v="1441"/>
    <s v="Australia"/>
    <d v="2023-08-18T00:09:00"/>
    <x v="0"/>
    <x v="75"/>
    <n v="4932"/>
    <s v="Australia"/>
    <x v="150"/>
    <x v="81"/>
    <x v="1"/>
    <n v="50000"/>
    <x v="7"/>
    <s v="M"/>
    <x v="48"/>
    <x v="3"/>
  </r>
  <r>
    <n v="134419"/>
    <n v="628"/>
    <s v="France"/>
    <d v="2023-02-03T22:55:00"/>
    <x v="2"/>
    <x v="76"/>
    <n v="2768"/>
    <s v="France"/>
    <x v="151"/>
    <x v="125"/>
    <x v="4"/>
    <n v="50000"/>
    <x v="15"/>
    <s v="F"/>
    <x v="67"/>
    <x v="0"/>
  </r>
  <r>
    <n v="137231"/>
    <n v="1344"/>
    <s v="Spain"/>
    <d v="2023-10-17T00:00:00"/>
    <x v="1"/>
    <x v="73"/>
    <n v="6898"/>
    <s v="Spain"/>
    <x v="152"/>
    <x v="126"/>
    <x v="4"/>
    <n v="100000"/>
    <x v="25"/>
    <s v="M"/>
    <x v="28"/>
    <x v="3"/>
  </r>
  <r>
    <n v="138329"/>
    <n v="1108"/>
    <s v="India"/>
    <d v="2023-07-31T01:10:00"/>
    <x v="3"/>
    <x v="18"/>
    <n v="7219"/>
    <s v="India"/>
    <x v="25"/>
    <x v="7"/>
    <x v="2"/>
    <n v="100000"/>
    <x v="5"/>
    <s v="F"/>
    <x v="59"/>
    <x v="3"/>
  </r>
  <r>
    <n v="139357"/>
    <n v="423"/>
    <s v="Singapore"/>
    <d v="2023-05-18T23:38:00"/>
    <x v="0"/>
    <x v="39"/>
    <n v="5563"/>
    <s v="Singapore"/>
    <x v="153"/>
    <x v="80"/>
    <x v="3"/>
    <n v="1000000"/>
    <x v="6"/>
    <s v="F"/>
    <x v="18"/>
    <x v="2"/>
  </r>
  <r>
    <n v="139611"/>
    <n v="444"/>
    <s v="Spain"/>
    <d v="2023-10-21T01:15:00"/>
    <x v="3"/>
    <x v="36"/>
    <n v="6827"/>
    <s v="Spain"/>
    <x v="96"/>
    <x v="127"/>
    <x v="0"/>
    <n v="150000"/>
    <x v="10"/>
    <s v="F"/>
    <x v="12"/>
    <x v="2"/>
  </r>
  <r>
    <n v="139755"/>
    <n v="813"/>
    <s v="Singapore"/>
    <d v="2023-07-29T23:31:00"/>
    <x v="0"/>
    <x v="77"/>
    <n v="7305"/>
    <s v="Singapore"/>
    <x v="154"/>
    <x v="57"/>
    <x v="1"/>
    <n v="250000"/>
    <x v="24"/>
    <s v="M"/>
    <x v="66"/>
    <x v="0"/>
  </r>
  <r>
    <n v="140002"/>
    <n v="1848"/>
    <s v="USA"/>
    <d v="2023-10-02T00:49:00"/>
    <x v="1"/>
    <x v="78"/>
    <n v="3536"/>
    <s v="USA"/>
    <x v="155"/>
    <x v="35"/>
    <x v="0"/>
    <n v="100000"/>
    <x v="12"/>
    <s v="M"/>
    <x v="42"/>
    <x v="1"/>
  </r>
  <r>
    <n v="141004"/>
    <n v="1499"/>
    <s v="USA"/>
    <d v="2023-05-17T01:21:00"/>
    <x v="1"/>
    <x v="17"/>
    <n v="9940"/>
    <s v="USA"/>
    <x v="46"/>
    <x v="128"/>
    <x v="0"/>
    <n v="150000"/>
    <x v="14"/>
    <s v="F"/>
    <x v="68"/>
    <x v="3"/>
  </r>
  <r>
    <n v="141024"/>
    <n v="1436"/>
    <s v="Spain"/>
    <d v="2023-03-08T02:00:00"/>
    <x v="0"/>
    <x v="62"/>
    <n v="9491"/>
    <s v="Spain"/>
    <x v="5"/>
    <x v="23"/>
    <x v="2"/>
    <n v="150000"/>
    <x v="27"/>
    <s v="M"/>
    <x v="28"/>
    <x v="3"/>
  </r>
  <r>
    <n v="141306"/>
    <n v="249"/>
    <s v="USA"/>
    <d v="2023-01-11T01:46:00"/>
    <x v="1"/>
    <x v="25"/>
    <n v="9751"/>
    <s v="USA"/>
    <x v="156"/>
    <x v="129"/>
    <x v="1"/>
    <n v="150000"/>
    <x v="17"/>
    <s v="M"/>
    <x v="30"/>
    <x v="2"/>
  </r>
  <r>
    <n v="142160"/>
    <n v="1976"/>
    <s v="Spain"/>
    <d v="2023-02-14T01:03:00"/>
    <x v="2"/>
    <x v="1"/>
    <n v="7114"/>
    <s v="Spain"/>
    <x v="157"/>
    <x v="130"/>
    <x v="1"/>
    <n v="200000"/>
    <x v="1"/>
    <s v="F"/>
    <x v="38"/>
    <x v="1"/>
  </r>
  <r>
    <n v="145440"/>
    <n v="948"/>
    <s v="Finland"/>
    <d v="2023-08-19T01:19:00"/>
    <x v="1"/>
    <x v="39"/>
    <n v="140"/>
    <s v="Finland"/>
    <x v="158"/>
    <x v="95"/>
    <x v="3"/>
    <n v="1000000"/>
    <x v="6"/>
    <s v="M"/>
    <x v="18"/>
    <x v="0"/>
  </r>
  <r>
    <n v="145667"/>
    <n v="813"/>
    <s v="Singapore"/>
    <d v="2023-08-02T00:13:00"/>
    <x v="0"/>
    <x v="39"/>
    <n v="8841"/>
    <s v="Singapore"/>
    <x v="159"/>
    <x v="97"/>
    <x v="3"/>
    <n v="1000000"/>
    <x v="6"/>
    <s v="M"/>
    <x v="66"/>
    <x v="0"/>
  </r>
  <r>
    <n v="146599"/>
    <n v="393"/>
    <s v="India"/>
    <d v="2023-05-15T02:07:00"/>
    <x v="1"/>
    <x v="2"/>
    <n v="7712"/>
    <s v="India"/>
    <x v="116"/>
    <x v="131"/>
    <x v="2"/>
    <n v="100000"/>
    <x v="2"/>
    <s v="F"/>
    <x v="11"/>
    <x v="2"/>
  </r>
  <r>
    <n v="146917"/>
    <n v="183"/>
    <s v="India"/>
    <d v="2023-02-24T01:46:00"/>
    <x v="0"/>
    <x v="13"/>
    <n v="2595"/>
    <s v="India"/>
    <x v="160"/>
    <x v="129"/>
    <x v="0"/>
    <n v="100000"/>
    <x v="12"/>
    <s v="M"/>
    <x v="50"/>
    <x v="2"/>
  </r>
  <r>
    <n v="148310"/>
    <n v="625"/>
    <s v="India"/>
    <d v="2023-05-03T00:22:00"/>
    <x v="0"/>
    <x v="17"/>
    <n v="2291"/>
    <s v="India"/>
    <x v="141"/>
    <x v="54"/>
    <x v="0"/>
    <n v="150000"/>
    <x v="14"/>
    <s v="M"/>
    <x v="26"/>
    <x v="0"/>
  </r>
  <r>
    <n v="148706"/>
    <n v="188"/>
    <s v="India"/>
    <d v="2023-12-09T23:20:00"/>
    <x v="3"/>
    <x v="39"/>
    <n v="4301"/>
    <s v="India"/>
    <x v="100"/>
    <x v="27"/>
    <x v="3"/>
    <n v="1000000"/>
    <x v="6"/>
    <s v="F"/>
    <x v="54"/>
    <x v="2"/>
  </r>
  <r>
    <n v="149310"/>
    <n v="1734"/>
    <s v="USA"/>
    <d v="2023-01-15T01:37:00"/>
    <x v="0"/>
    <x v="25"/>
    <n v="1340"/>
    <s v="USA"/>
    <x v="161"/>
    <x v="109"/>
    <x v="1"/>
    <n v="150000"/>
    <x v="17"/>
    <s v="M"/>
    <x v="14"/>
    <x v="1"/>
  </r>
  <r>
    <n v="149497"/>
    <n v="931"/>
    <s v="USA"/>
    <d v="2023-04-10T23:39:00"/>
    <x v="0"/>
    <x v="5"/>
    <n v="7840"/>
    <s v="USA"/>
    <x v="162"/>
    <x v="101"/>
    <x v="2"/>
    <n v="150000"/>
    <x v="5"/>
    <s v="F"/>
    <x v="30"/>
    <x v="0"/>
  </r>
  <r>
    <n v="149877"/>
    <n v="978"/>
    <s v="USA"/>
    <d v="2023-01-20T23:29:00"/>
    <x v="0"/>
    <x v="26"/>
    <n v="5106"/>
    <s v="USA"/>
    <x v="163"/>
    <x v="71"/>
    <x v="2"/>
    <n v="200000"/>
    <x v="19"/>
    <s v="M"/>
    <x v="16"/>
    <x v="0"/>
  </r>
  <r>
    <n v="151746"/>
    <n v="718"/>
    <s v="Norway"/>
    <d v="2023-05-24T01:59:00"/>
    <x v="3"/>
    <x v="63"/>
    <n v="7817"/>
    <s v="Norway"/>
    <x v="164"/>
    <x v="132"/>
    <x v="0"/>
    <n v="100000"/>
    <x v="16"/>
    <s v="F"/>
    <x v="55"/>
    <x v="0"/>
  </r>
  <r>
    <n v="151991"/>
    <n v="1361"/>
    <s v="Spain"/>
    <d v="2023-01-23T23:24:00"/>
    <x v="1"/>
    <x v="28"/>
    <n v="1045"/>
    <s v="Spain"/>
    <x v="21"/>
    <x v="56"/>
    <x v="3"/>
    <n v="80000"/>
    <x v="20"/>
    <s v="F"/>
    <x v="63"/>
    <x v="3"/>
  </r>
  <r>
    <n v="152504"/>
    <n v="280"/>
    <s v="USA"/>
    <d v="2023-04-20T01:03:00"/>
    <x v="1"/>
    <x v="29"/>
    <n v="6681"/>
    <s v="USA"/>
    <x v="165"/>
    <x v="130"/>
    <x v="3"/>
    <n v="100000"/>
    <x v="13"/>
    <s v="M"/>
    <x v="66"/>
    <x v="2"/>
  </r>
  <r>
    <n v="152609"/>
    <n v="991"/>
    <s v="USA"/>
    <d v="2023-08-12T01:29:00"/>
    <x v="1"/>
    <x v="30"/>
    <n v="7294"/>
    <s v="USA"/>
    <x v="166"/>
    <x v="103"/>
    <x v="2"/>
    <n v="150000"/>
    <x v="21"/>
    <s v="F"/>
    <x v="39"/>
    <x v="0"/>
  </r>
  <r>
    <n v="152738"/>
    <n v="1099"/>
    <s v="France"/>
    <d v="2023-07-04T00:11:00"/>
    <x v="2"/>
    <x v="31"/>
    <n v="177"/>
    <s v="France"/>
    <x v="167"/>
    <x v="10"/>
    <x v="2"/>
    <n v="100000"/>
    <x v="22"/>
    <s v="F"/>
    <x v="15"/>
    <x v="3"/>
  </r>
  <r>
    <n v="152762"/>
    <n v="1015"/>
    <s v="Italy"/>
    <d v="2023-06-20T22:41:00"/>
    <x v="2"/>
    <x v="38"/>
    <n v="9099"/>
    <s v="Italy"/>
    <x v="168"/>
    <x v="119"/>
    <x v="2"/>
    <n v="100000"/>
    <x v="22"/>
    <s v="F"/>
    <x v="63"/>
    <x v="3"/>
  </r>
  <r>
    <n v="153389"/>
    <n v="1715"/>
    <s v="USA"/>
    <d v="2023-10-28T23:21:00"/>
    <x v="3"/>
    <x v="39"/>
    <n v="2257"/>
    <s v="USA"/>
    <x v="65"/>
    <x v="69"/>
    <x v="3"/>
    <n v="1000000"/>
    <x v="6"/>
    <s v="M"/>
    <x v="10"/>
    <x v="1"/>
  </r>
  <r>
    <n v="153440"/>
    <n v="1070"/>
    <s v="Singapore"/>
    <d v="2023-11-17T22:50:00"/>
    <x v="3"/>
    <x v="34"/>
    <n v="5399"/>
    <s v="Singapore"/>
    <x v="169"/>
    <x v="133"/>
    <x v="1"/>
    <n v="100000"/>
    <x v="24"/>
    <s v="F"/>
    <x v="52"/>
    <x v="3"/>
  </r>
  <r>
    <n v="153648"/>
    <n v="1459"/>
    <s v="France"/>
    <d v="2023-10-10T00:55:00"/>
    <x v="2"/>
    <x v="35"/>
    <n v="7435"/>
    <s v="France"/>
    <x v="33"/>
    <x v="44"/>
    <x v="4"/>
    <n v="100000"/>
    <x v="15"/>
    <s v="M"/>
    <x v="0"/>
    <x v="3"/>
  </r>
  <r>
    <n v="153794"/>
    <n v="887"/>
    <s v="USA"/>
    <d v="2023-01-14T00:27:00"/>
    <x v="0"/>
    <x v="20"/>
    <n v="3781"/>
    <s v="USA"/>
    <x v="170"/>
    <x v="108"/>
    <x v="1"/>
    <n v="200000"/>
    <x v="17"/>
    <s v="F"/>
    <x v="9"/>
    <x v="0"/>
  </r>
  <r>
    <n v="155501"/>
    <n v="1703"/>
    <s v="France"/>
    <d v="2023-03-20T23:28:00"/>
    <x v="1"/>
    <x v="18"/>
    <n v="2102"/>
    <s v="France"/>
    <x v="171"/>
    <x v="134"/>
    <x v="2"/>
    <n v="100000"/>
    <x v="5"/>
    <s v="F"/>
    <x v="67"/>
    <x v="1"/>
  </r>
  <r>
    <n v="155731"/>
    <n v="1212"/>
    <s v="Singapore"/>
    <d v="2023-11-01T23:36:00"/>
    <x v="1"/>
    <x v="37"/>
    <n v="8205"/>
    <s v="Singapore"/>
    <x v="172"/>
    <x v="135"/>
    <x v="3"/>
    <n v="150000"/>
    <x v="6"/>
    <s v="F"/>
    <x v="64"/>
    <x v="3"/>
  </r>
  <r>
    <n v="157238"/>
    <n v="1100"/>
    <s v="Spain"/>
    <d v="2023-03-26T00:34:00"/>
    <x v="0"/>
    <x v="38"/>
    <n v="5281"/>
    <s v="Spain"/>
    <x v="132"/>
    <x v="21"/>
    <x v="2"/>
    <n v="100000"/>
    <x v="22"/>
    <s v="F"/>
    <x v="35"/>
    <x v="3"/>
  </r>
  <r>
    <n v="157882"/>
    <n v="72"/>
    <s v="Spain"/>
    <d v="2023-11-24T00:54:00"/>
    <x v="2"/>
    <x v="31"/>
    <n v="8982"/>
    <s v="Spain"/>
    <x v="126"/>
    <x v="73"/>
    <x v="2"/>
    <n v="100000"/>
    <x v="22"/>
    <s v="F"/>
    <x v="65"/>
    <x v="2"/>
  </r>
  <r>
    <n v="158217"/>
    <n v="698"/>
    <s v="Australia"/>
    <d v="2023-05-29T02:00:00"/>
    <x v="1"/>
    <x v="40"/>
    <n v="424"/>
    <s v="Australia"/>
    <x v="42"/>
    <x v="23"/>
    <x v="2"/>
    <n v="150000"/>
    <x v="2"/>
    <s v="M"/>
    <x v="57"/>
    <x v="0"/>
  </r>
  <r>
    <n v="159503"/>
    <n v="333"/>
    <s v="Germany"/>
    <d v="2023-05-14T00:29:00"/>
    <x v="3"/>
    <x v="8"/>
    <n v="5295"/>
    <s v="Germany"/>
    <x v="173"/>
    <x v="50"/>
    <x v="1"/>
    <n v="150000"/>
    <x v="8"/>
    <s v="M"/>
    <x v="64"/>
    <x v="2"/>
  </r>
  <r>
    <n v="160435"/>
    <n v="737"/>
    <s v="India"/>
    <d v="2023-06-06T23:15:00"/>
    <x v="0"/>
    <x v="10"/>
    <n v="2127"/>
    <s v="India"/>
    <x v="174"/>
    <x v="136"/>
    <x v="0"/>
    <n v="250000"/>
    <x v="10"/>
    <s v="M"/>
    <x v="53"/>
    <x v="0"/>
  </r>
  <r>
    <n v="160692"/>
    <n v="532"/>
    <s v="USA"/>
    <d v="2023-11-06T01:04:00"/>
    <x v="1"/>
    <x v="39"/>
    <n v="679"/>
    <s v="USA"/>
    <x v="175"/>
    <x v="121"/>
    <x v="3"/>
    <n v="1000000"/>
    <x v="6"/>
    <s v="F"/>
    <x v="58"/>
    <x v="0"/>
  </r>
  <r>
    <n v="162458"/>
    <n v="1515"/>
    <s v="USA"/>
    <d v="2023-12-06T00:58:00"/>
    <x v="2"/>
    <x v="42"/>
    <n v="3793"/>
    <s v="USA"/>
    <x v="136"/>
    <x v="28"/>
    <x v="0"/>
    <n v="200000"/>
    <x v="14"/>
    <s v="M"/>
    <x v="26"/>
    <x v="1"/>
  </r>
  <r>
    <n v="163919"/>
    <n v="1635"/>
    <s v="USA"/>
    <d v="2023-06-22T00:48:00"/>
    <x v="2"/>
    <x v="4"/>
    <n v="4116"/>
    <s v="USA"/>
    <x v="82"/>
    <x v="88"/>
    <x v="0"/>
    <n v="200000"/>
    <x v="4"/>
    <s v="M"/>
    <x v="10"/>
    <x v="1"/>
  </r>
  <r>
    <n v="164155"/>
    <n v="820"/>
    <s v="Italy"/>
    <d v="2023-05-21T00:49:00"/>
    <x v="0"/>
    <x v="42"/>
    <n v="6498"/>
    <s v="Italy"/>
    <x v="176"/>
    <x v="35"/>
    <x v="0"/>
    <n v="200000"/>
    <x v="14"/>
    <s v="M"/>
    <x v="3"/>
    <x v="0"/>
  </r>
  <r>
    <n v="165080"/>
    <n v="715"/>
    <s v="USA"/>
    <d v="2023-12-23T23:22:00"/>
    <x v="2"/>
    <x v="43"/>
    <n v="3378"/>
    <s v="USA"/>
    <x v="8"/>
    <x v="137"/>
    <x v="2"/>
    <n v="100000"/>
    <x v="21"/>
    <s v="M"/>
    <x v="49"/>
    <x v="0"/>
  </r>
  <r>
    <n v="165318"/>
    <n v="1759"/>
    <s v="Spain"/>
    <d v="2023-02-09T00:50:00"/>
    <x v="2"/>
    <x v="23"/>
    <n v="3573"/>
    <s v="Spain"/>
    <x v="177"/>
    <x v="0"/>
    <x v="0"/>
    <n v="1000000"/>
    <x v="12"/>
    <s v="F"/>
    <x v="13"/>
    <x v="1"/>
  </r>
  <r>
    <n v="165674"/>
    <n v="614"/>
    <s v="USA"/>
    <d v="2023-11-29T00:34:00"/>
    <x v="3"/>
    <x v="0"/>
    <n v="8831"/>
    <s v="USA"/>
    <x v="178"/>
    <x v="21"/>
    <x v="0"/>
    <n v="200000"/>
    <x v="0"/>
    <s v="M"/>
    <x v="40"/>
    <x v="0"/>
  </r>
  <r>
    <n v="165835"/>
    <n v="1191"/>
    <s v="Australia"/>
    <d v="2023-05-31T00:16:00"/>
    <x v="3"/>
    <x v="1"/>
    <n v="2282"/>
    <s v="Australia"/>
    <x v="179"/>
    <x v="61"/>
    <x v="1"/>
    <n v="200000"/>
    <x v="1"/>
    <s v="M"/>
    <x v="68"/>
    <x v="3"/>
  </r>
  <r>
    <n v="166687"/>
    <n v="813"/>
    <s v="Singapore"/>
    <d v="2023-05-21T00:35:00"/>
    <x v="2"/>
    <x v="2"/>
    <n v="2254"/>
    <s v="Singapore"/>
    <x v="176"/>
    <x v="67"/>
    <x v="2"/>
    <n v="100000"/>
    <x v="2"/>
    <s v="M"/>
    <x v="66"/>
    <x v="0"/>
  </r>
  <r>
    <n v="167720"/>
    <n v="1887"/>
    <s v="Spain"/>
    <d v="2023-12-02T00:35:00"/>
    <x v="3"/>
    <x v="3"/>
    <n v="8941"/>
    <s v="Spain"/>
    <x v="180"/>
    <x v="67"/>
    <x v="2"/>
    <n v="150000"/>
    <x v="3"/>
    <s v="M"/>
    <x v="20"/>
    <x v="1"/>
  </r>
  <r>
    <n v="169945"/>
    <n v="1325"/>
    <s v="Spain"/>
    <d v="2023-07-04T00:54:00"/>
    <x v="1"/>
    <x v="4"/>
    <n v="9136"/>
    <s v="Spain"/>
    <x v="167"/>
    <x v="73"/>
    <x v="0"/>
    <n v="200000"/>
    <x v="4"/>
    <s v="F"/>
    <x v="3"/>
    <x v="3"/>
  </r>
  <r>
    <n v="170046"/>
    <n v="242"/>
    <s v="USA"/>
    <d v="2023-01-16T00:57:00"/>
    <x v="3"/>
    <x v="42"/>
    <n v="9317"/>
    <s v="USA"/>
    <x v="181"/>
    <x v="42"/>
    <x v="0"/>
    <n v="200000"/>
    <x v="14"/>
    <s v="F"/>
    <x v="27"/>
    <x v="2"/>
  </r>
  <r>
    <n v="170058"/>
    <n v="446"/>
    <s v="USA"/>
    <d v="2023-11-11T00:50:00"/>
    <x v="3"/>
    <x v="6"/>
    <n v="8184"/>
    <s v="USA"/>
    <x v="68"/>
    <x v="0"/>
    <x v="3"/>
    <n v="150000"/>
    <x v="6"/>
    <s v="M"/>
    <x v="25"/>
    <x v="2"/>
  </r>
  <r>
    <n v="170864"/>
    <n v="1870"/>
    <s v="USA"/>
    <d v="2023-05-09T23:56:00"/>
    <x v="0"/>
    <x v="3"/>
    <n v="4281"/>
    <s v="USA"/>
    <x v="182"/>
    <x v="138"/>
    <x v="2"/>
    <n v="150000"/>
    <x v="3"/>
    <s v="F"/>
    <x v="36"/>
    <x v="1"/>
  </r>
  <r>
    <n v="170991"/>
    <n v="1845"/>
    <s v="Finland"/>
    <d v="2023-07-02T23:42:00"/>
    <x v="1"/>
    <x v="8"/>
    <n v="2460"/>
    <s v="Finland"/>
    <x v="143"/>
    <x v="38"/>
    <x v="1"/>
    <n v="150000"/>
    <x v="8"/>
    <s v="F"/>
    <x v="69"/>
    <x v="1"/>
  </r>
  <r>
    <n v="171269"/>
    <n v="516"/>
    <s v="France"/>
    <d v="2023-08-22T00:18:00"/>
    <x v="1"/>
    <x v="9"/>
    <n v="5709"/>
    <s v="France"/>
    <x v="183"/>
    <x v="139"/>
    <x v="1"/>
    <n v="150000"/>
    <x v="9"/>
    <s v="M"/>
    <x v="66"/>
    <x v="0"/>
  </r>
  <r>
    <n v="171420"/>
    <n v="614"/>
    <s v="USA"/>
    <d v="2023-01-17T00:51:00"/>
    <x v="2"/>
    <x v="6"/>
    <n v="8738"/>
    <s v="USA"/>
    <x v="89"/>
    <x v="93"/>
    <x v="3"/>
    <n v="150000"/>
    <x v="6"/>
    <s v="M"/>
    <x v="40"/>
    <x v="0"/>
  </r>
  <r>
    <n v="172114"/>
    <n v="264"/>
    <s v="USA"/>
    <d v="2023-02-22T00:22:00"/>
    <x v="1"/>
    <x v="11"/>
    <n v="5214"/>
    <s v="USA"/>
    <x v="184"/>
    <x v="54"/>
    <x v="1"/>
    <n v="150000"/>
    <x v="1"/>
    <s v="M"/>
    <x v="7"/>
    <x v="2"/>
  </r>
  <r>
    <n v="172649"/>
    <n v="1816"/>
    <s v="Spain"/>
    <d v="2023-02-24T00:55:00"/>
    <x v="1"/>
    <x v="12"/>
    <n v="6377"/>
    <s v="Spain"/>
    <x v="160"/>
    <x v="44"/>
    <x v="0"/>
    <n v="80000"/>
    <x v="11"/>
    <s v="M"/>
    <x v="21"/>
    <x v="1"/>
  </r>
  <r>
    <n v="174652"/>
    <n v="218"/>
    <s v="France"/>
    <d v="2023-11-24T23:28:00"/>
    <x v="1"/>
    <x v="13"/>
    <n v="9736"/>
    <s v="France"/>
    <x v="126"/>
    <x v="134"/>
    <x v="0"/>
    <n v="100000"/>
    <x v="12"/>
    <s v="F"/>
    <x v="6"/>
    <x v="2"/>
  </r>
  <r>
    <n v="174998"/>
    <n v="1303"/>
    <s v="Spain"/>
    <d v="2023-03-01T23:52:00"/>
    <x v="1"/>
    <x v="71"/>
    <n v="5209"/>
    <s v="Spain"/>
    <x v="130"/>
    <x v="94"/>
    <x v="1"/>
    <n v="50000"/>
    <x v="8"/>
    <s v="M"/>
    <x v="49"/>
    <x v="3"/>
  </r>
  <r>
    <n v="175577"/>
    <n v="515"/>
    <s v="Spain"/>
    <d v="2023-11-21T01:53:00"/>
    <x v="0"/>
    <x v="15"/>
    <n v="5334"/>
    <s v="Spain"/>
    <x v="185"/>
    <x v="102"/>
    <x v="0"/>
    <n v="150000"/>
    <x v="14"/>
    <s v="F"/>
    <x v="2"/>
    <x v="0"/>
  </r>
  <r>
    <n v="177047"/>
    <n v="1189"/>
    <s v="France"/>
    <d v="2023-08-13T23:18:00"/>
    <x v="3"/>
    <x v="16"/>
    <n v="2516"/>
    <s v="France"/>
    <x v="186"/>
    <x v="140"/>
    <x v="4"/>
    <n v="150000"/>
    <x v="15"/>
    <s v="F"/>
    <x v="45"/>
    <x v="3"/>
  </r>
  <r>
    <n v="177753"/>
    <n v="790"/>
    <s v="India"/>
    <d v="2023-08-06T00:44:00"/>
    <x v="3"/>
    <x v="17"/>
    <n v="5420"/>
    <s v="India"/>
    <x v="187"/>
    <x v="85"/>
    <x v="0"/>
    <n v="150000"/>
    <x v="14"/>
    <s v="M"/>
    <x v="67"/>
    <x v="0"/>
  </r>
  <r>
    <n v="177897"/>
    <n v="1698"/>
    <s v="France"/>
    <d v="2023-08-05T23:20:00"/>
    <x v="3"/>
    <x v="79"/>
    <n v="8289"/>
    <s v="France"/>
    <x v="188"/>
    <x v="27"/>
    <x v="1"/>
    <n v="200000"/>
    <x v="9"/>
    <s v="F"/>
    <x v="6"/>
    <x v="1"/>
  </r>
  <r>
    <n v="177908"/>
    <n v="1848"/>
    <s v="USA"/>
    <d v="2023-04-29T23:25:00"/>
    <x v="2"/>
    <x v="0"/>
    <n v="1341"/>
    <s v="USA"/>
    <x v="1"/>
    <x v="141"/>
    <x v="0"/>
    <n v="200000"/>
    <x v="0"/>
    <s v="M"/>
    <x v="42"/>
    <x v="1"/>
  </r>
  <r>
    <n v="178044"/>
    <n v="1576"/>
    <s v="USA"/>
    <d v="2023-02-04T01:22:00"/>
    <x v="1"/>
    <x v="19"/>
    <n v="8097"/>
    <s v="USA"/>
    <x v="189"/>
    <x v="142"/>
    <x v="0"/>
    <n v="150000"/>
    <x v="16"/>
    <s v="M"/>
    <x v="41"/>
    <x v="1"/>
  </r>
  <r>
    <n v="178761"/>
    <n v="1021"/>
    <s v="Singapore"/>
    <d v="2023-02-25T22:36:00"/>
    <x v="2"/>
    <x v="5"/>
    <n v="2487"/>
    <s v="Singapore"/>
    <x v="84"/>
    <x v="106"/>
    <x v="2"/>
    <n v="150000"/>
    <x v="5"/>
    <s v="M"/>
    <x v="22"/>
    <x v="3"/>
  </r>
  <r>
    <n v="179974"/>
    <n v="1547"/>
    <s v="France"/>
    <d v="2023-05-18T00:40:00"/>
    <x v="2"/>
    <x v="14"/>
    <n v="5106"/>
    <s v="France"/>
    <x v="153"/>
    <x v="51"/>
    <x v="3"/>
    <n v="200000"/>
    <x v="13"/>
    <s v="M"/>
    <x v="2"/>
    <x v="1"/>
  </r>
  <r>
    <n v="180507"/>
    <n v="1459"/>
    <s v="France"/>
    <d v="2023-05-15T22:35:00"/>
    <x v="2"/>
    <x v="21"/>
    <n v="1697"/>
    <s v="France"/>
    <x v="116"/>
    <x v="55"/>
    <x v="0"/>
    <n v="100000"/>
    <x v="4"/>
    <s v="M"/>
    <x v="0"/>
    <x v="3"/>
  </r>
  <r>
    <n v="180775"/>
    <n v="645"/>
    <s v="Denmark"/>
    <d v="2023-03-20T00:05:00"/>
    <x v="2"/>
    <x v="22"/>
    <n v="4981"/>
    <s v="Denmark"/>
    <x v="171"/>
    <x v="48"/>
    <x v="3"/>
    <n v="100000"/>
    <x v="13"/>
    <s v="F"/>
    <x v="28"/>
    <x v="0"/>
  </r>
  <r>
    <n v="182197"/>
    <n v="74"/>
    <s v="USA"/>
    <d v="2023-06-04T01:54:00"/>
    <x v="3"/>
    <x v="23"/>
    <n v="801"/>
    <s v="USA"/>
    <x v="190"/>
    <x v="143"/>
    <x v="0"/>
    <n v="1000000"/>
    <x v="12"/>
    <s v="F"/>
    <x v="9"/>
    <x v="2"/>
  </r>
  <r>
    <n v="182299"/>
    <n v="570"/>
    <s v="India"/>
    <d v="2023-10-13T00:33:00"/>
    <x v="3"/>
    <x v="23"/>
    <n v="2238"/>
    <s v="India"/>
    <x v="17"/>
    <x v="53"/>
    <x v="0"/>
    <n v="1000000"/>
    <x v="12"/>
    <s v="F"/>
    <x v="50"/>
    <x v="0"/>
  </r>
  <r>
    <n v="182441"/>
    <n v="1694"/>
    <s v="Ireland"/>
    <d v="2023-12-18T23:01:00"/>
    <x v="1"/>
    <x v="26"/>
    <n v="1072"/>
    <s v="Ireland"/>
    <x v="11"/>
    <x v="144"/>
    <x v="2"/>
    <n v="200000"/>
    <x v="19"/>
    <s v="M"/>
    <x v="69"/>
    <x v="1"/>
  </r>
  <r>
    <n v="183352"/>
    <n v="1682"/>
    <s v="France"/>
    <d v="2023-10-16T00:35:00"/>
    <x v="1"/>
    <x v="74"/>
    <n v="8347"/>
    <s v="France"/>
    <x v="114"/>
    <x v="67"/>
    <x v="1"/>
    <n v="200000"/>
    <x v="18"/>
    <s v="M"/>
    <x v="54"/>
    <x v="1"/>
  </r>
  <r>
    <n v="183380"/>
    <n v="1712"/>
    <s v="Germany"/>
    <d v="2023-07-06T00:03:00"/>
    <x v="1"/>
    <x v="39"/>
    <n v="1046"/>
    <s v="Germany"/>
    <x v="191"/>
    <x v="72"/>
    <x v="3"/>
    <n v="1000000"/>
    <x v="6"/>
    <s v="F"/>
    <x v="43"/>
    <x v="1"/>
  </r>
  <r>
    <n v="183654"/>
    <n v="618"/>
    <s v="Finland"/>
    <d v="2023-08-14T23:02:00"/>
    <x v="0"/>
    <x v="23"/>
    <n v="1434"/>
    <s v="Finland"/>
    <x v="192"/>
    <x v="114"/>
    <x v="0"/>
    <n v="1000000"/>
    <x v="12"/>
    <s v="F"/>
    <x v="30"/>
    <x v="0"/>
  </r>
  <r>
    <n v="184958"/>
    <n v="1354"/>
    <s v="Singapore"/>
    <d v="2023-08-12T00:58:00"/>
    <x v="0"/>
    <x v="26"/>
    <n v="39"/>
    <s v="Singapore"/>
    <x v="166"/>
    <x v="28"/>
    <x v="2"/>
    <n v="200000"/>
    <x v="19"/>
    <s v="M"/>
    <x v="17"/>
    <x v="3"/>
  </r>
  <r>
    <n v="185213"/>
    <n v="868"/>
    <s v="Switzerland"/>
    <d v="2023-04-16T22:40:00"/>
    <x v="3"/>
    <x v="70"/>
    <n v="4245"/>
    <s v="Switzerland"/>
    <x v="193"/>
    <x v="145"/>
    <x v="3"/>
    <n v="150000"/>
    <x v="29"/>
    <s v="F"/>
    <x v="34"/>
    <x v="0"/>
  </r>
  <r>
    <n v="185809"/>
    <n v="1830"/>
    <s v="Australia"/>
    <d v="2023-03-08T02:07:00"/>
    <x v="1"/>
    <x v="50"/>
    <n v="3863"/>
    <s v="Australia"/>
    <x v="5"/>
    <x v="131"/>
    <x v="2"/>
    <n v="100000"/>
    <x v="27"/>
    <s v="F"/>
    <x v="60"/>
    <x v="1"/>
  </r>
  <r>
    <n v="187527"/>
    <n v="877"/>
    <s v="India"/>
    <d v="2023-04-07T01:22:00"/>
    <x v="1"/>
    <x v="34"/>
    <n v="6774"/>
    <s v="India"/>
    <x v="194"/>
    <x v="142"/>
    <x v="1"/>
    <n v="100000"/>
    <x v="24"/>
    <s v="M"/>
    <x v="61"/>
    <x v="0"/>
  </r>
  <r>
    <n v="187746"/>
    <n v="500"/>
    <s v="USA"/>
    <d v="2023-10-21T00:12:00"/>
    <x v="0"/>
    <x v="30"/>
    <n v="946"/>
    <s v="USA"/>
    <x v="96"/>
    <x v="19"/>
    <x v="2"/>
    <n v="150000"/>
    <x v="21"/>
    <s v="F"/>
    <x v="55"/>
    <x v="2"/>
  </r>
  <r>
    <n v="188610"/>
    <n v="1057"/>
    <s v="Spain"/>
    <d v="2023-02-05T23:44:00"/>
    <x v="3"/>
    <x v="75"/>
    <n v="597"/>
    <s v="Spain"/>
    <x v="195"/>
    <x v="146"/>
    <x v="1"/>
    <n v="50000"/>
    <x v="7"/>
    <s v="M"/>
    <x v="37"/>
    <x v="3"/>
  </r>
  <r>
    <n v="188856"/>
    <n v="1984"/>
    <s v="Australia"/>
    <d v="2023-11-21T23:01:00"/>
    <x v="1"/>
    <x v="72"/>
    <n v="4243"/>
    <s v="Australia"/>
    <x v="185"/>
    <x v="144"/>
    <x v="0"/>
    <n v="80000"/>
    <x v="4"/>
    <s v="M"/>
    <x v="23"/>
    <x v="1"/>
  </r>
  <r>
    <n v="191639"/>
    <n v="1293"/>
    <s v="USA"/>
    <d v="2023-04-26T23:40:00"/>
    <x v="3"/>
    <x v="73"/>
    <n v="957"/>
    <s v="USA"/>
    <x v="48"/>
    <x v="1"/>
    <x v="4"/>
    <n v="100000"/>
    <x v="25"/>
    <s v="M"/>
    <x v="4"/>
    <x v="3"/>
  </r>
  <r>
    <n v="193342"/>
    <n v="1974"/>
    <s v="USA"/>
    <d v="2023-03-17T01:43:00"/>
    <x v="0"/>
    <x v="18"/>
    <n v="242"/>
    <s v="USA"/>
    <x v="19"/>
    <x v="118"/>
    <x v="2"/>
    <n v="100000"/>
    <x v="5"/>
    <s v="F"/>
    <x v="8"/>
    <x v="1"/>
  </r>
  <r>
    <n v="194632"/>
    <n v="1962"/>
    <s v="USA"/>
    <d v="2023-01-02T00:40:00"/>
    <x v="3"/>
    <x v="39"/>
    <n v="8267"/>
    <s v="USA"/>
    <x v="80"/>
    <x v="51"/>
    <x v="3"/>
    <n v="1000000"/>
    <x v="6"/>
    <s v="M"/>
    <x v="12"/>
    <x v="1"/>
  </r>
  <r>
    <n v="194894"/>
    <n v="1210"/>
    <s v="Spain"/>
    <d v="2023-11-06T22:44:00"/>
    <x v="3"/>
    <x v="36"/>
    <n v="8013"/>
    <s v="Spain"/>
    <x v="175"/>
    <x v="147"/>
    <x v="0"/>
    <n v="150000"/>
    <x v="10"/>
    <s v="M"/>
    <x v="51"/>
    <x v="3"/>
  </r>
  <r>
    <n v="195686"/>
    <n v="67"/>
    <s v="Italy"/>
    <d v="2023-09-07T01:04:00"/>
    <x v="1"/>
    <x v="77"/>
    <n v="2651"/>
    <s v="Italy"/>
    <x v="196"/>
    <x v="121"/>
    <x v="1"/>
    <n v="250000"/>
    <x v="24"/>
    <s v="M"/>
    <x v="66"/>
    <x v="2"/>
  </r>
  <r>
    <n v="195704"/>
    <n v="1260"/>
    <s v="France"/>
    <d v="2023-02-16T00:25:00"/>
    <x v="1"/>
    <x v="78"/>
    <n v="6946"/>
    <s v="France"/>
    <x v="197"/>
    <x v="148"/>
    <x v="0"/>
    <n v="100000"/>
    <x v="12"/>
    <s v="M"/>
    <x v="50"/>
    <x v="3"/>
  </r>
  <r>
    <n v="196116"/>
    <n v="1831"/>
    <s v="USA"/>
    <d v="2023-11-24T00:08:00"/>
    <x v="3"/>
    <x v="11"/>
    <n v="7358"/>
    <s v="USA"/>
    <x v="126"/>
    <x v="149"/>
    <x v="1"/>
    <n v="150000"/>
    <x v="1"/>
    <s v="M"/>
    <x v="68"/>
    <x v="1"/>
  </r>
  <r>
    <n v="196148"/>
    <n v="325"/>
    <s v="France"/>
    <d v="2023-01-15T01:09:00"/>
    <x v="2"/>
    <x v="62"/>
    <n v="8010"/>
    <s v="France"/>
    <x v="161"/>
    <x v="92"/>
    <x v="2"/>
    <n v="150000"/>
    <x v="27"/>
    <s v="M"/>
    <x v="35"/>
    <x v="2"/>
  </r>
  <r>
    <n v="196872"/>
    <n v="1250"/>
    <s v="USA"/>
    <d v="2023-09-25T01:13:00"/>
    <x v="3"/>
    <x v="25"/>
    <n v="5888"/>
    <s v="USA"/>
    <x v="43"/>
    <x v="32"/>
    <x v="1"/>
    <n v="150000"/>
    <x v="17"/>
    <s v="M"/>
    <x v="56"/>
    <x v="3"/>
  </r>
  <r>
    <n v="197854"/>
    <n v="347"/>
    <s v="Denmark"/>
    <d v="2023-08-31T00:56:00"/>
    <x v="3"/>
    <x v="23"/>
    <n v="1674"/>
    <s v="Denmark"/>
    <x v="198"/>
    <x v="150"/>
    <x v="0"/>
    <n v="1000000"/>
    <x v="12"/>
    <s v="F"/>
    <x v="0"/>
    <x v="2"/>
  </r>
  <r>
    <n v="197952"/>
    <n v="1843"/>
    <s v="USA"/>
    <d v="2023-02-03T00:26:00"/>
    <x v="3"/>
    <x v="35"/>
    <n v="1453"/>
    <s v="USA"/>
    <x v="151"/>
    <x v="151"/>
    <x v="4"/>
    <n v="100000"/>
    <x v="15"/>
    <s v="F"/>
    <x v="1"/>
    <x v="1"/>
  </r>
  <r>
    <n v="198251"/>
    <n v="1589"/>
    <s v="USA"/>
    <d v="2023-02-12T00:44:00"/>
    <x v="2"/>
    <x v="39"/>
    <n v="8821"/>
    <s v="USA"/>
    <x v="199"/>
    <x v="85"/>
    <x v="3"/>
    <n v="1000000"/>
    <x v="6"/>
    <s v="F"/>
    <x v="1"/>
    <x v="1"/>
  </r>
  <r>
    <n v="198841"/>
    <n v="1735"/>
    <s v="Finland"/>
    <d v="2023-07-24T01:23:00"/>
    <x v="0"/>
    <x v="13"/>
    <n v="4094"/>
    <s v="Finland"/>
    <x v="200"/>
    <x v="83"/>
    <x v="0"/>
    <n v="100000"/>
    <x v="12"/>
    <s v="M"/>
    <x v="15"/>
    <x v="1"/>
  </r>
  <r>
    <n v="199110"/>
    <n v="104"/>
    <s v="Australia"/>
    <d v="2023-05-21T00:46:00"/>
    <x v="1"/>
    <x v="66"/>
    <n v="717"/>
    <s v="Australia"/>
    <x v="176"/>
    <x v="77"/>
    <x v="1"/>
    <n v="100000"/>
    <x v="8"/>
    <s v="M"/>
    <x v="7"/>
    <x v="2"/>
  </r>
  <r>
    <n v="200851"/>
    <n v="71"/>
    <s v="India"/>
    <d v="2023-12-03T23:20:00"/>
    <x v="3"/>
    <x v="67"/>
    <n v="8510"/>
    <s v="India"/>
    <x v="201"/>
    <x v="27"/>
    <x v="3"/>
    <n v="150000"/>
    <x v="29"/>
    <s v="M"/>
    <x v="68"/>
    <x v="2"/>
  </r>
  <r>
    <n v="202059"/>
    <n v="712"/>
    <s v="USA"/>
    <d v="2023-03-27T01:24:00"/>
    <x v="1"/>
    <x v="39"/>
    <n v="7202"/>
    <s v="USA"/>
    <x v="202"/>
    <x v="124"/>
    <x v="3"/>
    <n v="1000000"/>
    <x v="6"/>
    <s v="M"/>
    <x v="70"/>
    <x v="0"/>
  </r>
  <r>
    <n v="202315"/>
    <n v="1518"/>
    <s v="USA"/>
    <d v="2023-01-04T01:45:00"/>
    <x v="1"/>
    <x v="54"/>
    <n v="6344"/>
    <s v="USA"/>
    <x v="203"/>
    <x v="59"/>
    <x v="1"/>
    <n v="80000"/>
    <x v="17"/>
    <s v="F"/>
    <x v="50"/>
    <x v="1"/>
  </r>
  <r>
    <n v="202334"/>
    <n v="358"/>
    <s v="Spain"/>
    <d v="2023-09-02T00:55:00"/>
    <x v="0"/>
    <x v="41"/>
    <n v="4560"/>
    <s v="Spain"/>
    <x v="204"/>
    <x v="44"/>
    <x v="0"/>
    <n v="100000"/>
    <x v="0"/>
    <s v="M"/>
    <x v="63"/>
    <x v="2"/>
  </r>
  <r>
    <n v="202389"/>
    <n v="1641"/>
    <s v="Germany"/>
    <d v="2023-07-23T23:39:00"/>
    <x v="2"/>
    <x v="63"/>
    <n v="1709"/>
    <s v="Germany"/>
    <x v="205"/>
    <x v="101"/>
    <x v="0"/>
    <n v="100000"/>
    <x v="16"/>
    <s v="M"/>
    <x v="67"/>
    <x v="1"/>
  </r>
  <r>
    <n v="205425"/>
    <n v="1760"/>
    <s v="France"/>
    <d v="2023-09-21T01:13:00"/>
    <x v="0"/>
    <x v="7"/>
    <n v="9729"/>
    <s v="France"/>
    <x v="206"/>
    <x v="32"/>
    <x v="1"/>
    <n v="150000"/>
    <x v="7"/>
    <s v="F"/>
    <x v="11"/>
    <x v="1"/>
  </r>
  <r>
    <n v="208396"/>
    <n v="186"/>
    <s v="Singapore"/>
    <d v="2023-04-17T01:39:00"/>
    <x v="1"/>
    <x v="68"/>
    <n v="9712"/>
    <s v="Singapore"/>
    <x v="107"/>
    <x v="152"/>
    <x v="1"/>
    <n v="150000"/>
    <x v="26"/>
    <s v="F"/>
    <x v="42"/>
    <x v="2"/>
  </r>
  <r>
    <n v="209068"/>
    <n v="1704"/>
    <s v="USA"/>
    <d v="2023-04-03T23:48:00"/>
    <x v="1"/>
    <x v="23"/>
    <n v="119"/>
    <s v="USA"/>
    <x v="129"/>
    <x v="153"/>
    <x v="0"/>
    <n v="1000000"/>
    <x v="12"/>
    <s v="M"/>
    <x v="25"/>
    <x v="1"/>
  </r>
  <r>
    <n v="209185"/>
    <n v="541"/>
    <s v="USA"/>
    <d v="2023-08-28T00:16:00"/>
    <x v="3"/>
    <x v="23"/>
    <n v="4430"/>
    <s v="USA"/>
    <x v="207"/>
    <x v="61"/>
    <x v="0"/>
    <n v="1000000"/>
    <x v="12"/>
    <s v="M"/>
    <x v="67"/>
    <x v="0"/>
  </r>
  <r>
    <n v="211600"/>
    <n v="937"/>
    <s v="Germany"/>
    <d v="2023-08-05T01:16:00"/>
    <x v="0"/>
    <x v="69"/>
    <n v="8720"/>
    <s v="Germany"/>
    <x v="188"/>
    <x v="84"/>
    <x v="4"/>
    <n v="150000"/>
    <x v="25"/>
    <s v="F"/>
    <x v="29"/>
    <x v="0"/>
  </r>
  <r>
    <n v="213090"/>
    <n v="10"/>
    <s v="Norway"/>
    <d v="2023-10-09T01:03:00"/>
    <x v="0"/>
    <x v="48"/>
    <n v="9353"/>
    <s v="Norway"/>
    <x v="208"/>
    <x v="130"/>
    <x v="1"/>
    <n v="100000"/>
    <x v="9"/>
    <s v="F"/>
    <x v="24"/>
    <x v="2"/>
  </r>
  <r>
    <n v="213254"/>
    <n v="1344"/>
    <s v="Spain"/>
    <d v="2023-07-28T00:35:00"/>
    <x v="3"/>
    <x v="22"/>
    <n v="3943"/>
    <s v="Spain"/>
    <x v="209"/>
    <x v="67"/>
    <x v="3"/>
    <n v="100000"/>
    <x v="13"/>
    <s v="M"/>
    <x v="28"/>
    <x v="3"/>
  </r>
  <r>
    <n v="213804"/>
    <n v="1473"/>
    <s v="USA"/>
    <d v="2023-07-08T00:49:00"/>
    <x v="3"/>
    <x v="70"/>
    <n v="7453"/>
    <s v="USA"/>
    <x v="210"/>
    <x v="35"/>
    <x v="3"/>
    <n v="150000"/>
    <x v="29"/>
    <s v="F"/>
    <x v="28"/>
    <x v="3"/>
  </r>
  <r>
    <n v="214073"/>
    <n v="336"/>
    <s v="Spain"/>
    <d v="2023-01-16T01:37:00"/>
    <x v="1"/>
    <x v="71"/>
    <n v="730"/>
    <s v="Spain"/>
    <x v="181"/>
    <x v="109"/>
    <x v="1"/>
    <n v="50000"/>
    <x v="8"/>
    <s v="F"/>
    <x v="47"/>
    <x v="2"/>
  </r>
  <r>
    <n v="214251"/>
    <n v="1952"/>
    <s v="USA"/>
    <d v="2023-04-17T00:57:00"/>
    <x v="1"/>
    <x v="69"/>
    <n v="492"/>
    <s v="USA"/>
    <x v="107"/>
    <x v="42"/>
    <x v="4"/>
    <n v="150000"/>
    <x v="25"/>
    <s v="M"/>
    <x v="22"/>
    <x v="1"/>
  </r>
  <r>
    <n v="214516"/>
    <n v="1840"/>
    <s v="USA"/>
    <d v="2023-07-27T23:23:00"/>
    <x v="3"/>
    <x v="72"/>
    <n v="1356"/>
    <s v="USA"/>
    <x v="85"/>
    <x v="154"/>
    <x v="0"/>
    <n v="80000"/>
    <x v="4"/>
    <s v="M"/>
    <x v="69"/>
    <x v="1"/>
  </r>
  <r>
    <n v="214557"/>
    <n v="613"/>
    <s v="India"/>
    <d v="2023-06-05T00:28:00"/>
    <x v="1"/>
    <x v="68"/>
    <n v="5981"/>
    <s v="India"/>
    <x v="12"/>
    <x v="39"/>
    <x v="1"/>
    <n v="150000"/>
    <x v="26"/>
    <s v="F"/>
    <x v="66"/>
    <x v="0"/>
  </r>
  <r>
    <n v="216256"/>
    <n v="1521"/>
    <s v="USA"/>
    <d v="2023-01-26T00:34:00"/>
    <x v="3"/>
    <x v="24"/>
    <n v="3720"/>
    <s v="USA"/>
    <x v="112"/>
    <x v="21"/>
    <x v="1"/>
    <n v="100000"/>
    <x v="18"/>
    <s v="F"/>
    <x v="51"/>
    <x v="1"/>
  </r>
  <r>
    <n v="217952"/>
    <n v="1102"/>
    <s v="India"/>
    <d v="2023-09-24T23:49:00"/>
    <x v="1"/>
    <x v="0"/>
    <n v="3521"/>
    <s v="India"/>
    <x v="56"/>
    <x v="43"/>
    <x v="0"/>
    <n v="200000"/>
    <x v="0"/>
    <s v="M"/>
    <x v="50"/>
    <x v="3"/>
  </r>
  <r>
    <n v="218379"/>
    <n v="831"/>
    <s v="Italy"/>
    <d v="2023-02-19T23:18:00"/>
    <x v="3"/>
    <x v="19"/>
    <n v="8241"/>
    <s v="Italy"/>
    <x v="110"/>
    <x v="140"/>
    <x v="0"/>
    <n v="150000"/>
    <x v="16"/>
    <s v="F"/>
    <x v="45"/>
    <x v="0"/>
  </r>
  <r>
    <n v="219884"/>
    <n v="802"/>
    <s v="France"/>
    <d v="2023-01-19T23:41:00"/>
    <x v="1"/>
    <x v="73"/>
    <n v="2233"/>
    <s v="France"/>
    <x v="18"/>
    <x v="155"/>
    <x v="4"/>
    <n v="100000"/>
    <x v="25"/>
    <s v="F"/>
    <x v="20"/>
    <x v="0"/>
  </r>
  <r>
    <n v="220292"/>
    <n v="1785"/>
    <s v="Singapore"/>
    <d v="2023-05-02T00:25:00"/>
    <x v="2"/>
    <x v="80"/>
    <n v="3987"/>
    <s v="Singapore"/>
    <x v="211"/>
    <x v="148"/>
    <x v="2"/>
    <n v="30000"/>
    <x v="5"/>
    <s v="F"/>
    <x v="53"/>
    <x v="1"/>
  </r>
  <r>
    <n v="220733"/>
    <n v="1875"/>
    <s v="France"/>
    <d v="2023-01-05T00:11:00"/>
    <x v="0"/>
    <x v="37"/>
    <n v="6006"/>
    <s v="France"/>
    <x v="111"/>
    <x v="10"/>
    <x v="3"/>
    <n v="150000"/>
    <x v="6"/>
    <s v="F"/>
    <x v="14"/>
    <x v="1"/>
  </r>
  <r>
    <n v="221857"/>
    <n v="1244"/>
    <s v="Spain"/>
    <d v="2023-07-17T01:14:00"/>
    <x v="0"/>
    <x v="19"/>
    <n v="4142"/>
    <s v="Spain"/>
    <x v="212"/>
    <x v="156"/>
    <x v="0"/>
    <n v="150000"/>
    <x v="16"/>
    <s v="F"/>
    <x v="1"/>
    <x v="3"/>
  </r>
  <r>
    <n v="222114"/>
    <n v="208"/>
    <s v="USA"/>
    <d v="2023-07-13T23:39:00"/>
    <x v="2"/>
    <x v="48"/>
    <n v="4738"/>
    <s v="USA"/>
    <x v="50"/>
    <x v="101"/>
    <x v="1"/>
    <n v="100000"/>
    <x v="9"/>
    <s v="F"/>
    <x v="11"/>
    <x v="2"/>
  </r>
  <r>
    <n v="224155"/>
    <n v="753"/>
    <s v="USA"/>
    <d v="2023-10-13T00:00:00"/>
    <x v="3"/>
    <x v="26"/>
    <n v="4988"/>
    <s v="USA"/>
    <x v="17"/>
    <x v="126"/>
    <x v="2"/>
    <n v="200000"/>
    <x v="19"/>
    <s v="M"/>
    <x v="65"/>
    <x v="0"/>
  </r>
  <r>
    <n v="225264"/>
    <n v="1973"/>
    <s v="USA"/>
    <d v="2023-09-17T01:53:00"/>
    <x v="2"/>
    <x v="74"/>
    <n v="5089"/>
    <s v="USA"/>
    <x v="213"/>
    <x v="102"/>
    <x v="1"/>
    <n v="200000"/>
    <x v="18"/>
    <s v="M"/>
    <x v="71"/>
    <x v="1"/>
  </r>
  <r>
    <n v="226876"/>
    <n v="150"/>
    <s v="USA"/>
    <d v="2023-01-30T22:50:00"/>
    <x v="3"/>
    <x v="39"/>
    <n v="17"/>
    <s v="USA"/>
    <x v="214"/>
    <x v="133"/>
    <x v="3"/>
    <n v="1000000"/>
    <x v="6"/>
    <s v="F"/>
    <x v="34"/>
    <x v="2"/>
  </r>
  <r>
    <n v="228177"/>
    <n v="1272"/>
    <s v="Australia"/>
    <d v="2023-05-08T00:53:00"/>
    <x v="2"/>
    <x v="23"/>
    <n v="8567"/>
    <s v="Australia"/>
    <x v="215"/>
    <x v="36"/>
    <x v="0"/>
    <n v="1000000"/>
    <x v="12"/>
    <s v="F"/>
    <x v="36"/>
    <x v="3"/>
  </r>
  <r>
    <n v="228562"/>
    <n v="1812"/>
    <s v="Spain"/>
    <d v="2023-10-09T01:28:00"/>
    <x v="1"/>
    <x v="26"/>
    <n v="1733"/>
    <s v="Spain"/>
    <x v="208"/>
    <x v="49"/>
    <x v="2"/>
    <n v="200000"/>
    <x v="19"/>
    <s v="M"/>
    <x v="22"/>
    <x v="1"/>
  </r>
  <r>
    <n v="229056"/>
    <n v="594"/>
    <s v="USA"/>
    <d v="2023-06-06T01:58:00"/>
    <x v="0"/>
    <x v="70"/>
    <n v="4328"/>
    <s v="USA"/>
    <x v="174"/>
    <x v="157"/>
    <x v="3"/>
    <n v="150000"/>
    <x v="29"/>
    <s v="F"/>
    <x v="30"/>
    <x v="0"/>
  </r>
  <r>
    <n v="229843"/>
    <n v="1527"/>
    <s v="Italy"/>
    <d v="2023-03-17T22:58:00"/>
    <x v="0"/>
    <x v="50"/>
    <n v="4155"/>
    <s v="Italy"/>
    <x v="19"/>
    <x v="158"/>
    <x v="2"/>
    <n v="100000"/>
    <x v="27"/>
    <s v="F"/>
    <x v="38"/>
    <x v="1"/>
  </r>
  <r>
    <n v="231094"/>
    <n v="680"/>
    <s v="USA"/>
    <d v="2023-11-29T00:51:00"/>
    <x v="0"/>
    <x v="34"/>
    <n v="7379"/>
    <s v="USA"/>
    <x v="178"/>
    <x v="93"/>
    <x v="1"/>
    <n v="100000"/>
    <x v="24"/>
    <s v="M"/>
    <x v="49"/>
    <x v="0"/>
  </r>
  <r>
    <n v="232129"/>
    <n v="67"/>
    <s v="Italy"/>
    <d v="2023-11-20T23:40:00"/>
    <x v="0"/>
    <x v="30"/>
    <n v="6264"/>
    <s v="Italy"/>
    <x v="216"/>
    <x v="1"/>
    <x v="2"/>
    <n v="150000"/>
    <x v="21"/>
    <s v="M"/>
    <x v="66"/>
    <x v="2"/>
  </r>
  <r>
    <n v="232261"/>
    <n v="1269"/>
    <s v="Switzerland"/>
    <d v="2023-08-31T22:35:00"/>
    <x v="1"/>
    <x v="75"/>
    <n v="434"/>
    <s v="Switzerland"/>
    <x v="198"/>
    <x v="55"/>
    <x v="1"/>
    <n v="50000"/>
    <x v="7"/>
    <s v="M"/>
    <x v="68"/>
    <x v="3"/>
  </r>
  <r>
    <n v="232274"/>
    <n v="1647"/>
    <s v="USA"/>
    <d v="2023-12-22T01:24:00"/>
    <x v="2"/>
    <x v="76"/>
    <n v="8947"/>
    <s v="USA"/>
    <x v="217"/>
    <x v="124"/>
    <x v="4"/>
    <n v="50000"/>
    <x v="15"/>
    <s v="F"/>
    <x v="13"/>
    <x v="1"/>
  </r>
  <r>
    <n v="233409"/>
    <n v="1393"/>
    <s v="Italy"/>
    <d v="2023-11-01T23:05:00"/>
    <x v="2"/>
    <x v="73"/>
    <n v="9750"/>
    <s v="Italy"/>
    <x v="172"/>
    <x v="159"/>
    <x v="4"/>
    <n v="100000"/>
    <x v="25"/>
    <s v="F"/>
    <x v="15"/>
    <x v="3"/>
  </r>
  <r>
    <n v="233843"/>
    <n v="1577"/>
    <s v="France"/>
    <d v="2023-04-23T00:58:00"/>
    <x v="2"/>
    <x v="18"/>
    <n v="6392"/>
    <s v="France"/>
    <x v="218"/>
    <x v="28"/>
    <x v="2"/>
    <n v="100000"/>
    <x v="5"/>
    <s v="M"/>
    <x v="39"/>
    <x v="1"/>
  </r>
  <r>
    <n v="234705"/>
    <n v="1367"/>
    <s v="Italy"/>
    <d v="2023-09-15T00:01:00"/>
    <x v="0"/>
    <x v="39"/>
    <n v="1662"/>
    <s v="Italy"/>
    <x v="90"/>
    <x v="63"/>
    <x v="3"/>
    <n v="1000000"/>
    <x v="6"/>
    <s v="F"/>
    <x v="5"/>
    <x v="3"/>
  </r>
  <r>
    <n v="235219"/>
    <n v="1829"/>
    <s v="Australia"/>
    <d v="2023-11-06T00:54:00"/>
    <x v="2"/>
    <x v="36"/>
    <n v="4965"/>
    <s v="Australia"/>
    <x v="175"/>
    <x v="73"/>
    <x v="0"/>
    <n v="150000"/>
    <x v="10"/>
    <s v="M"/>
    <x v="43"/>
    <x v="1"/>
  </r>
  <r>
    <n v="235760"/>
    <n v="1816"/>
    <s v="Spain"/>
    <d v="2023-11-20T00:57:00"/>
    <x v="2"/>
    <x v="77"/>
    <n v="4835"/>
    <s v="Spain"/>
    <x v="216"/>
    <x v="42"/>
    <x v="1"/>
    <n v="250000"/>
    <x v="24"/>
    <s v="M"/>
    <x v="21"/>
    <x v="1"/>
  </r>
  <r>
    <n v="237369"/>
    <n v="401"/>
    <s v="India"/>
    <d v="2023-05-10T00:23:00"/>
    <x v="3"/>
    <x v="78"/>
    <n v="2313"/>
    <s v="India"/>
    <x v="51"/>
    <x v="6"/>
    <x v="0"/>
    <n v="100000"/>
    <x v="12"/>
    <s v="M"/>
    <x v="40"/>
    <x v="2"/>
  </r>
  <r>
    <n v="238602"/>
    <n v="153"/>
    <s v="USA"/>
    <d v="2023-04-01T01:12:00"/>
    <x v="0"/>
    <x v="17"/>
    <n v="951"/>
    <s v="USA"/>
    <x v="219"/>
    <x v="52"/>
    <x v="0"/>
    <n v="150000"/>
    <x v="14"/>
    <s v="M"/>
    <x v="11"/>
    <x v="2"/>
  </r>
  <r>
    <n v="238793"/>
    <n v="1574"/>
    <s v="Austria"/>
    <d v="2023-04-10T02:05:00"/>
    <x v="1"/>
    <x v="62"/>
    <n v="3650"/>
    <s v="Austria"/>
    <x v="162"/>
    <x v="160"/>
    <x v="2"/>
    <n v="150000"/>
    <x v="27"/>
    <s v="F"/>
    <x v="40"/>
    <x v="1"/>
  </r>
  <r>
    <n v="238839"/>
    <n v="766"/>
    <s v="USA"/>
    <d v="2023-06-15T00:52:00"/>
    <x v="3"/>
    <x v="74"/>
    <n v="1367"/>
    <s v="USA"/>
    <x v="123"/>
    <x v="30"/>
    <x v="1"/>
    <n v="200000"/>
    <x v="18"/>
    <s v="F"/>
    <x v="20"/>
    <x v="0"/>
  </r>
  <r>
    <n v="241257"/>
    <n v="1374"/>
    <s v="France"/>
    <d v="2023-04-11T01:34:00"/>
    <x v="0"/>
    <x v="1"/>
    <n v="6819"/>
    <s v="France"/>
    <x v="147"/>
    <x v="161"/>
    <x v="1"/>
    <n v="200000"/>
    <x v="1"/>
    <s v="M"/>
    <x v="16"/>
    <x v="3"/>
  </r>
  <r>
    <n v="241334"/>
    <n v="864"/>
    <s v="USA"/>
    <d v="2023-01-13T00:39:00"/>
    <x v="1"/>
    <x v="35"/>
    <n v="3422"/>
    <s v="USA"/>
    <x v="78"/>
    <x v="11"/>
    <x v="4"/>
    <n v="100000"/>
    <x v="15"/>
    <s v="F"/>
    <x v="61"/>
    <x v="0"/>
  </r>
  <r>
    <n v="242256"/>
    <n v="504"/>
    <s v="Finland"/>
    <d v="2023-07-16T01:51:00"/>
    <x v="0"/>
    <x v="39"/>
    <n v="3986"/>
    <s v="Finland"/>
    <x v="220"/>
    <x v="104"/>
    <x v="3"/>
    <n v="1000000"/>
    <x v="6"/>
    <s v="M"/>
    <x v="68"/>
    <x v="0"/>
  </r>
  <r>
    <n v="243319"/>
    <n v="818"/>
    <s v="France"/>
    <d v="2023-05-26T23:22:00"/>
    <x v="1"/>
    <x v="39"/>
    <n v="2539"/>
    <s v="France"/>
    <x v="221"/>
    <x v="137"/>
    <x v="3"/>
    <n v="1000000"/>
    <x v="6"/>
    <s v="F"/>
    <x v="27"/>
    <x v="0"/>
  </r>
  <r>
    <n v="243485"/>
    <n v="633"/>
    <s v="France"/>
    <d v="2023-07-12T00:16:00"/>
    <x v="2"/>
    <x v="13"/>
    <n v="6552"/>
    <s v="France"/>
    <x v="222"/>
    <x v="61"/>
    <x v="0"/>
    <n v="100000"/>
    <x v="12"/>
    <s v="F"/>
    <x v="51"/>
    <x v="0"/>
  </r>
  <r>
    <n v="245474"/>
    <n v="40"/>
    <s v="Australia"/>
    <d v="2023-11-18T23:13:00"/>
    <x v="0"/>
    <x v="66"/>
    <n v="3933"/>
    <s v="Australia"/>
    <x v="62"/>
    <x v="15"/>
    <x v="1"/>
    <n v="100000"/>
    <x v="8"/>
    <s v="F"/>
    <x v="2"/>
    <x v="2"/>
  </r>
  <r>
    <n v="246033"/>
    <n v="1715"/>
    <s v="USA"/>
    <d v="2023-12-05T23:33:00"/>
    <x v="0"/>
    <x v="67"/>
    <n v="5126"/>
    <s v="USA"/>
    <x v="223"/>
    <x v="62"/>
    <x v="3"/>
    <n v="150000"/>
    <x v="29"/>
    <s v="M"/>
    <x v="10"/>
    <x v="1"/>
  </r>
  <r>
    <n v="246834"/>
    <n v="808"/>
    <s v="USA"/>
    <d v="2023-07-27T00:34:00"/>
    <x v="0"/>
    <x v="39"/>
    <n v="9507"/>
    <s v="USA"/>
    <x v="85"/>
    <x v="21"/>
    <x v="3"/>
    <n v="1000000"/>
    <x v="6"/>
    <s v="F"/>
    <x v="10"/>
    <x v="0"/>
  </r>
  <r>
    <n v="246988"/>
    <n v="243"/>
    <s v="USA"/>
    <d v="2023-06-15T00:40:00"/>
    <x v="1"/>
    <x v="41"/>
    <n v="4264"/>
    <s v="USA"/>
    <x v="123"/>
    <x v="51"/>
    <x v="0"/>
    <n v="100000"/>
    <x v="0"/>
    <s v="M"/>
    <x v="65"/>
    <x v="2"/>
  </r>
  <r>
    <n v="247011"/>
    <n v="1809"/>
    <s v="USA"/>
    <d v="2023-12-11T23:29:00"/>
    <x v="2"/>
    <x v="4"/>
    <n v="4533"/>
    <s v="USA"/>
    <x v="224"/>
    <x v="71"/>
    <x v="0"/>
    <n v="200000"/>
    <x v="4"/>
    <s v="F"/>
    <x v="56"/>
    <x v="1"/>
  </r>
  <r>
    <n v="247239"/>
    <n v="1643"/>
    <s v="Australia"/>
    <d v="2023-03-21T01:42:00"/>
    <x v="2"/>
    <x v="42"/>
    <n v="9225"/>
    <s v="Australia"/>
    <x v="28"/>
    <x v="14"/>
    <x v="0"/>
    <n v="200000"/>
    <x v="14"/>
    <s v="F"/>
    <x v="3"/>
    <x v="1"/>
  </r>
  <r>
    <n v="248737"/>
    <n v="109"/>
    <s v="USA"/>
    <d v="2023-03-15T00:38:00"/>
    <x v="2"/>
    <x v="7"/>
    <n v="1887"/>
    <s v="USA"/>
    <x v="225"/>
    <x v="162"/>
    <x v="1"/>
    <n v="150000"/>
    <x v="7"/>
    <s v="F"/>
    <x v="24"/>
    <x v="2"/>
  </r>
  <r>
    <n v="250181"/>
    <n v="1583"/>
    <s v="Singapore"/>
    <d v="2023-04-20T00:12:00"/>
    <x v="0"/>
    <x v="68"/>
    <n v="4036"/>
    <s v="Singapore"/>
    <x v="165"/>
    <x v="19"/>
    <x v="1"/>
    <n v="150000"/>
    <x v="26"/>
    <s v="F"/>
    <x v="38"/>
    <x v="1"/>
  </r>
  <r>
    <n v="251278"/>
    <n v="1591"/>
    <s v="USA"/>
    <d v="2023-04-02T23:05:00"/>
    <x v="0"/>
    <x v="23"/>
    <n v="2551"/>
    <s v="USA"/>
    <x v="67"/>
    <x v="159"/>
    <x v="0"/>
    <n v="1000000"/>
    <x v="12"/>
    <s v="M"/>
    <x v="57"/>
    <x v="1"/>
  </r>
  <r>
    <n v="251865"/>
    <n v="414"/>
    <s v="India"/>
    <d v="2023-12-07T23:06:00"/>
    <x v="1"/>
    <x v="9"/>
    <n v="6149"/>
    <s v="India"/>
    <x v="226"/>
    <x v="163"/>
    <x v="1"/>
    <n v="150000"/>
    <x v="9"/>
    <s v="M"/>
    <x v="46"/>
    <x v="2"/>
  </r>
  <r>
    <n v="251999"/>
    <n v="317"/>
    <s v="France"/>
    <d v="2023-11-02T00:18:00"/>
    <x v="0"/>
    <x v="69"/>
    <n v="8817"/>
    <s v="France"/>
    <x v="105"/>
    <x v="139"/>
    <x v="4"/>
    <n v="150000"/>
    <x v="25"/>
    <s v="M"/>
    <x v="32"/>
    <x v="2"/>
  </r>
  <r>
    <n v="252920"/>
    <n v="298"/>
    <s v="Spain"/>
    <d v="2023-07-27T00:48:00"/>
    <x v="2"/>
    <x v="48"/>
    <n v="5044"/>
    <s v="Spain"/>
    <x v="85"/>
    <x v="88"/>
    <x v="1"/>
    <n v="100000"/>
    <x v="9"/>
    <s v="M"/>
    <x v="6"/>
    <x v="2"/>
  </r>
  <r>
    <n v="253281"/>
    <n v="1725"/>
    <s v="USA"/>
    <d v="2023-08-15T23:45:00"/>
    <x v="3"/>
    <x v="22"/>
    <n v="8869"/>
    <s v="USA"/>
    <x v="227"/>
    <x v="164"/>
    <x v="3"/>
    <n v="100000"/>
    <x v="13"/>
    <s v="M"/>
    <x v="49"/>
    <x v="1"/>
  </r>
  <r>
    <n v="253341"/>
    <n v="1663"/>
    <s v="Austria"/>
    <d v="2023-06-01T01:39:00"/>
    <x v="2"/>
    <x v="70"/>
    <n v="6399"/>
    <s v="Austria"/>
    <x v="228"/>
    <x v="152"/>
    <x v="3"/>
    <n v="150000"/>
    <x v="29"/>
    <s v="F"/>
    <x v="52"/>
    <x v="1"/>
  </r>
  <r>
    <n v="254112"/>
    <n v="1975"/>
    <s v="USA"/>
    <d v="2023-09-07T23:46:00"/>
    <x v="3"/>
    <x v="71"/>
    <n v="2037"/>
    <s v="USA"/>
    <x v="196"/>
    <x v="9"/>
    <x v="1"/>
    <n v="50000"/>
    <x v="8"/>
    <s v="M"/>
    <x v="28"/>
    <x v="1"/>
  </r>
  <r>
    <n v="254795"/>
    <n v="1357"/>
    <s v="Ireland"/>
    <d v="2023-05-28T01:23:00"/>
    <x v="0"/>
    <x v="69"/>
    <n v="7938"/>
    <s v="Ireland"/>
    <x v="229"/>
    <x v="83"/>
    <x v="4"/>
    <n v="150000"/>
    <x v="25"/>
    <s v="M"/>
    <x v="64"/>
    <x v="3"/>
  </r>
  <r>
    <n v="255781"/>
    <n v="847"/>
    <s v="India"/>
    <d v="2023-08-26T22:47:00"/>
    <x v="0"/>
    <x v="72"/>
    <n v="298"/>
    <s v="India"/>
    <x v="230"/>
    <x v="165"/>
    <x v="0"/>
    <n v="80000"/>
    <x v="4"/>
    <s v="M"/>
    <x v="15"/>
    <x v="0"/>
  </r>
  <r>
    <n v="257849"/>
    <n v="27"/>
    <s v="USA"/>
    <d v="2023-12-24T00:47:00"/>
    <x v="0"/>
    <x v="68"/>
    <n v="1534"/>
    <s v="USA"/>
    <x v="231"/>
    <x v="75"/>
    <x v="1"/>
    <n v="150000"/>
    <x v="26"/>
    <s v="F"/>
    <x v="50"/>
    <x v="2"/>
  </r>
  <r>
    <n v="258070"/>
    <n v="295"/>
    <s v="India"/>
    <d v="2023-11-16T23:55:00"/>
    <x v="3"/>
    <x v="24"/>
    <n v="3890"/>
    <s v="India"/>
    <x v="40"/>
    <x v="166"/>
    <x v="1"/>
    <n v="100000"/>
    <x v="18"/>
    <s v="F"/>
    <x v="60"/>
    <x v="2"/>
  </r>
  <r>
    <n v="259823"/>
    <n v="1557"/>
    <s v="USA"/>
    <d v="2023-09-03T23:18:00"/>
    <x v="2"/>
    <x v="0"/>
    <n v="5762"/>
    <s v="USA"/>
    <x v="232"/>
    <x v="140"/>
    <x v="0"/>
    <n v="200000"/>
    <x v="0"/>
    <s v="M"/>
    <x v="9"/>
    <x v="1"/>
  </r>
  <r>
    <n v="260160"/>
    <n v="1525"/>
    <s v="Italy"/>
    <d v="2023-11-30T00:48:00"/>
    <x v="2"/>
    <x v="19"/>
    <n v="586"/>
    <s v="Italy"/>
    <x v="26"/>
    <x v="88"/>
    <x v="0"/>
    <n v="150000"/>
    <x v="16"/>
    <s v="F"/>
    <x v="27"/>
    <x v="1"/>
  </r>
  <r>
    <n v="260615"/>
    <n v="1539"/>
    <s v="USA"/>
    <d v="2023-04-10T23:31:00"/>
    <x v="3"/>
    <x v="73"/>
    <n v="3646"/>
    <s v="USA"/>
    <x v="162"/>
    <x v="57"/>
    <x v="4"/>
    <n v="100000"/>
    <x v="25"/>
    <s v="F"/>
    <x v="38"/>
    <x v="1"/>
  </r>
  <r>
    <n v="260991"/>
    <n v="1916"/>
    <s v="Switzerland"/>
    <d v="2023-02-22T00:19:00"/>
    <x v="2"/>
    <x v="16"/>
    <n v="8257"/>
    <s v="Switzerland"/>
    <x v="184"/>
    <x v="167"/>
    <x v="4"/>
    <n v="150000"/>
    <x v="15"/>
    <s v="M"/>
    <x v="6"/>
    <x v="1"/>
  </r>
  <r>
    <n v="261671"/>
    <n v="1566"/>
    <s v="USA"/>
    <d v="2023-08-21T23:32:00"/>
    <x v="3"/>
    <x v="37"/>
    <n v="7957"/>
    <s v="USA"/>
    <x v="233"/>
    <x v="91"/>
    <x v="3"/>
    <n v="150000"/>
    <x v="6"/>
    <s v="M"/>
    <x v="71"/>
    <x v="1"/>
  </r>
  <r>
    <n v="262192"/>
    <n v="418"/>
    <s v="Singapore"/>
    <d v="2023-08-26T22:54:00"/>
    <x v="1"/>
    <x v="19"/>
    <n v="6532"/>
    <s v="Singapore"/>
    <x v="230"/>
    <x v="105"/>
    <x v="0"/>
    <n v="150000"/>
    <x v="16"/>
    <s v="F"/>
    <x v="13"/>
    <x v="2"/>
  </r>
  <r>
    <n v="262661"/>
    <n v="1604"/>
    <s v="Spain"/>
    <d v="2023-06-17T23:51:00"/>
    <x v="2"/>
    <x v="23"/>
    <n v="2871"/>
    <s v="Spain"/>
    <x v="234"/>
    <x v="87"/>
    <x v="0"/>
    <n v="1000000"/>
    <x v="12"/>
    <s v="F"/>
    <x v="15"/>
    <x v="1"/>
  </r>
  <r>
    <n v="262946"/>
    <n v="1835"/>
    <s v="Finland"/>
    <d v="2023-08-28T23:25:00"/>
    <x v="1"/>
    <x v="27"/>
    <n v="934"/>
    <s v="Finland"/>
    <x v="207"/>
    <x v="141"/>
    <x v="1"/>
    <n v="80000"/>
    <x v="7"/>
    <s v="M"/>
    <x v="64"/>
    <x v="1"/>
  </r>
  <r>
    <n v="264917"/>
    <n v="1281"/>
    <s v="Spain"/>
    <d v="2023-07-23T00:15:00"/>
    <x v="2"/>
    <x v="74"/>
    <n v="1214"/>
    <s v="Spain"/>
    <x v="205"/>
    <x v="123"/>
    <x v="1"/>
    <n v="200000"/>
    <x v="18"/>
    <s v="F"/>
    <x v="57"/>
    <x v="3"/>
  </r>
  <r>
    <n v="265772"/>
    <n v="396"/>
    <s v="Spain"/>
    <d v="2023-12-11T00:52:00"/>
    <x v="3"/>
    <x v="73"/>
    <n v="553"/>
    <s v="Spain"/>
    <x v="224"/>
    <x v="30"/>
    <x v="4"/>
    <n v="100000"/>
    <x v="25"/>
    <s v="F"/>
    <x v="62"/>
    <x v="2"/>
  </r>
  <r>
    <n v="267881"/>
    <n v="1284"/>
    <s v="Spain"/>
    <d v="2023-10-23T00:17:00"/>
    <x v="1"/>
    <x v="60"/>
    <n v="395"/>
    <s v="Spain"/>
    <x v="235"/>
    <x v="20"/>
    <x v="1"/>
    <n v="100000"/>
    <x v="26"/>
    <s v="M"/>
    <x v="38"/>
    <x v="3"/>
  </r>
  <r>
    <n v="268063"/>
    <n v="775"/>
    <s v="Singapore"/>
    <d v="2023-01-30T01:58:00"/>
    <x v="1"/>
    <x v="26"/>
    <n v="4938"/>
    <s v="Singapore"/>
    <x v="214"/>
    <x v="157"/>
    <x v="2"/>
    <n v="200000"/>
    <x v="19"/>
    <s v="M"/>
    <x v="17"/>
    <x v="0"/>
  </r>
  <r>
    <n v="268418"/>
    <n v="1123"/>
    <s v="France"/>
    <d v="2023-07-28T23:32:00"/>
    <x v="3"/>
    <x v="49"/>
    <n v="8306"/>
    <s v="France"/>
    <x v="209"/>
    <x v="91"/>
    <x v="0"/>
    <n v="100000"/>
    <x v="10"/>
    <s v="F"/>
    <x v="26"/>
    <x v="3"/>
  </r>
  <r>
    <n v="268811"/>
    <n v="519"/>
    <s v="France"/>
    <d v="2023-02-06T01:33:00"/>
    <x v="0"/>
    <x v="81"/>
    <n v="9147"/>
    <s v="France"/>
    <x v="49"/>
    <x v="47"/>
    <x v="4"/>
    <n v="100000"/>
    <x v="15"/>
    <s v="M"/>
    <x v="41"/>
    <x v="0"/>
  </r>
  <r>
    <n v="268861"/>
    <n v="919"/>
    <s v="Denmark"/>
    <d v="2023-07-09T01:00:00"/>
    <x v="3"/>
    <x v="47"/>
    <n v="4370"/>
    <s v="Denmark"/>
    <x v="63"/>
    <x v="168"/>
    <x v="3"/>
    <n v="100000"/>
    <x v="20"/>
    <s v="M"/>
    <x v="18"/>
    <x v="0"/>
  </r>
  <r>
    <n v="271858"/>
    <n v="1634"/>
    <s v="Spain"/>
    <d v="2023-12-06T00:02:00"/>
    <x v="3"/>
    <x v="64"/>
    <n v="1755"/>
    <s v="Spain"/>
    <x v="136"/>
    <x v="89"/>
    <x v="2"/>
    <n v="100000"/>
    <x v="3"/>
    <s v="M"/>
    <x v="6"/>
    <x v="1"/>
  </r>
  <r>
    <n v="272165"/>
    <n v="1133"/>
    <s v="India"/>
    <d v="2023-04-04T01:16:00"/>
    <x v="0"/>
    <x v="82"/>
    <n v="6204"/>
    <s v="India"/>
    <x v="127"/>
    <x v="84"/>
    <x v="2"/>
    <n v="100000"/>
    <x v="19"/>
    <s v="F"/>
    <x v="0"/>
    <x v="3"/>
  </r>
  <r>
    <n v="272174"/>
    <n v="105"/>
    <s v="USA"/>
    <d v="2023-06-20T01:08:00"/>
    <x v="1"/>
    <x v="39"/>
    <n v="5045"/>
    <s v="USA"/>
    <x v="168"/>
    <x v="37"/>
    <x v="3"/>
    <n v="1000000"/>
    <x v="6"/>
    <s v="M"/>
    <x v="16"/>
    <x v="2"/>
  </r>
  <r>
    <n v="272255"/>
    <n v="187"/>
    <s v="France"/>
    <d v="2023-05-15T23:47:00"/>
    <x v="1"/>
    <x v="23"/>
    <n v="1181"/>
    <s v="France"/>
    <x v="116"/>
    <x v="100"/>
    <x v="0"/>
    <n v="1000000"/>
    <x v="12"/>
    <s v="F"/>
    <x v="17"/>
    <x v="2"/>
  </r>
  <r>
    <n v="273538"/>
    <n v="1944"/>
    <s v="Spain"/>
    <d v="2023-02-18T23:43:00"/>
    <x v="0"/>
    <x v="65"/>
    <n v="5193"/>
    <s v="Spain"/>
    <x v="6"/>
    <x v="169"/>
    <x v="4"/>
    <n v="250000"/>
    <x v="28"/>
    <s v="M"/>
    <x v="43"/>
    <x v="1"/>
  </r>
  <r>
    <n v="273817"/>
    <n v="530"/>
    <s v="Australia"/>
    <d v="2023-05-05T01:21:00"/>
    <x v="2"/>
    <x v="39"/>
    <n v="4051"/>
    <s v="Australia"/>
    <x v="106"/>
    <x v="128"/>
    <x v="3"/>
    <n v="1000000"/>
    <x v="6"/>
    <s v="F"/>
    <x v="12"/>
    <x v="0"/>
  </r>
  <r>
    <n v="273923"/>
    <n v="1911"/>
    <s v="Australia"/>
    <d v="2023-01-31T00:58:00"/>
    <x v="2"/>
    <x v="18"/>
    <n v="4736"/>
    <s v="Australia"/>
    <x v="236"/>
    <x v="28"/>
    <x v="2"/>
    <n v="100000"/>
    <x v="5"/>
    <s v="F"/>
    <x v="61"/>
    <x v="1"/>
  </r>
  <r>
    <n v="275855"/>
    <n v="869"/>
    <s v="Austria"/>
    <d v="2023-08-24T23:51:00"/>
    <x v="3"/>
    <x v="0"/>
    <n v="7700"/>
    <s v="Austria"/>
    <x v="15"/>
    <x v="87"/>
    <x v="0"/>
    <n v="200000"/>
    <x v="0"/>
    <s v="F"/>
    <x v="72"/>
    <x v="0"/>
  </r>
  <r>
    <n v="275961"/>
    <n v="679"/>
    <s v="Singapore"/>
    <d v="2023-11-18T23:58:00"/>
    <x v="2"/>
    <x v="15"/>
    <n v="2936"/>
    <s v="Singapore"/>
    <x v="62"/>
    <x v="96"/>
    <x v="0"/>
    <n v="150000"/>
    <x v="14"/>
    <s v="M"/>
    <x v="6"/>
    <x v="0"/>
  </r>
  <r>
    <n v="276276"/>
    <n v="1442"/>
    <s v="USA"/>
    <d v="2023-09-05T01:29:00"/>
    <x v="2"/>
    <x v="78"/>
    <n v="5165"/>
    <s v="USA"/>
    <x v="86"/>
    <x v="103"/>
    <x v="0"/>
    <n v="100000"/>
    <x v="12"/>
    <s v="M"/>
    <x v="43"/>
    <x v="3"/>
  </r>
  <r>
    <n v="276403"/>
    <n v="1356"/>
    <s v="Spain"/>
    <d v="2023-09-14T23:58:00"/>
    <x v="2"/>
    <x v="11"/>
    <n v="8633"/>
    <s v="Spain"/>
    <x v="237"/>
    <x v="96"/>
    <x v="1"/>
    <n v="150000"/>
    <x v="1"/>
    <s v="M"/>
    <x v="47"/>
    <x v="3"/>
  </r>
  <r>
    <n v="276698"/>
    <n v="43"/>
    <s v="Singapore"/>
    <d v="2023-05-11T01:05:00"/>
    <x v="0"/>
    <x v="62"/>
    <n v="9942"/>
    <s v="Singapore"/>
    <x v="44"/>
    <x v="12"/>
    <x v="2"/>
    <n v="150000"/>
    <x v="27"/>
    <s v="F"/>
    <x v="39"/>
    <x v="2"/>
  </r>
  <r>
    <n v="277038"/>
    <n v="1677"/>
    <s v="Italy"/>
    <d v="2023-08-01T22:32:00"/>
    <x v="2"/>
    <x v="74"/>
    <n v="2455"/>
    <s v="Italy"/>
    <x v="238"/>
    <x v="170"/>
    <x v="1"/>
    <n v="200000"/>
    <x v="18"/>
    <s v="F"/>
    <x v="66"/>
    <x v="1"/>
  </r>
  <r>
    <n v="279106"/>
    <n v="104"/>
    <s v="Australia"/>
    <d v="2023-01-14T00:54:00"/>
    <x v="2"/>
    <x v="23"/>
    <n v="4768"/>
    <s v="Australia"/>
    <x v="170"/>
    <x v="73"/>
    <x v="0"/>
    <n v="1000000"/>
    <x v="12"/>
    <s v="M"/>
    <x v="7"/>
    <x v="2"/>
  </r>
  <r>
    <n v="279515"/>
    <n v="713"/>
    <s v="Finland"/>
    <d v="2023-09-15T23:00:00"/>
    <x v="3"/>
    <x v="39"/>
    <n v="4633"/>
    <s v="Finland"/>
    <x v="90"/>
    <x v="171"/>
    <x v="3"/>
    <n v="1000000"/>
    <x v="6"/>
    <s v="M"/>
    <x v="20"/>
    <x v="0"/>
  </r>
  <r>
    <n v="279963"/>
    <n v="1775"/>
    <s v="USA"/>
    <d v="2023-10-27T00:04:00"/>
    <x v="3"/>
    <x v="39"/>
    <n v="7812"/>
    <s v="USA"/>
    <x v="34"/>
    <x v="64"/>
    <x v="3"/>
    <n v="1000000"/>
    <x v="6"/>
    <s v="F"/>
    <x v="53"/>
    <x v="1"/>
  </r>
  <r>
    <n v="280459"/>
    <n v="457"/>
    <s v="Denmark"/>
    <d v="2023-09-26T23:42:00"/>
    <x v="1"/>
    <x v="23"/>
    <n v="3197"/>
    <s v="Denmark"/>
    <x v="239"/>
    <x v="38"/>
    <x v="0"/>
    <n v="1000000"/>
    <x v="12"/>
    <s v="F"/>
    <x v="26"/>
    <x v="2"/>
  </r>
  <r>
    <n v="280739"/>
    <n v="138"/>
    <s v="USA"/>
    <d v="2023-07-06T23:37:00"/>
    <x v="1"/>
    <x v="14"/>
    <n v="2453"/>
    <s v="USA"/>
    <x v="191"/>
    <x v="78"/>
    <x v="3"/>
    <n v="200000"/>
    <x v="13"/>
    <s v="F"/>
    <x v="18"/>
    <x v="2"/>
  </r>
  <r>
    <n v="281193"/>
    <n v="1522"/>
    <s v="USA"/>
    <d v="2023-03-17T00:14:00"/>
    <x v="2"/>
    <x v="66"/>
    <n v="6173"/>
    <s v="USA"/>
    <x v="19"/>
    <x v="172"/>
    <x v="1"/>
    <n v="100000"/>
    <x v="8"/>
    <s v="M"/>
    <x v="49"/>
    <x v="1"/>
  </r>
  <r>
    <n v="281454"/>
    <n v="1413"/>
    <s v="Spain"/>
    <d v="2023-09-17T23:51:00"/>
    <x v="0"/>
    <x v="67"/>
    <n v="5802"/>
    <s v="Spain"/>
    <x v="213"/>
    <x v="87"/>
    <x v="3"/>
    <n v="150000"/>
    <x v="29"/>
    <s v="M"/>
    <x v="47"/>
    <x v="3"/>
  </r>
  <r>
    <n v="281813"/>
    <n v="331"/>
    <s v="Singapore"/>
    <d v="2023-06-21T01:58:00"/>
    <x v="3"/>
    <x v="39"/>
    <n v="5117"/>
    <s v="Singapore"/>
    <x v="240"/>
    <x v="157"/>
    <x v="3"/>
    <n v="1000000"/>
    <x v="6"/>
    <s v="M"/>
    <x v="32"/>
    <x v="2"/>
  </r>
  <r>
    <n v="283066"/>
    <n v="956"/>
    <s v="France"/>
    <d v="2023-02-06T01:53:00"/>
    <x v="3"/>
    <x v="41"/>
    <n v="5819"/>
    <s v="France"/>
    <x v="49"/>
    <x v="102"/>
    <x v="0"/>
    <n v="100000"/>
    <x v="0"/>
    <s v="M"/>
    <x v="18"/>
    <x v="0"/>
  </r>
  <r>
    <n v="283068"/>
    <n v="1967"/>
    <s v="Spain"/>
    <d v="2023-11-29T00:12:00"/>
    <x v="0"/>
    <x v="54"/>
    <n v="3805"/>
    <s v="Spain"/>
    <x v="178"/>
    <x v="19"/>
    <x v="1"/>
    <n v="80000"/>
    <x v="17"/>
    <s v="M"/>
    <x v="20"/>
    <x v="1"/>
  </r>
  <r>
    <n v="283610"/>
    <n v="1401"/>
    <s v="Finland"/>
    <d v="2023-01-30T23:52:00"/>
    <x v="1"/>
    <x v="63"/>
    <n v="3862"/>
    <s v="Finland"/>
    <x v="214"/>
    <x v="94"/>
    <x v="0"/>
    <n v="100000"/>
    <x v="16"/>
    <s v="M"/>
    <x v="62"/>
    <x v="3"/>
  </r>
  <r>
    <n v="284363"/>
    <n v="100"/>
    <s v="Ireland"/>
    <d v="2023-03-21T23:28:00"/>
    <x v="2"/>
    <x v="7"/>
    <n v="3844"/>
    <s v="Ireland"/>
    <x v="28"/>
    <x v="134"/>
    <x v="1"/>
    <n v="150000"/>
    <x v="7"/>
    <s v="M"/>
    <x v="67"/>
    <x v="2"/>
  </r>
  <r>
    <n v="284974"/>
    <n v="1218"/>
    <s v="USA"/>
    <d v="2023-09-11T01:36:00"/>
    <x v="2"/>
    <x v="40"/>
    <n v="5755"/>
    <s v="USA"/>
    <x v="241"/>
    <x v="173"/>
    <x v="2"/>
    <n v="150000"/>
    <x v="2"/>
    <s v="M"/>
    <x v="17"/>
    <x v="3"/>
  </r>
  <r>
    <n v="286598"/>
    <n v="1903"/>
    <s v="Australia"/>
    <d v="2023-03-12T00:54:00"/>
    <x v="1"/>
    <x v="23"/>
    <n v="8252"/>
    <s v="Australia"/>
    <x v="242"/>
    <x v="73"/>
    <x v="0"/>
    <n v="1000000"/>
    <x v="12"/>
    <s v="M"/>
    <x v="37"/>
    <x v="1"/>
  </r>
  <r>
    <n v="287761"/>
    <n v="91"/>
    <s v="Spain"/>
    <d v="2023-05-07T01:19:00"/>
    <x v="3"/>
    <x v="23"/>
    <n v="3891"/>
    <s v="Spain"/>
    <x v="37"/>
    <x v="95"/>
    <x v="0"/>
    <n v="1000000"/>
    <x v="12"/>
    <s v="M"/>
    <x v="57"/>
    <x v="2"/>
  </r>
  <r>
    <n v="288186"/>
    <n v="415"/>
    <s v="India"/>
    <d v="2023-05-30T23:57:00"/>
    <x v="1"/>
    <x v="69"/>
    <n v="4166"/>
    <s v="India"/>
    <x v="243"/>
    <x v="116"/>
    <x v="4"/>
    <n v="150000"/>
    <x v="25"/>
    <s v="M"/>
    <x v="52"/>
    <x v="2"/>
  </r>
  <r>
    <n v="288332"/>
    <n v="1069"/>
    <s v="Australia"/>
    <d v="2023-01-16T00:23:00"/>
    <x v="2"/>
    <x v="60"/>
    <n v="610"/>
    <s v="Australia"/>
    <x v="181"/>
    <x v="6"/>
    <x v="1"/>
    <n v="100000"/>
    <x v="26"/>
    <s v="M"/>
    <x v="16"/>
    <x v="3"/>
  </r>
  <r>
    <n v="288335"/>
    <n v="1703"/>
    <s v="France"/>
    <d v="2023-07-15T00:46:00"/>
    <x v="0"/>
    <x v="22"/>
    <n v="362"/>
    <s v="France"/>
    <x v="102"/>
    <x v="77"/>
    <x v="3"/>
    <n v="100000"/>
    <x v="13"/>
    <s v="F"/>
    <x v="67"/>
    <x v="1"/>
  </r>
  <r>
    <n v="289882"/>
    <n v="1177"/>
    <s v="Denmark"/>
    <d v="2023-11-04T01:04:00"/>
    <x v="1"/>
    <x v="70"/>
    <n v="4569"/>
    <s v="Denmark"/>
    <x v="244"/>
    <x v="121"/>
    <x v="3"/>
    <n v="150000"/>
    <x v="29"/>
    <s v="F"/>
    <x v="70"/>
    <x v="3"/>
  </r>
  <r>
    <n v="289906"/>
    <n v="1349"/>
    <s v="Australia"/>
    <d v="2023-04-15T23:54:00"/>
    <x v="0"/>
    <x v="26"/>
    <n v="2771"/>
    <s v="Australia"/>
    <x v="245"/>
    <x v="174"/>
    <x v="2"/>
    <n v="200000"/>
    <x v="19"/>
    <s v="M"/>
    <x v="50"/>
    <x v="3"/>
  </r>
  <r>
    <n v="290270"/>
    <n v="1955"/>
    <s v="Spain"/>
    <d v="2023-02-03T01:54:00"/>
    <x v="3"/>
    <x v="69"/>
    <n v="2355"/>
    <s v="Spain"/>
    <x v="151"/>
    <x v="143"/>
    <x v="4"/>
    <n v="150000"/>
    <x v="25"/>
    <s v="F"/>
    <x v="17"/>
    <x v="1"/>
  </r>
  <r>
    <n v="292907"/>
    <n v="1829"/>
    <s v="Australia"/>
    <d v="2023-04-22T00:05:00"/>
    <x v="2"/>
    <x v="72"/>
    <n v="4040"/>
    <s v="Australia"/>
    <x v="246"/>
    <x v="48"/>
    <x v="0"/>
    <n v="80000"/>
    <x v="4"/>
    <s v="M"/>
    <x v="43"/>
    <x v="1"/>
  </r>
  <r>
    <n v="294015"/>
    <n v="669"/>
    <s v="USA"/>
    <d v="2023-09-03T23:27:00"/>
    <x v="3"/>
    <x v="68"/>
    <n v="9046"/>
    <s v="USA"/>
    <x v="232"/>
    <x v="79"/>
    <x v="1"/>
    <n v="150000"/>
    <x v="26"/>
    <s v="M"/>
    <x v="19"/>
    <x v="0"/>
  </r>
  <r>
    <n v="295823"/>
    <n v="1085"/>
    <s v="Spain"/>
    <d v="2023-01-18T00:11:00"/>
    <x v="0"/>
    <x v="21"/>
    <n v="2562"/>
    <s v="Spain"/>
    <x v="247"/>
    <x v="10"/>
    <x v="0"/>
    <n v="100000"/>
    <x v="4"/>
    <s v="M"/>
    <x v="61"/>
    <x v="3"/>
  </r>
  <r>
    <n v="296042"/>
    <n v="722"/>
    <s v="USA"/>
    <d v="2023-08-29T00:48:00"/>
    <x v="1"/>
    <x v="0"/>
    <n v="3962"/>
    <s v="USA"/>
    <x v="248"/>
    <x v="88"/>
    <x v="0"/>
    <n v="200000"/>
    <x v="0"/>
    <s v="F"/>
    <x v="18"/>
    <x v="0"/>
  </r>
  <r>
    <n v="296324"/>
    <n v="167"/>
    <s v="Australia"/>
    <d v="2023-05-13T23:09:00"/>
    <x v="1"/>
    <x v="19"/>
    <n v="5732"/>
    <s v="Australia"/>
    <x v="99"/>
    <x v="175"/>
    <x v="0"/>
    <n v="150000"/>
    <x v="16"/>
    <s v="F"/>
    <x v="18"/>
    <x v="2"/>
  </r>
  <r>
    <n v="298715"/>
    <n v="1706"/>
    <s v="USA"/>
    <d v="2023-04-01T23:52:00"/>
    <x v="0"/>
    <x v="73"/>
    <n v="5256"/>
    <s v="USA"/>
    <x v="219"/>
    <x v="94"/>
    <x v="4"/>
    <n v="100000"/>
    <x v="25"/>
    <s v="F"/>
    <x v="59"/>
    <x v="1"/>
  </r>
  <r>
    <n v="299065"/>
    <n v="177"/>
    <s v="India"/>
    <d v="2023-04-11T22:47:00"/>
    <x v="0"/>
    <x v="16"/>
    <n v="7292"/>
    <s v="India"/>
    <x v="147"/>
    <x v="165"/>
    <x v="4"/>
    <n v="150000"/>
    <x v="15"/>
    <s v="M"/>
    <x v="21"/>
    <x v="2"/>
  </r>
  <r>
    <n v="299700"/>
    <n v="533"/>
    <s v="USA"/>
    <d v="2023-10-09T01:32:00"/>
    <x v="1"/>
    <x v="37"/>
    <n v="7166"/>
    <s v="USA"/>
    <x v="208"/>
    <x v="117"/>
    <x v="3"/>
    <n v="150000"/>
    <x v="6"/>
    <s v="F"/>
    <x v="39"/>
    <x v="0"/>
  </r>
  <r>
    <n v="300907"/>
    <n v="383"/>
    <s v="France"/>
    <d v="2023-11-12T23:00:00"/>
    <x v="1"/>
    <x v="83"/>
    <n v="346"/>
    <s v="France"/>
    <x v="109"/>
    <x v="171"/>
    <x v="2"/>
    <n v="100000"/>
    <x v="19"/>
    <s v="F"/>
    <x v="56"/>
    <x v="2"/>
  </r>
  <r>
    <n v="302110"/>
    <n v="1357"/>
    <s v="Ireland"/>
    <d v="2023-10-15T01:26:00"/>
    <x v="3"/>
    <x v="19"/>
    <n v="4576"/>
    <s v="Ireland"/>
    <x v="59"/>
    <x v="65"/>
    <x v="0"/>
    <n v="150000"/>
    <x v="16"/>
    <s v="M"/>
    <x v="64"/>
    <x v="3"/>
  </r>
  <r>
    <n v="303207"/>
    <n v="1052"/>
    <s v="Germany"/>
    <d v="2023-11-19T23:54:00"/>
    <x v="3"/>
    <x v="17"/>
    <n v="1054"/>
    <s v="Germany"/>
    <x v="249"/>
    <x v="174"/>
    <x v="0"/>
    <n v="150000"/>
    <x v="14"/>
    <s v="M"/>
    <x v="50"/>
    <x v="3"/>
  </r>
  <r>
    <n v="303923"/>
    <n v="691"/>
    <s v="Norway"/>
    <d v="2023-05-30T23:02:00"/>
    <x v="2"/>
    <x v="39"/>
    <n v="5642"/>
    <s v="Norway"/>
    <x v="243"/>
    <x v="114"/>
    <x v="3"/>
    <n v="1000000"/>
    <x v="6"/>
    <s v="F"/>
    <x v="19"/>
    <x v="0"/>
  </r>
  <r>
    <n v="304668"/>
    <n v="835"/>
    <s v="Australia"/>
    <d v="2023-02-12T00:44:00"/>
    <x v="3"/>
    <x v="25"/>
    <n v="3450"/>
    <s v="Australia"/>
    <x v="199"/>
    <x v="85"/>
    <x v="1"/>
    <n v="150000"/>
    <x v="17"/>
    <s v="F"/>
    <x v="63"/>
    <x v="0"/>
  </r>
  <r>
    <n v="305175"/>
    <n v="766"/>
    <s v="USA"/>
    <d v="2023-08-06T00:17:00"/>
    <x v="1"/>
    <x v="5"/>
    <n v="1876"/>
    <s v="USA"/>
    <x v="187"/>
    <x v="20"/>
    <x v="2"/>
    <n v="150000"/>
    <x v="5"/>
    <s v="F"/>
    <x v="20"/>
    <x v="0"/>
  </r>
  <r>
    <n v="305282"/>
    <n v="1594"/>
    <s v="Australia"/>
    <d v="2023-03-11T00:20:00"/>
    <x v="3"/>
    <x v="26"/>
    <n v="2529"/>
    <s v="Australia"/>
    <x v="250"/>
    <x v="68"/>
    <x v="2"/>
    <n v="200000"/>
    <x v="19"/>
    <s v="M"/>
    <x v="18"/>
    <x v="1"/>
  </r>
  <r>
    <n v="305291"/>
    <n v="1519"/>
    <s v="Spain"/>
    <d v="2023-08-22T23:10:00"/>
    <x v="1"/>
    <x v="63"/>
    <n v="3778"/>
    <s v="Spain"/>
    <x v="183"/>
    <x v="176"/>
    <x v="0"/>
    <n v="100000"/>
    <x v="16"/>
    <s v="M"/>
    <x v="1"/>
    <x v="1"/>
  </r>
  <r>
    <n v="305510"/>
    <n v="935"/>
    <s v="France"/>
    <d v="2023-11-21T02:00:00"/>
    <x v="2"/>
    <x v="28"/>
    <n v="6989"/>
    <s v="France"/>
    <x v="185"/>
    <x v="23"/>
    <x v="3"/>
    <n v="80000"/>
    <x v="20"/>
    <s v="M"/>
    <x v="4"/>
    <x v="0"/>
  </r>
  <r>
    <n v="306677"/>
    <n v="1145"/>
    <s v="USA"/>
    <d v="2023-08-20T23:45:00"/>
    <x v="0"/>
    <x v="29"/>
    <n v="6771"/>
    <s v="USA"/>
    <x v="251"/>
    <x v="164"/>
    <x v="3"/>
    <n v="100000"/>
    <x v="13"/>
    <s v="F"/>
    <x v="63"/>
    <x v="3"/>
  </r>
  <r>
    <n v="306798"/>
    <n v="132"/>
    <s v="Spain"/>
    <d v="2023-01-14T00:29:00"/>
    <x v="1"/>
    <x v="30"/>
    <n v="291"/>
    <s v="Spain"/>
    <x v="170"/>
    <x v="50"/>
    <x v="2"/>
    <n v="150000"/>
    <x v="21"/>
    <s v="F"/>
    <x v="63"/>
    <x v="2"/>
  </r>
  <r>
    <n v="306831"/>
    <n v="1135"/>
    <s v="India"/>
    <d v="2023-06-13T00:35:00"/>
    <x v="1"/>
    <x v="31"/>
    <n v="4730"/>
    <s v="India"/>
    <x v="252"/>
    <x v="67"/>
    <x v="2"/>
    <n v="100000"/>
    <x v="22"/>
    <s v="M"/>
    <x v="8"/>
    <x v="3"/>
  </r>
  <r>
    <n v="307999"/>
    <n v="1476"/>
    <s v="Italy"/>
    <d v="2023-07-04T23:33:00"/>
    <x v="0"/>
    <x v="32"/>
    <n v="5434"/>
    <s v="Italy"/>
    <x v="167"/>
    <x v="62"/>
    <x v="4"/>
    <n v="100000"/>
    <x v="23"/>
    <s v="M"/>
    <x v="12"/>
    <x v="3"/>
  </r>
  <r>
    <n v="308888"/>
    <n v="731"/>
    <s v="France"/>
    <d v="2023-04-06T01:09:00"/>
    <x v="2"/>
    <x v="33"/>
    <n v="5383"/>
    <s v="France"/>
    <x v="253"/>
    <x v="92"/>
    <x v="2"/>
    <n v="100000"/>
    <x v="2"/>
    <s v="M"/>
    <x v="61"/>
    <x v="0"/>
  </r>
  <r>
    <n v="309642"/>
    <n v="1222"/>
    <s v="Spain"/>
    <d v="2023-09-16T00:34:00"/>
    <x v="0"/>
    <x v="34"/>
    <n v="2898"/>
    <s v="Spain"/>
    <x v="254"/>
    <x v="21"/>
    <x v="1"/>
    <n v="100000"/>
    <x v="24"/>
    <s v="F"/>
    <x v="30"/>
    <x v="3"/>
  </r>
  <r>
    <n v="310236"/>
    <n v="839"/>
    <s v="India"/>
    <d v="2023-04-18T00:04:00"/>
    <x v="2"/>
    <x v="35"/>
    <n v="221"/>
    <s v="India"/>
    <x v="255"/>
    <x v="64"/>
    <x v="4"/>
    <n v="100000"/>
    <x v="15"/>
    <s v="M"/>
    <x v="40"/>
    <x v="0"/>
  </r>
  <r>
    <n v="310303"/>
    <n v="42"/>
    <s v="Spain"/>
    <d v="2023-07-28T00:28:00"/>
    <x v="0"/>
    <x v="20"/>
    <n v="369"/>
    <s v="Spain"/>
    <x v="209"/>
    <x v="39"/>
    <x v="1"/>
    <n v="200000"/>
    <x v="17"/>
    <s v="F"/>
    <x v="64"/>
    <x v="2"/>
  </r>
  <r>
    <n v="311285"/>
    <n v="511"/>
    <s v="USA"/>
    <d v="2023-10-14T23:47:00"/>
    <x v="2"/>
    <x v="36"/>
    <n v="3345"/>
    <s v="USA"/>
    <x v="256"/>
    <x v="100"/>
    <x v="0"/>
    <n v="150000"/>
    <x v="10"/>
    <s v="M"/>
    <x v="52"/>
    <x v="0"/>
  </r>
  <r>
    <n v="312250"/>
    <n v="343"/>
    <s v="India"/>
    <d v="2023-11-18T00:28:00"/>
    <x v="2"/>
    <x v="37"/>
    <n v="8056"/>
    <s v="India"/>
    <x v="62"/>
    <x v="39"/>
    <x v="3"/>
    <n v="150000"/>
    <x v="6"/>
    <s v="F"/>
    <x v="51"/>
    <x v="2"/>
  </r>
  <r>
    <n v="312391"/>
    <n v="780"/>
    <s v="India"/>
    <d v="2023-12-16T23:05:00"/>
    <x v="2"/>
    <x v="38"/>
    <n v="3848"/>
    <s v="India"/>
    <x v="257"/>
    <x v="159"/>
    <x v="2"/>
    <n v="100000"/>
    <x v="22"/>
    <s v="M"/>
    <x v="64"/>
    <x v="0"/>
  </r>
  <r>
    <n v="312413"/>
    <n v="1696"/>
    <s v="USA"/>
    <d v="2023-09-16T00:17:00"/>
    <x v="3"/>
    <x v="39"/>
    <n v="7605"/>
    <s v="USA"/>
    <x v="254"/>
    <x v="20"/>
    <x v="3"/>
    <n v="1000000"/>
    <x v="6"/>
    <s v="M"/>
    <x v="17"/>
    <x v="1"/>
  </r>
  <r>
    <n v="312581"/>
    <n v="624"/>
    <s v="Australia"/>
    <d v="2023-08-07T00:48:00"/>
    <x v="1"/>
    <x v="40"/>
    <n v="5721"/>
    <s v="Australia"/>
    <x v="258"/>
    <x v="88"/>
    <x v="2"/>
    <n v="150000"/>
    <x v="2"/>
    <s v="M"/>
    <x v="64"/>
    <x v="0"/>
  </r>
  <r>
    <n v="313294"/>
    <n v="1513"/>
    <s v="USA"/>
    <d v="2023-06-24T00:09:00"/>
    <x v="3"/>
    <x v="8"/>
    <n v="3975"/>
    <s v="USA"/>
    <x v="53"/>
    <x v="81"/>
    <x v="1"/>
    <n v="150000"/>
    <x v="8"/>
    <s v="F"/>
    <x v="15"/>
    <x v="1"/>
  </r>
  <r>
    <n v="313756"/>
    <n v="1032"/>
    <s v="France"/>
    <d v="2023-12-28T01:31:00"/>
    <x v="3"/>
    <x v="10"/>
    <n v="1340"/>
    <s v="France"/>
    <x v="259"/>
    <x v="177"/>
    <x v="0"/>
    <n v="250000"/>
    <x v="10"/>
    <s v="M"/>
    <x v="29"/>
    <x v="3"/>
  </r>
  <r>
    <n v="314254"/>
    <n v="224"/>
    <s v="India"/>
    <d v="2023-07-26T00:20:00"/>
    <x v="0"/>
    <x v="39"/>
    <n v="2043"/>
    <s v="India"/>
    <x v="10"/>
    <x v="68"/>
    <x v="3"/>
    <n v="1000000"/>
    <x v="6"/>
    <s v="M"/>
    <x v="71"/>
    <x v="2"/>
  </r>
  <r>
    <n v="314530"/>
    <n v="967"/>
    <s v="Australia"/>
    <d v="2023-11-11T00:50:00"/>
    <x v="1"/>
    <x v="42"/>
    <n v="4214"/>
    <s v="Australia"/>
    <x v="68"/>
    <x v="0"/>
    <x v="0"/>
    <n v="200000"/>
    <x v="14"/>
    <s v="F"/>
    <x v="26"/>
    <x v="0"/>
  </r>
  <r>
    <n v="315549"/>
    <n v="108"/>
    <s v="Spain"/>
    <d v="2023-03-19T23:39:00"/>
    <x v="1"/>
    <x v="4"/>
    <n v="7653"/>
    <s v="Spain"/>
    <x v="140"/>
    <x v="101"/>
    <x v="0"/>
    <n v="200000"/>
    <x v="4"/>
    <s v="M"/>
    <x v="42"/>
    <x v="2"/>
  </r>
  <r>
    <n v="315899"/>
    <n v="1934"/>
    <s v="Spain"/>
    <d v="2023-10-09T00:56:00"/>
    <x v="1"/>
    <x v="42"/>
    <n v="6965"/>
    <s v="Spain"/>
    <x v="208"/>
    <x v="150"/>
    <x v="0"/>
    <n v="200000"/>
    <x v="14"/>
    <s v="M"/>
    <x v="5"/>
    <x v="1"/>
  </r>
  <r>
    <n v="315977"/>
    <n v="1837"/>
    <s v="Switzerland"/>
    <d v="2023-09-03T00:01:00"/>
    <x v="2"/>
    <x v="43"/>
    <n v="8432"/>
    <s v="Switzerland"/>
    <x v="232"/>
    <x v="63"/>
    <x v="2"/>
    <n v="100000"/>
    <x v="21"/>
    <s v="F"/>
    <x v="27"/>
    <x v="1"/>
  </r>
  <r>
    <n v="316324"/>
    <n v="1564"/>
    <s v="Singapore"/>
    <d v="2023-03-07T00:20:00"/>
    <x v="1"/>
    <x v="23"/>
    <n v="1285"/>
    <s v="Singapore"/>
    <x v="87"/>
    <x v="68"/>
    <x v="0"/>
    <n v="1000000"/>
    <x v="12"/>
    <s v="M"/>
    <x v="20"/>
    <x v="1"/>
  </r>
  <r>
    <n v="316364"/>
    <n v="486"/>
    <s v="Austria"/>
    <d v="2023-11-09T00:19:00"/>
    <x v="2"/>
    <x v="45"/>
    <n v="1699"/>
    <s v="Austria"/>
    <x v="119"/>
    <x v="167"/>
    <x v="4"/>
    <n v="100000"/>
    <x v="25"/>
    <s v="F"/>
    <x v="50"/>
    <x v="2"/>
  </r>
  <r>
    <n v="316858"/>
    <n v="1140"/>
    <s v="Finland"/>
    <d v="2023-03-18T00:39:00"/>
    <x v="0"/>
    <x v="67"/>
    <n v="3160"/>
    <s v="Finland"/>
    <x v="23"/>
    <x v="11"/>
    <x v="3"/>
    <n v="150000"/>
    <x v="29"/>
    <s v="M"/>
    <x v="45"/>
    <x v="3"/>
  </r>
  <r>
    <n v="318630"/>
    <n v="137"/>
    <s v="India"/>
    <d v="2023-04-13T23:22:00"/>
    <x v="1"/>
    <x v="51"/>
    <n v="9655"/>
    <s v="India"/>
    <x v="260"/>
    <x v="137"/>
    <x v="2"/>
    <n v="100000"/>
    <x v="22"/>
    <s v="M"/>
    <x v="5"/>
    <x v="2"/>
  </r>
  <r>
    <n v="318961"/>
    <n v="821"/>
    <s v="Italy"/>
    <d v="2023-05-09T01:14:00"/>
    <x v="2"/>
    <x v="42"/>
    <n v="7028"/>
    <s v="Italy"/>
    <x v="182"/>
    <x v="156"/>
    <x v="0"/>
    <n v="200000"/>
    <x v="14"/>
    <s v="F"/>
    <x v="62"/>
    <x v="0"/>
  </r>
  <r>
    <n v="319587"/>
    <n v="1505"/>
    <s v="USA"/>
    <d v="2023-09-30T00:04:00"/>
    <x v="0"/>
    <x v="78"/>
    <n v="1648"/>
    <s v="USA"/>
    <x v="261"/>
    <x v="64"/>
    <x v="0"/>
    <n v="100000"/>
    <x v="12"/>
    <s v="M"/>
    <x v="68"/>
    <x v="1"/>
  </r>
  <r>
    <n v="320251"/>
    <n v="648"/>
    <s v="Austria"/>
    <d v="2023-11-11T01:40:00"/>
    <x v="3"/>
    <x v="43"/>
    <n v="8979"/>
    <s v="Austria"/>
    <x v="68"/>
    <x v="76"/>
    <x v="2"/>
    <n v="100000"/>
    <x v="21"/>
    <s v="F"/>
    <x v="6"/>
    <x v="0"/>
  </r>
  <r>
    <n v="320353"/>
    <n v="173"/>
    <s v="India"/>
    <d v="2023-05-25T00:41:00"/>
    <x v="3"/>
    <x v="7"/>
    <n v="7229"/>
    <s v="India"/>
    <x v="262"/>
    <x v="60"/>
    <x v="1"/>
    <n v="150000"/>
    <x v="7"/>
    <s v="M"/>
    <x v="0"/>
    <x v="2"/>
  </r>
  <r>
    <n v="322784"/>
    <n v="132"/>
    <s v="Spain"/>
    <d v="2023-01-02T23:21:00"/>
    <x v="1"/>
    <x v="40"/>
    <n v="5201"/>
    <s v="Spain"/>
    <x v="80"/>
    <x v="69"/>
    <x v="2"/>
    <n v="150000"/>
    <x v="2"/>
    <s v="F"/>
    <x v="63"/>
    <x v="2"/>
  </r>
  <r>
    <n v="323100"/>
    <n v="867"/>
    <s v="USA"/>
    <d v="2023-05-29T00:15:00"/>
    <x v="0"/>
    <x v="74"/>
    <n v="6684"/>
    <s v="USA"/>
    <x v="42"/>
    <x v="123"/>
    <x v="1"/>
    <n v="200000"/>
    <x v="18"/>
    <s v="F"/>
    <x v="15"/>
    <x v="0"/>
  </r>
  <r>
    <n v="325850"/>
    <n v="166"/>
    <s v="France"/>
    <d v="2023-05-09T00:47:00"/>
    <x v="1"/>
    <x v="23"/>
    <n v="7311"/>
    <s v="France"/>
    <x v="182"/>
    <x v="75"/>
    <x v="0"/>
    <n v="1000000"/>
    <x v="12"/>
    <s v="M"/>
    <x v="18"/>
    <x v="2"/>
  </r>
  <r>
    <n v="325939"/>
    <n v="1285"/>
    <s v="Spain"/>
    <d v="2023-12-24T22:53:00"/>
    <x v="1"/>
    <x v="69"/>
    <n v="4569"/>
    <s v="Spain"/>
    <x v="231"/>
    <x v="178"/>
    <x v="4"/>
    <n v="150000"/>
    <x v="25"/>
    <s v="F"/>
    <x v="72"/>
    <x v="3"/>
  </r>
  <r>
    <n v="327243"/>
    <n v="595"/>
    <s v="USA"/>
    <d v="2023-05-08T00:54:00"/>
    <x v="0"/>
    <x v="44"/>
    <n v="8969"/>
    <s v="USA"/>
    <x v="215"/>
    <x v="73"/>
    <x v="0"/>
    <n v="100000"/>
    <x v="12"/>
    <s v="F"/>
    <x v="70"/>
    <x v="0"/>
  </r>
  <r>
    <n v="327268"/>
    <n v="1038"/>
    <s v="France"/>
    <d v="2023-11-06T01:14:00"/>
    <x v="2"/>
    <x v="22"/>
    <n v="6977"/>
    <s v="France"/>
    <x v="175"/>
    <x v="156"/>
    <x v="3"/>
    <n v="100000"/>
    <x v="13"/>
    <s v="M"/>
    <x v="24"/>
    <x v="3"/>
  </r>
  <r>
    <n v="328597"/>
    <n v="221"/>
    <s v="Australia"/>
    <d v="2023-10-06T01:46:00"/>
    <x v="1"/>
    <x v="70"/>
    <n v="5537"/>
    <s v="Australia"/>
    <x v="45"/>
    <x v="129"/>
    <x v="3"/>
    <n v="150000"/>
    <x v="29"/>
    <s v="M"/>
    <x v="71"/>
    <x v="2"/>
  </r>
  <r>
    <n v="329474"/>
    <n v="1133"/>
    <s v="India"/>
    <d v="2023-12-08T00:32:00"/>
    <x v="2"/>
    <x v="84"/>
    <n v="7243"/>
    <s v="India"/>
    <x v="263"/>
    <x v="58"/>
    <x v="2"/>
    <n v="100000"/>
    <x v="3"/>
    <s v="F"/>
    <x v="0"/>
    <x v="3"/>
  </r>
  <r>
    <n v="331297"/>
    <n v="1595"/>
    <s v="USA"/>
    <d v="2023-03-17T00:16:00"/>
    <x v="3"/>
    <x v="69"/>
    <n v="7756"/>
    <s v="USA"/>
    <x v="19"/>
    <x v="61"/>
    <x v="4"/>
    <n v="150000"/>
    <x v="25"/>
    <s v="F"/>
    <x v="25"/>
    <x v="1"/>
  </r>
  <r>
    <n v="331797"/>
    <n v="1190"/>
    <s v="Norway"/>
    <d v="2023-10-15T01:46:00"/>
    <x v="1"/>
    <x v="85"/>
    <n v="5185"/>
    <s v="Norway"/>
    <x v="59"/>
    <x v="129"/>
    <x v="2"/>
    <n v="150000"/>
    <x v="21"/>
    <s v="M"/>
    <x v="63"/>
    <x v="3"/>
  </r>
  <r>
    <n v="332513"/>
    <n v="164"/>
    <s v="USA"/>
    <d v="2023-03-17T01:16:00"/>
    <x v="3"/>
    <x v="68"/>
    <n v="9265"/>
    <s v="USA"/>
    <x v="19"/>
    <x v="84"/>
    <x v="1"/>
    <n v="150000"/>
    <x v="26"/>
    <s v="M"/>
    <x v="40"/>
    <x v="2"/>
  </r>
  <r>
    <n v="333900"/>
    <n v="629"/>
    <s v="USA"/>
    <d v="2023-11-12T01:08:00"/>
    <x v="0"/>
    <x v="21"/>
    <n v="8694"/>
    <s v="USA"/>
    <x v="109"/>
    <x v="37"/>
    <x v="0"/>
    <n v="100000"/>
    <x v="4"/>
    <s v="M"/>
    <x v="43"/>
    <x v="0"/>
  </r>
  <r>
    <n v="334028"/>
    <n v="323"/>
    <s v="France"/>
    <d v="2023-07-07T01:21:00"/>
    <x v="3"/>
    <x v="45"/>
    <n v="9365"/>
    <s v="France"/>
    <x v="264"/>
    <x v="128"/>
    <x v="4"/>
    <n v="100000"/>
    <x v="25"/>
    <s v="M"/>
    <x v="22"/>
    <x v="2"/>
  </r>
  <r>
    <n v="335011"/>
    <n v="1188"/>
    <s v="USA"/>
    <d v="2023-11-27T23:43:00"/>
    <x v="3"/>
    <x v="10"/>
    <n v="4882"/>
    <s v="USA"/>
    <x v="13"/>
    <x v="169"/>
    <x v="0"/>
    <n v="250000"/>
    <x v="10"/>
    <s v="M"/>
    <x v="20"/>
    <x v="3"/>
  </r>
  <r>
    <n v="336670"/>
    <n v="1963"/>
    <s v="Australia"/>
    <d v="2023-07-09T01:20:00"/>
    <x v="2"/>
    <x v="2"/>
    <n v="7178"/>
    <s v="Australia"/>
    <x v="63"/>
    <x v="8"/>
    <x v="2"/>
    <n v="100000"/>
    <x v="2"/>
    <s v="F"/>
    <x v="5"/>
    <x v="1"/>
  </r>
  <r>
    <n v="337678"/>
    <n v="231"/>
    <s v="USA"/>
    <d v="2023-06-25T00:11:00"/>
    <x v="2"/>
    <x v="50"/>
    <n v="6888"/>
    <s v="USA"/>
    <x v="138"/>
    <x v="10"/>
    <x v="2"/>
    <n v="100000"/>
    <x v="27"/>
    <s v="M"/>
    <x v="10"/>
    <x v="2"/>
  </r>
  <r>
    <n v="338433"/>
    <n v="1583"/>
    <s v="Singapore"/>
    <d v="2023-05-20T23:31:00"/>
    <x v="1"/>
    <x v="16"/>
    <n v="2588"/>
    <s v="Singapore"/>
    <x v="125"/>
    <x v="57"/>
    <x v="4"/>
    <n v="150000"/>
    <x v="15"/>
    <s v="F"/>
    <x v="38"/>
    <x v="1"/>
  </r>
  <r>
    <n v="338722"/>
    <n v="1401"/>
    <s v="Finland"/>
    <d v="2023-07-02T01:04:00"/>
    <x v="0"/>
    <x v="39"/>
    <n v="8554"/>
    <s v="Finland"/>
    <x v="143"/>
    <x v="121"/>
    <x v="3"/>
    <n v="1000000"/>
    <x v="6"/>
    <s v="M"/>
    <x v="62"/>
    <x v="3"/>
  </r>
  <r>
    <n v="339088"/>
    <n v="904"/>
    <s v="India"/>
    <d v="2023-07-31T00:49:00"/>
    <x v="3"/>
    <x v="48"/>
    <n v="4909"/>
    <s v="India"/>
    <x v="25"/>
    <x v="35"/>
    <x v="1"/>
    <n v="100000"/>
    <x v="9"/>
    <s v="F"/>
    <x v="6"/>
    <x v="0"/>
  </r>
  <r>
    <n v="340986"/>
    <n v="1570"/>
    <s v="USA"/>
    <d v="2023-09-22T23:36:00"/>
    <x v="1"/>
    <x v="19"/>
    <n v="3502"/>
    <s v="USA"/>
    <x v="64"/>
    <x v="135"/>
    <x v="0"/>
    <n v="150000"/>
    <x v="16"/>
    <s v="M"/>
    <x v="7"/>
    <x v="1"/>
  </r>
  <r>
    <n v="341171"/>
    <n v="1438"/>
    <s v="Singapore"/>
    <d v="2023-11-01T01:52:00"/>
    <x v="3"/>
    <x v="11"/>
    <n v="1596"/>
    <s v="Singapore"/>
    <x v="172"/>
    <x v="179"/>
    <x v="1"/>
    <n v="150000"/>
    <x v="1"/>
    <s v="M"/>
    <x v="31"/>
    <x v="3"/>
  </r>
  <r>
    <n v="341522"/>
    <n v="1268"/>
    <s v="USA"/>
    <d v="2023-08-12T00:34:00"/>
    <x v="1"/>
    <x v="8"/>
    <n v="1649"/>
    <s v="USA"/>
    <x v="166"/>
    <x v="21"/>
    <x v="1"/>
    <n v="150000"/>
    <x v="8"/>
    <s v="M"/>
    <x v="68"/>
    <x v="3"/>
  </r>
  <r>
    <n v="341838"/>
    <n v="1367"/>
    <s v="Italy"/>
    <d v="2023-11-18T01:37:00"/>
    <x v="2"/>
    <x v="10"/>
    <n v="7477"/>
    <s v="Italy"/>
    <x v="62"/>
    <x v="109"/>
    <x v="0"/>
    <n v="250000"/>
    <x v="10"/>
    <s v="F"/>
    <x v="5"/>
    <x v="3"/>
  </r>
  <r>
    <n v="341843"/>
    <n v="1121"/>
    <s v="India"/>
    <d v="2023-05-29T00:08:00"/>
    <x v="0"/>
    <x v="20"/>
    <n v="863"/>
    <s v="India"/>
    <x v="42"/>
    <x v="149"/>
    <x v="1"/>
    <n v="200000"/>
    <x v="17"/>
    <s v="F"/>
    <x v="66"/>
    <x v="3"/>
  </r>
  <r>
    <n v="342057"/>
    <n v="1152"/>
    <s v="Spain"/>
    <d v="2023-06-04T00:53:00"/>
    <x v="0"/>
    <x v="82"/>
    <n v="9941"/>
    <s v="Spain"/>
    <x v="190"/>
    <x v="36"/>
    <x v="2"/>
    <n v="100000"/>
    <x v="19"/>
    <s v="M"/>
    <x v="25"/>
    <x v="3"/>
  </r>
  <r>
    <n v="342826"/>
    <n v="1486"/>
    <s v="USA"/>
    <d v="2023-06-20T22:33:00"/>
    <x v="0"/>
    <x v="4"/>
    <n v="3861"/>
    <s v="USA"/>
    <x v="168"/>
    <x v="17"/>
    <x v="0"/>
    <n v="200000"/>
    <x v="4"/>
    <s v="F"/>
    <x v="35"/>
    <x v="3"/>
  </r>
  <r>
    <n v="343003"/>
    <n v="1880"/>
    <s v="Spain"/>
    <d v="2023-02-19T01:16:00"/>
    <x v="2"/>
    <x v="86"/>
    <n v="7628"/>
    <s v="Spain"/>
    <x v="110"/>
    <x v="84"/>
    <x v="0"/>
    <n v="150000"/>
    <x v="11"/>
    <s v="F"/>
    <x v="38"/>
    <x v="1"/>
  </r>
  <r>
    <n v="344182"/>
    <n v="519"/>
    <s v="France"/>
    <d v="2023-07-20T01:09:00"/>
    <x v="0"/>
    <x v="39"/>
    <n v="9637"/>
    <s v="France"/>
    <x v="265"/>
    <x v="92"/>
    <x v="3"/>
    <n v="1000000"/>
    <x v="6"/>
    <s v="M"/>
    <x v="41"/>
    <x v="0"/>
  </r>
  <r>
    <n v="347036"/>
    <n v="1424"/>
    <s v="Spain"/>
    <d v="2023-02-14T22:47:00"/>
    <x v="2"/>
    <x v="87"/>
    <n v="1632"/>
    <s v="Spain"/>
    <x v="157"/>
    <x v="165"/>
    <x v="0"/>
    <n v="100000"/>
    <x v="16"/>
    <s v="M"/>
    <x v="36"/>
    <x v="3"/>
  </r>
  <r>
    <n v="347243"/>
    <n v="470"/>
    <s v="USA"/>
    <d v="2023-06-02T23:47:00"/>
    <x v="2"/>
    <x v="23"/>
    <n v="5127"/>
    <s v="USA"/>
    <x v="266"/>
    <x v="100"/>
    <x v="0"/>
    <n v="1000000"/>
    <x v="12"/>
    <s v="F"/>
    <x v="24"/>
    <x v="2"/>
  </r>
  <r>
    <n v="347273"/>
    <n v="654"/>
    <s v="France"/>
    <d v="2023-06-08T00:18:00"/>
    <x v="0"/>
    <x v="32"/>
    <n v="9105"/>
    <s v="France"/>
    <x v="267"/>
    <x v="139"/>
    <x v="4"/>
    <n v="100000"/>
    <x v="23"/>
    <s v="M"/>
    <x v="66"/>
    <x v="0"/>
  </r>
  <r>
    <n v="347302"/>
    <n v="1997"/>
    <s v="Spain"/>
    <d v="2023-02-05T00:12:00"/>
    <x v="1"/>
    <x v="30"/>
    <n v="4850"/>
    <s v="Spain"/>
    <x v="195"/>
    <x v="19"/>
    <x v="2"/>
    <n v="150000"/>
    <x v="21"/>
    <s v="F"/>
    <x v="33"/>
    <x v="1"/>
  </r>
  <r>
    <n v="347767"/>
    <n v="299"/>
    <s v="India"/>
    <d v="2023-09-13T23:41:00"/>
    <x v="3"/>
    <x v="23"/>
    <n v="6931"/>
    <s v="India"/>
    <x v="268"/>
    <x v="155"/>
    <x v="0"/>
    <n v="1000000"/>
    <x v="12"/>
    <s v="M"/>
    <x v="30"/>
    <x v="2"/>
  </r>
  <r>
    <n v="348694"/>
    <n v="1726"/>
    <s v="Spain"/>
    <d v="2023-05-25T02:29:00"/>
    <x v="1"/>
    <x v="48"/>
    <n v="4572"/>
    <s v="Spain"/>
    <x v="262"/>
    <x v="180"/>
    <x v="1"/>
    <n v="100000"/>
    <x v="9"/>
    <s v="F"/>
    <x v="40"/>
    <x v="1"/>
  </r>
  <r>
    <n v="349131"/>
    <n v="1664"/>
    <s v="USA"/>
    <d v="2023-07-08T23:57:00"/>
    <x v="0"/>
    <x v="36"/>
    <n v="7000"/>
    <s v="USA"/>
    <x v="210"/>
    <x v="116"/>
    <x v="0"/>
    <n v="150000"/>
    <x v="10"/>
    <s v="M"/>
    <x v="18"/>
    <x v="1"/>
  </r>
  <r>
    <n v="350253"/>
    <n v="1752"/>
    <s v="Australia"/>
    <d v="2023-08-18T22:55:00"/>
    <x v="0"/>
    <x v="7"/>
    <n v="9824"/>
    <s v="Australia"/>
    <x v="150"/>
    <x v="125"/>
    <x v="1"/>
    <n v="150000"/>
    <x v="7"/>
    <s v="F"/>
    <x v="63"/>
    <x v="1"/>
  </r>
  <r>
    <n v="352076"/>
    <n v="393"/>
    <s v="India"/>
    <d v="2023-03-26T23:56:00"/>
    <x v="3"/>
    <x v="38"/>
    <n v="4290"/>
    <s v="India"/>
    <x v="132"/>
    <x v="138"/>
    <x v="2"/>
    <n v="100000"/>
    <x v="22"/>
    <s v="F"/>
    <x v="11"/>
    <x v="2"/>
  </r>
  <r>
    <n v="353096"/>
    <n v="1590"/>
    <s v="Singapore"/>
    <d v="2023-07-17T00:46:00"/>
    <x v="2"/>
    <x v="39"/>
    <n v="8163"/>
    <s v="Singapore"/>
    <x v="212"/>
    <x v="77"/>
    <x v="3"/>
    <n v="1000000"/>
    <x v="6"/>
    <s v="M"/>
    <x v="45"/>
    <x v="1"/>
  </r>
  <r>
    <n v="353572"/>
    <n v="1346"/>
    <s v="USA"/>
    <d v="2023-02-24T23:36:00"/>
    <x v="1"/>
    <x v="40"/>
    <n v="4976"/>
    <s v="USA"/>
    <x v="160"/>
    <x v="135"/>
    <x v="2"/>
    <n v="150000"/>
    <x v="2"/>
    <s v="M"/>
    <x v="49"/>
    <x v="3"/>
  </r>
  <r>
    <n v="353582"/>
    <n v="1948"/>
    <s v="USA"/>
    <d v="2023-12-09T23:59:00"/>
    <x v="0"/>
    <x v="77"/>
    <n v="5138"/>
    <s v="USA"/>
    <x v="100"/>
    <x v="181"/>
    <x v="1"/>
    <n v="250000"/>
    <x v="24"/>
    <s v="F"/>
    <x v="33"/>
    <x v="1"/>
  </r>
  <r>
    <n v="354439"/>
    <n v="1014"/>
    <s v="India"/>
    <d v="2023-01-04T00:29:00"/>
    <x v="0"/>
    <x v="84"/>
    <n v="2885"/>
    <s v="India"/>
    <x v="203"/>
    <x v="50"/>
    <x v="2"/>
    <n v="100000"/>
    <x v="3"/>
    <s v="F"/>
    <x v="45"/>
    <x v="3"/>
  </r>
  <r>
    <n v="354532"/>
    <n v="419"/>
    <s v="France"/>
    <d v="2023-11-21T01:00:00"/>
    <x v="3"/>
    <x v="2"/>
    <n v="1673"/>
    <s v="France"/>
    <x v="185"/>
    <x v="168"/>
    <x v="2"/>
    <n v="100000"/>
    <x v="2"/>
    <s v="M"/>
    <x v="50"/>
    <x v="2"/>
  </r>
  <r>
    <n v="356612"/>
    <n v="1636"/>
    <s v="Austria"/>
    <d v="2023-11-30T00:24:00"/>
    <x v="1"/>
    <x v="41"/>
    <n v="4576"/>
    <s v="Austria"/>
    <x v="26"/>
    <x v="115"/>
    <x v="0"/>
    <n v="100000"/>
    <x v="0"/>
    <s v="F"/>
    <x v="1"/>
    <x v="1"/>
  </r>
  <r>
    <n v="360154"/>
    <n v="638"/>
    <s v="France"/>
    <d v="2023-05-24T00:50:00"/>
    <x v="0"/>
    <x v="23"/>
    <n v="9618"/>
    <s v="France"/>
    <x v="164"/>
    <x v="0"/>
    <x v="0"/>
    <n v="1000000"/>
    <x v="12"/>
    <s v="M"/>
    <x v="48"/>
    <x v="0"/>
  </r>
  <r>
    <n v="361590"/>
    <n v="1452"/>
    <s v="France"/>
    <d v="2023-10-24T23:19:00"/>
    <x v="1"/>
    <x v="42"/>
    <n v="2425"/>
    <s v="France"/>
    <x v="52"/>
    <x v="24"/>
    <x v="0"/>
    <n v="200000"/>
    <x v="14"/>
    <s v="F"/>
    <x v="13"/>
    <x v="3"/>
  </r>
  <r>
    <n v="361964"/>
    <n v="147"/>
    <s v="USA"/>
    <d v="2023-02-20T00:36:00"/>
    <x v="3"/>
    <x v="18"/>
    <n v="2602"/>
    <s v="USA"/>
    <x v="31"/>
    <x v="120"/>
    <x v="2"/>
    <n v="100000"/>
    <x v="5"/>
    <s v="F"/>
    <x v="3"/>
    <x v="2"/>
  </r>
  <r>
    <n v="362049"/>
    <n v="1594"/>
    <s v="Australia"/>
    <d v="2023-02-26T01:29:00"/>
    <x v="0"/>
    <x v="11"/>
    <n v="4382"/>
    <s v="Australia"/>
    <x v="269"/>
    <x v="103"/>
    <x v="1"/>
    <n v="150000"/>
    <x v="1"/>
    <s v="M"/>
    <x v="18"/>
    <x v="1"/>
  </r>
  <r>
    <n v="363155"/>
    <n v="416"/>
    <s v="India"/>
    <d v="2023-01-19T00:56:00"/>
    <x v="1"/>
    <x v="8"/>
    <n v="3033"/>
    <s v="India"/>
    <x v="18"/>
    <x v="150"/>
    <x v="1"/>
    <n v="150000"/>
    <x v="8"/>
    <s v="F"/>
    <x v="71"/>
    <x v="2"/>
  </r>
  <r>
    <n v="363439"/>
    <n v="1150"/>
    <s v="USA"/>
    <d v="2023-07-13T23:48:00"/>
    <x v="2"/>
    <x v="25"/>
    <n v="8067"/>
    <s v="USA"/>
    <x v="50"/>
    <x v="153"/>
    <x v="1"/>
    <n v="150000"/>
    <x v="17"/>
    <s v="M"/>
    <x v="55"/>
    <x v="3"/>
  </r>
  <r>
    <n v="363764"/>
    <n v="927"/>
    <s v="India"/>
    <d v="2023-06-20T00:23:00"/>
    <x v="2"/>
    <x v="20"/>
    <n v="6014"/>
    <s v="India"/>
    <x v="168"/>
    <x v="6"/>
    <x v="1"/>
    <n v="200000"/>
    <x v="17"/>
    <s v="M"/>
    <x v="55"/>
    <x v="0"/>
  </r>
  <r>
    <n v="364332"/>
    <n v="1169"/>
    <s v="France"/>
    <d v="2023-02-24T01:00:00"/>
    <x v="0"/>
    <x v="82"/>
    <n v="6539"/>
    <s v="France"/>
    <x v="160"/>
    <x v="168"/>
    <x v="2"/>
    <n v="100000"/>
    <x v="19"/>
    <s v="M"/>
    <x v="47"/>
    <x v="3"/>
  </r>
  <r>
    <n v="365101"/>
    <n v="1475"/>
    <s v="Spain"/>
    <d v="2023-02-14T23:04:00"/>
    <x v="3"/>
    <x v="4"/>
    <n v="433"/>
    <s v="Spain"/>
    <x v="157"/>
    <x v="182"/>
    <x v="0"/>
    <n v="200000"/>
    <x v="4"/>
    <s v="F"/>
    <x v="5"/>
    <x v="3"/>
  </r>
  <r>
    <n v="365117"/>
    <n v="1415"/>
    <s v="France"/>
    <d v="2023-05-17T23:32:00"/>
    <x v="3"/>
    <x v="86"/>
    <n v="5905"/>
    <s v="France"/>
    <x v="46"/>
    <x v="91"/>
    <x v="0"/>
    <n v="150000"/>
    <x v="11"/>
    <s v="F"/>
    <x v="37"/>
    <x v="3"/>
  </r>
  <r>
    <n v="365718"/>
    <n v="1080"/>
    <s v="India"/>
    <d v="2023-09-28T22:47:00"/>
    <x v="2"/>
    <x v="39"/>
    <n v="5697"/>
    <s v="India"/>
    <x v="270"/>
    <x v="165"/>
    <x v="3"/>
    <n v="1000000"/>
    <x v="6"/>
    <s v="M"/>
    <x v="61"/>
    <x v="3"/>
  </r>
  <r>
    <n v="366083"/>
    <n v="1680"/>
    <s v="USA"/>
    <d v="2023-02-15T01:12:00"/>
    <x v="0"/>
    <x v="87"/>
    <n v="8672"/>
    <s v="USA"/>
    <x v="146"/>
    <x v="52"/>
    <x v="0"/>
    <n v="100000"/>
    <x v="16"/>
    <s v="M"/>
    <x v="10"/>
    <x v="1"/>
  </r>
  <r>
    <n v="366394"/>
    <n v="1048"/>
    <s v="India"/>
    <d v="2023-09-01T00:45:00"/>
    <x v="0"/>
    <x v="23"/>
    <n v="3380"/>
    <s v="India"/>
    <x v="271"/>
    <x v="29"/>
    <x v="0"/>
    <n v="1000000"/>
    <x v="12"/>
    <s v="F"/>
    <x v="47"/>
    <x v="3"/>
  </r>
  <r>
    <n v="366719"/>
    <n v="1505"/>
    <s v="USA"/>
    <d v="2023-03-04T23:03:00"/>
    <x v="0"/>
    <x v="32"/>
    <n v="7878"/>
    <s v="USA"/>
    <x v="272"/>
    <x v="183"/>
    <x v="4"/>
    <n v="100000"/>
    <x v="23"/>
    <s v="M"/>
    <x v="68"/>
    <x v="1"/>
  </r>
  <r>
    <n v="367308"/>
    <n v="1355"/>
    <s v="Spain"/>
    <d v="2023-01-15T02:22:00"/>
    <x v="0"/>
    <x v="30"/>
    <n v="6648"/>
    <s v="Spain"/>
    <x v="161"/>
    <x v="41"/>
    <x v="2"/>
    <n v="150000"/>
    <x v="21"/>
    <s v="M"/>
    <x v="69"/>
    <x v="3"/>
  </r>
  <r>
    <n v="368229"/>
    <n v="1318"/>
    <s v="USA"/>
    <d v="2023-11-19T23:37:00"/>
    <x v="3"/>
    <x v="23"/>
    <n v="4702"/>
    <s v="USA"/>
    <x v="249"/>
    <x v="78"/>
    <x v="0"/>
    <n v="1000000"/>
    <x v="12"/>
    <s v="M"/>
    <x v="32"/>
    <x v="3"/>
  </r>
  <r>
    <n v="368675"/>
    <n v="1109"/>
    <s v="India"/>
    <d v="2023-10-17T23:44:00"/>
    <x v="2"/>
    <x v="48"/>
    <n v="6922"/>
    <s v="India"/>
    <x v="152"/>
    <x v="146"/>
    <x v="1"/>
    <n v="100000"/>
    <x v="9"/>
    <s v="F"/>
    <x v="46"/>
    <x v="3"/>
  </r>
  <r>
    <n v="369020"/>
    <n v="1740"/>
    <s v="USA"/>
    <d v="2023-09-20T01:03:00"/>
    <x v="2"/>
    <x v="36"/>
    <n v="8651"/>
    <s v="USA"/>
    <x v="273"/>
    <x v="130"/>
    <x v="0"/>
    <n v="150000"/>
    <x v="10"/>
    <s v="F"/>
    <x v="5"/>
    <x v="1"/>
  </r>
  <r>
    <n v="369311"/>
    <n v="1985"/>
    <s v="France"/>
    <d v="2023-11-29T01:21:00"/>
    <x v="1"/>
    <x v="7"/>
    <n v="5332"/>
    <s v="France"/>
    <x v="178"/>
    <x v="128"/>
    <x v="1"/>
    <n v="150000"/>
    <x v="7"/>
    <s v="M"/>
    <x v="22"/>
    <x v="1"/>
  </r>
  <r>
    <n v="370729"/>
    <n v="1170"/>
    <s v="Germany"/>
    <d v="2023-02-25T02:00:00"/>
    <x v="3"/>
    <x v="38"/>
    <n v="2725"/>
    <s v="Germany"/>
    <x v="84"/>
    <x v="23"/>
    <x v="2"/>
    <n v="100000"/>
    <x v="22"/>
    <s v="F"/>
    <x v="48"/>
    <x v="3"/>
  </r>
  <r>
    <n v="372217"/>
    <n v="43"/>
    <s v="Singapore"/>
    <d v="2023-09-19T23:19:00"/>
    <x v="0"/>
    <x v="39"/>
    <n v="6713"/>
    <s v="Singapore"/>
    <x v="274"/>
    <x v="24"/>
    <x v="3"/>
    <n v="1000000"/>
    <x v="6"/>
    <s v="F"/>
    <x v="39"/>
    <x v="2"/>
  </r>
  <r>
    <n v="373284"/>
    <n v="879"/>
    <s v="USA"/>
    <d v="2023-01-24T22:51:00"/>
    <x v="2"/>
    <x v="40"/>
    <n v="4368"/>
    <s v="USA"/>
    <x v="275"/>
    <x v="184"/>
    <x v="2"/>
    <n v="150000"/>
    <x v="2"/>
    <s v="F"/>
    <x v="41"/>
    <x v="0"/>
  </r>
  <r>
    <n v="373452"/>
    <n v="1209"/>
    <s v="Finland"/>
    <d v="2023-07-28T22:12:00"/>
    <x v="0"/>
    <x v="77"/>
    <n v="8190"/>
    <s v="Finland"/>
    <x v="209"/>
    <x v="185"/>
    <x v="1"/>
    <n v="250000"/>
    <x v="24"/>
    <s v="M"/>
    <x v="4"/>
    <x v="3"/>
  </r>
  <r>
    <n v="373612"/>
    <n v="1567"/>
    <s v="USA"/>
    <d v="2023-05-20T23:34:00"/>
    <x v="3"/>
    <x v="10"/>
    <n v="9653"/>
    <s v="USA"/>
    <x v="125"/>
    <x v="99"/>
    <x v="0"/>
    <n v="250000"/>
    <x v="10"/>
    <s v="M"/>
    <x v="5"/>
    <x v="1"/>
  </r>
  <r>
    <n v="374946"/>
    <n v="931"/>
    <s v="USA"/>
    <d v="2023-09-17T00:38:00"/>
    <x v="1"/>
    <x v="2"/>
    <n v="8553"/>
    <s v="USA"/>
    <x v="213"/>
    <x v="162"/>
    <x v="2"/>
    <n v="100000"/>
    <x v="2"/>
    <s v="F"/>
    <x v="30"/>
    <x v="0"/>
  </r>
  <r>
    <n v="375276"/>
    <n v="1524"/>
    <s v="France"/>
    <d v="2023-04-21T01:16:00"/>
    <x v="3"/>
    <x v="41"/>
    <n v="4766"/>
    <s v="France"/>
    <x v="276"/>
    <x v="84"/>
    <x v="0"/>
    <n v="100000"/>
    <x v="0"/>
    <s v="F"/>
    <x v="21"/>
    <x v="1"/>
  </r>
  <r>
    <n v="375561"/>
    <n v="599"/>
    <s v="Australia"/>
    <d v="2023-12-29T00:24:00"/>
    <x v="3"/>
    <x v="4"/>
    <n v="3609"/>
    <s v="Australia"/>
    <x v="277"/>
    <x v="115"/>
    <x v="0"/>
    <n v="200000"/>
    <x v="4"/>
    <s v="F"/>
    <x v="24"/>
    <x v="0"/>
  </r>
  <r>
    <n v="376848"/>
    <n v="1893"/>
    <s v="Australia"/>
    <d v="2023-06-21T00:44:00"/>
    <x v="1"/>
    <x v="42"/>
    <n v="2298"/>
    <s v="Australia"/>
    <x v="240"/>
    <x v="85"/>
    <x v="0"/>
    <n v="200000"/>
    <x v="14"/>
    <s v="M"/>
    <x v="59"/>
    <x v="1"/>
  </r>
  <r>
    <n v="378945"/>
    <n v="1964"/>
    <s v="Spain"/>
    <d v="2023-08-01T23:39:00"/>
    <x v="0"/>
    <x v="18"/>
    <n v="2444"/>
    <s v="Spain"/>
    <x v="238"/>
    <x v="101"/>
    <x v="2"/>
    <n v="100000"/>
    <x v="5"/>
    <s v="F"/>
    <x v="24"/>
    <x v="1"/>
  </r>
  <r>
    <n v="379416"/>
    <n v="1873"/>
    <s v="Australia"/>
    <d v="2023-05-27T00:25:00"/>
    <x v="0"/>
    <x v="77"/>
    <n v="7996"/>
    <s v="Australia"/>
    <x v="278"/>
    <x v="148"/>
    <x v="1"/>
    <n v="250000"/>
    <x v="24"/>
    <s v="F"/>
    <x v="1"/>
    <x v="1"/>
  </r>
  <r>
    <n v="380866"/>
    <n v="202"/>
    <s v="USA"/>
    <d v="2023-12-31T01:02:00"/>
    <x v="0"/>
    <x v="46"/>
    <n v="526"/>
    <s v="USA"/>
    <x v="279"/>
    <x v="186"/>
    <x v="1"/>
    <n v="30000"/>
    <x v="26"/>
    <s v="M"/>
    <x v="46"/>
    <x v="2"/>
  </r>
  <r>
    <n v="381897"/>
    <n v="1314"/>
    <s v="USA"/>
    <d v="2023-07-13T23:53:00"/>
    <x v="1"/>
    <x v="1"/>
    <n v="3916"/>
    <s v="USA"/>
    <x v="50"/>
    <x v="187"/>
    <x v="1"/>
    <n v="200000"/>
    <x v="1"/>
    <s v="F"/>
    <x v="46"/>
    <x v="3"/>
  </r>
  <r>
    <n v="382563"/>
    <n v="1070"/>
    <s v="Singapore"/>
    <d v="2023-10-16T01:22:00"/>
    <x v="2"/>
    <x v="42"/>
    <n v="471"/>
    <s v="Singapore"/>
    <x v="114"/>
    <x v="142"/>
    <x v="0"/>
    <n v="200000"/>
    <x v="14"/>
    <s v="F"/>
    <x v="52"/>
    <x v="3"/>
  </r>
  <r>
    <n v="382755"/>
    <n v="777"/>
    <s v="USA"/>
    <d v="2023-07-31T23:14:00"/>
    <x v="3"/>
    <x v="78"/>
    <n v="1008"/>
    <s v="USA"/>
    <x v="25"/>
    <x v="70"/>
    <x v="0"/>
    <n v="100000"/>
    <x v="12"/>
    <s v="M"/>
    <x v="62"/>
    <x v="0"/>
  </r>
  <r>
    <n v="383194"/>
    <n v="1167"/>
    <s v="USA"/>
    <d v="2023-05-29T22:43:00"/>
    <x v="1"/>
    <x v="13"/>
    <n v="6812"/>
    <s v="USA"/>
    <x v="42"/>
    <x v="188"/>
    <x v="0"/>
    <n v="100000"/>
    <x v="12"/>
    <s v="M"/>
    <x v="61"/>
    <x v="3"/>
  </r>
  <r>
    <n v="383311"/>
    <n v="1257"/>
    <s v="USA"/>
    <d v="2023-08-16T23:53:00"/>
    <x v="1"/>
    <x v="7"/>
    <n v="362"/>
    <s v="USA"/>
    <x v="280"/>
    <x v="187"/>
    <x v="1"/>
    <n v="150000"/>
    <x v="7"/>
    <s v="M"/>
    <x v="45"/>
    <x v="3"/>
  </r>
  <r>
    <n v="383781"/>
    <n v="333"/>
    <s v="Germany"/>
    <d v="2023-12-14T01:23:00"/>
    <x v="2"/>
    <x v="40"/>
    <n v="75"/>
    <s v="Germany"/>
    <x v="94"/>
    <x v="83"/>
    <x v="2"/>
    <n v="150000"/>
    <x v="2"/>
    <s v="M"/>
    <x v="64"/>
    <x v="2"/>
  </r>
  <r>
    <n v="384942"/>
    <n v="1938"/>
    <s v="USA"/>
    <d v="2023-10-05T23:20:00"/>
    <x v="0"/>
    <x v="74"/>
    <n v="5617"/>
    <s v="USA"/>
    <x v="75"/>
    <x v="27"/>
    <x v="1"/>
    <n v="200000"/>
    <x v="18"/>
    <s v="M"/>
    <x v="41"/>
    <x v="1"/>
  </r>
  <r>
    <n v="385164"/>
    <n v="1569"/>
    <s v="Spain"/>
    <d v="2023-05-24T00:33:00"/>
    <x v="0"/>
    <x v="23"/>
    <n v="6376"/>
    <s v="Spain"/>
    <x v="164"/>
    <x v="53"/>
    <x v="0"/>
    <n v="1000000"/>
    <x v="12"/>
    <s v="F"/>
    <x v="1"/>
    <x v="1"/>
  </r>
  <r>
    <n v="385361"/>
    <n v="565"/>
    <s v="France"/>
    <d v="2023-11-19T23:24:00"/>
    <x v="3"/>
    <x v="55"/>
    <n v="9005"/>
    <s v="France"/>
    <x v="249"/>
    <x v="56"/>
    <x v="2"/>
    <n v="80000"/>
    <x v="27"/>
    <s v="M"/>
    <x v="14"/>
    <x v="0"/>
  </r>
  <r>
    <n v="386283"/>
    <n v="190"/>
    <s v="France"/>
    <d v="2023-02-06T23:45:00"/>
    <x v="3"/>
    <x v="83"/>
    <n v="8183"/>
    <s v="France"/>
    <x v="49"/>
    <x v="164"/>
    <x v="2"/>
    <n v="100000"/>
    <x v="19"/>
    <s v="M"/>
    <x v="37"/>
    <x v="2"/>
  </r>
  <r>
    <n v="386673"/>
    <n v="302"/>
    <s v="Germany"/>
    <d v="2023-05-31T01:58:00"/>
    <x v="3"/>
    <x v="22"/>
    <n v="1947"/>
    <s v="Germany"/>
    <x v="179"/>
    <x v="157"/>
    <x v="3"/>
    <n v="100000"/>
    <x v="13"/>
    <s v="F"/>
    <x v="3"/>
    <x v="2"/>
  </r>
  <r>
    <n v="386885"/>
    <n v="1647"/>
    <s v="USA"/>
    <d v="2023-03-06T00:29:00"/>
    <x v="3"/>
    <x v="70"/>
    <n v="9165"/>
    <s v="USA"/>
    <x v="281"/>
    <x v="50"/>
    <x v="3"/>
    <n v="150000"/>
    <x v="29"/>
    <s v="F"/>
    <x v="13"/>
    <x v="1"/>
  </r>
  <r>
    <n v="387103"/>
    <n v="762"/>
    <s v="Denmark"/>
    <d v="2023-05-31T00:25:00"/>
    <x v="2"/>
    <x v="84"/>
    <n v="1379"/>
    <s v="Denmark"/>
    <x v="179"/>
    <x v="148"/>
    <x v="2"/>
    <n v="100000"/>
    <x v="3"/>
    <s v="F"/>
    <x v="29"/>
    <x v="0"/>
  </r>
  <r>
    <n v="388268"/>
    <n v="217"/>
    <s v="USA"/>
    <d v="2023-10-21T00:48:00"/>
    <x v="3"/>
    <x v="65"/>
    <n v="1780"/>
    <s v="USA"/>
    <x v="96"/>
    <x v="88"/>
    <x v="4"/>
    <n v="250000"/>
    <x v="28"/>
    <s v="F"/>
    <x v="52"/>
    <x v="2"/>
  </r>
  <r>
    <n v="389519"/>
    <n v="336"/>
    <s v="Spain"/>
    <d v="2023-11-19T01:52:00"/>
    <x v="3"/>
    <x v="85"/>
    <n v="5243"/>
    <s v="Spain"/>
    <x v="249"/>
    <x v="179"/>
    <x v="2"/>
    <n v="150000"/>
    <x v="21"/>
    <s v="F"/>
    <x v="47"/>
    <x v="2"/>
  </r>
  <r>
    <n v="389648"/>
    <n v="1360"/>
    <s v="Spain"/>
    <d v="2023-01-14T00:17:00"/>
    <x v="3"/>
    <x v="23"/>
    <n v="6153"/>
    <s v="Spain"/>
    <x v="170"/>
    <x v="20"/>
    <x v="0"/>
    <n v="1000000"/>
    <x v="12"/>
    <s v="F"/>
    <x v="28"/>
    <x v="3"/>
  </r>
  <r>
    <n v="389725"/>
    <n v="487"/>
    <s v="Australia"/>
    <d v="2023-11-07T01:47:00"/>
    <x v="1"/>
    <x v="21"/>
    <n v="206"/>
    <s v="Australia"/>
    <x v="91"/>
    <x v="189"/>
    <x v="0"/>
    <n v="100000"/>
    <x v="4"/>
    <s v="F"/>
    <x v="49"/>
    <x v="2"/>
  </r>
  <r>
    <n v="390345"/>
    <n v="245"/>
    <s v="India"/>
    <d v="2023-07-13T00:26:00"/>
    <x v="1"/>
    <x v="45"/>
    <n v="4767"/>
    <s v="India"/>
    <x v="50"/>
    <x v="151"/>
    <x v="4"/>
    <n v="100000"/>
    <x v="25"/>
    <s v="M"/>
    <x v="42"/>
    <x v="2"/>
  </r>
  <r>
    <n v="390509"/>
    <n v="11"/>
    <s v="USA"/>
    <d v="2023-08-09T00:58:00"/>
    <x v="0"/>
    <x v="1"/>
    <n v="2754"/>
    <s v="USA"/>
    <x v="282"/>
    <x v="28"/>
    <x v="1"/>
    <n v="200000"/>
    <x v="1"/>
    <s v="F"/>
    <x v="43"/>
    <x v="2"/>
  </r>
  <r>
    <n v="390821"/>
    <n v="291"/>
    <s v="India"/>
    <d v="2023-05-10T01:04:00"/>
    <x v="2"/>
    <x v="3"/>
    <n v="2140"/>
    <s v="India"/>
    <x v="51"/>
    <x v="121"/>
    <x v="2"/>
    <n v="150000"/>
    <x v="3"/>
    <s v="F"/>
    <x v="60"/>
    <x v="2"/>
  </r>
  <r>
    <n v="391564"/>
    <n v="926"/>
    <s v="USA"/>
    <d v="2023-05-03T23:32:00"/>
    <x v="0"/>
    <x v="23"/>
    <n v="3051"/>
    <s v="USA"/>
    <x v="141"/>
    <x v="91"/>
    <x v="0"/>
    <n v="1000000"/>
    <x v="12"/>
    <s v="F"/>
    <x v="11"/>
    <x v="0"/>
  </r>
  <r>
    <n v="391706"/>
    <n v="1840"/>
    <s v="USA"/>
    <d v="2023-02-14T23:03:00"/>
    <x v="3"/>
    <x v="61"/>
    <n v="5396"/>
    <s v="USA"/>
    <x v="157"/>
    <x v="183"/>
    <x v="4"/>
    <n v="200000"/>
    <x v="28"/>
    <s v="M"/>
    <x v="69"/>
    <x v="1"/>
  </r>
  <r>
    <n v="391963"/>
    <n v="1885"/>
    <s v="Austria"/>
    <d v="2023-11-10T23:17:00"/>
    <x v="2"/>
    <x v="19"/>
    <n v="856"/>
    <s v="Austria"/>
    <x v="283"/>
    <x v="190"/>
    <x v="0"/>
    <n v="150000"/>
    <x v="16"/>
    <s v="F"/>
    <x v="18"/>
    <x v="1"/>
  </r>
  <r>
    <n v="393726"/>
    <n v="1676"/>
    <s v="Austria"/>
    <d v="2023-03-29T23:56:00"/>
    <x v="2"/>
    <x v="86"/>
    <n v="2852"/>
    <s v="Austria"/>
    <x v="284"/>
    <x v="138"/>
    <x v="0"/>
    <n v="150000"/>
    <x v="11"/>
    <s v="M"/>
    <x v="5"/>
    <x v="1"/>
  </r>
  <r>
    <n v="393917"/>
    <n v="359"/>
    <s v="France"/>
    <d v="2023-06-28T00:50:00"/>
    <x v="3"/>
    <x v="19"/>
    <n v="2533"/>
    <s v="France"/>
    <x v="285"/>
    <x v="0"/>
    <x v="0"/>
    <n v="150000"/>
    <x v="16"/>
    <s v="F"/>
    <x v="2"/>
    <x v="2"/>
  </r>
  <r>
    <n v="394768"/>
    <n v="224"/>
    <s v="India"/>
    <d v="2023-12-29T23:26:00"/>
    <x v="1"/>
    <x v="88"/>
    <n v="3458"/>
    <s v="India"/>
    <x v="277"/>
    <x v="191"/>
    <x v="3"/>
    <n v="30000"/>
    <x v="29"/>
    <s v="M"/>
    <x v="71"/>
    <x v="2"/>
  </r>
  <r>
    <n v="394773"/>
    <n v="1474"/>
    <s v="USA"/>
    <d v="2023-11-01T00:44:00"/>
    <x v="1"/>
    <x v="50"/>
    <n v="9148"/>
    <s v="USA"/>
    <x v="172"/>
    <x v="85"/>
    <x v="2"/>
    <n v="100000"/>
    <x v="27"/>
    <s v="M"/>
    <x v="5"/>
    <x v="3"/>
  </r>
  <r>
    <n v="394904"/>
    <n v="1620"/>
    <s v="USA"/>
    <d v="2023-10-07T01:42:00"/>
    <x v="3"/>
    <x v="16"/>
    <n v="3234"/>
    <s v="USA"/>
    <x v="286"/>
    <x v="14"/>
    <x v="4"/>
    <n v="150000"/>
    <x v="15"/>
    <s v="F"/>
    <x v="57"/>
    <x v="1"/>
  </r>
  <r>
    <n v="394940"/>
    <n v="1815"/>
    <s v="Austria"/>
    <d v="2023-10-31T00:59:00"/>
    <x v="1"/>
    <x v="37"/>
    <n v="4437"/>
    <s v="Austria"/>
    <x v="287"/>
    <x v="192"/>
    <x v="3"/>
    <n v="150000"/>
    <x v="6"/>
    <s v="M"/>
    <x v="64"/>
    <x v="1"/>
  </r>
  <r>
    <n v="395235"/>
    <n v="869"/>
    <s v="Austria"/>
    <d v="2023-10-06T00:00:00"/>
    <x v="0"/>
    <x v="51"/>
    <n v="6921"/>
    <s v="Austria"/>
    <x v="45"/>
    <x v="126"/>
    <x v="2"/>
    <n v="100000"/>
    <x v="22"/>
    <s v="F"/>
    <x v="72"/>
    <x v="0"/>
  </r>
  <r>
    <n v="396045"/>
    <n v="892"/>
    <s v="USA"/>
    <d v="2023-05-13T00:44:00"/>
    <x v="1"/>
    <x v="52"/>
    <n v="4913"/>
    <s v="USA"/>
    <x v="99"/>
    <x v="85"/>
    <x v="4"/>
    <n v="50000"/>
    <x v="23"/>
    <s v="F"/>
    <x v="6"/>
    <x v="0"/>
  </r>
  <r>
    <n v="396103"/>
    <n v="1588"/>
    <s v="France"/>
    <d v="2023-12-15T01:23:00"/>
    <x v="2"/>
    <x v="66"/>
    <n v="3558"/>
    <s v="France"/>
    <x v="0"/>
    <x v="83"/>
    <x v="1"/>
    <n v="100000"/>
    <x v="8"/>
    <s v="M"/>
    <x v="8"/>
    <x v="1"/>
  </r>
  <r>
    <n v="396352"/>
    <n v="965"/>
    <s v="Australia"/>
    <d v="2023-06-13T01:46:00"/>
    <x v="3"/>
    <x v="44"/>
    <n v="6855"/>
    <s v="Australia"/>
    <x v="252"/>
    <x v="129"/>
    <x v="0"/>
    <n v="100000"/>
    <x v="12"/>
    <s v="F"/>
    <x v="63"/>
    <x v="0"/>
  </r>
  <r>
    <n v="396721"/>
    <n v="410"/>
    <s v="India"/>
    <d v="2023-09-23T22:45:00"/>
    <x v="3"/>
    <x v="55"/>
    <n v="3567"/>
    <s v="India"/>
    <x v="71"/>
    <x v="193"/>
    <x v="2"/>
    <n v="80000"/>
    <x v="27"/>
    <s v="F"/>
    <x v="36"/>
    <x v="2"/>
  </r>
  <r>
    <n v="397428"/>
    <n v="576"/>
    <s v="USA"/>
    <d v="2023-05-10T23:04:00"/>
    <x v="3"/>
    <x v="61"/>
    <n v="1426"/>
    <s v="USA"/>
    <x v="51"/>
    <x v="182"/>
    <x v="4"/>
    <n v="200000"/>
    <x v="28"/>
    <s v="M"/>
    <x v="59"/>
    <x v="0"/>
  </r>
  <r>
    <n v="397931"/>
    <n v="1062"/>
    <s v="India"/>
    <d v="2023-07-24T00:23:00"/>
    <x v="3"/>
    <x v="23"/>
    <n v="8407"/>
    <s v="India"/>
    <x v="200"/>
    <x v="6"/>
    <x v="0"/>
    <n v="1000000"/>
    <x v="12"/>
    <s v="F"/>
    <x v="17"/>
    <x v="3"/>
  </r>
  <r>
    <n v="400062"/>
    <n v="1054"/>
    <s v="India"/>
    <d v="2023-09-03T23:17:00"/>
    <x v="0"/>
    <x v="41"/>
    <n v="1436"/>
    <s v="India"/>
    <x v="232"/>
    <x v="190"/>
    <x v="0"/>
    <n v="100000"/>
    <x v="0"/>
    <s v="M"/>
    <x v="46"/>
    <x v="3"/>
  </r>
  <r>
    <n v="400313"/>
    <n v="899"/>
    <s v="USA"/>
    <d v="2023-04-18T00:43:00"/>
    <x v="1"/>
    <x v="85"/>
    <n v="6891"/>
    <s v="USA"/>
    <x v="255"/>
    <x v="112"/>
    <x v="2"/>
    <n v="150000"/>
    <x v="21"/>
    <s v="F"/>
    <x v="21"/>
    <x v="0"/>
  </r>
  <r>
    <n v="400957"/>
    <n v="1746"/>
    <s v="Italy"/>
    <d v="2023-09-01T23:32:00"/>
    <x v="0"/>
    <x v="89"/>
    <n v="382"/>
    <s v="Italy"/>
    <x v="271"/>
    <x v="91"/>
    <x v="4"/>
    <n v="30000"/>
    <x v="23"/>
    <s v="M"/>
    <x v="50"/>
    <x v="1"/>
  </r>
  <r>
    <n v="401745"/>
    <n v="327"/>
    <s v="India"/>
    <d v="2023-06-25T22:55:00"/>
    <x v="1"/>
    <x v="29"/>
    <n v="166"/>
    <s v="India"/>
    <x v="138"/>
    <x v="125"/>
    <x v="3"/>
    <n v="100000"/>
    <x v="13"/>
    <s v="F"/>
    <x v="24"/>
    <x v="2"/>
  </r>
  <r>
    <n v="401879"/>
    <n v="126"/>
    <s v="USA"/>
    <d v="2023-05-06T23:34:00"/>
    <x v="1"/>
    <x v="59"/>
    <n v="1022"/>
    <s v="USA"/>
    <x v="288"/>
    <x v="99"/>
    <x v="1"/>
    <n v="100000"/>
    <x v="1"/>
    <s v="F"/>
    <x v="25"/>
    <x v="2"/>
  </r>
  <r>
    <n v="401887"/>
    <n v="376"/>
    <s v="India"/>
    <d v="2023-02-03T01:12:00"/>
    <x v="1"/>
    <x v="48"/>
    <n v="9941"/>
    <s v="India"/>
    <x v="151"/>
    <x v="52"/>
    <x v="1"/>
    <n v="100000"/>
    <x v="9"/>
    <s v="F"/>
    <x v="20"/>
    <x v="2"/>
  </r>
  <r>
    <n v="402186"/>
    <n v="651"/>
    <s v="USA"/>
    <d v="2023-08-05T00:03:00"/>
    <x v="2"/>
    <x v="90"/>
    <n v="8800"/>
    <s v="USA"/>
    <x v="188"/>
    <x v="72"/>
    <x v="1"/>
    <n v="50000"/>
    <x v="18"/>
    <s v="F"/>
    <x v="57"/>
    <x v="0"/>
  </r>
  <r>
    <n v="402508"/>
    <n v="155"/>
    <s v="India"/>
    <d v="2023-10-20T01:40:00"/>
    <x v="2"/>
    <x v="49"/>
    <n v="8064"/>
    <s v="India"/>
    <x v="55"/>
    <x v="76"/>
    <x v="0"/>
    <n v="100000"/>
    <x v="10"/>
    <s v="M"/>
    <x v="72"/>
    <x v="2"/>
  </r>
  <r>
    <n v="403651"/>
    <n v="1700"/>
    <s v="USA"/>
    <d v="2023-07-17T00:38:00"/>
    <x v="0"/>
    <x v="60"/>
    <n v="8812"/>
    <s v="USA"/>
    <x v="212"/>
    <x v="162"/>
    <x v="1"/>
    <n v="100000"/>
    <x v="26"/>
    <s v="M"/>
    <x v="2"/>
    <x v="1"/>
  </r>
  <r>
    <n v="404150"/>
    <n v="1902"/>
    <s v="Austria"/>
    <d v="2023-03-30T00:29:00"/>
    <x v="2"/>
    <x v="23"/>
    <n v="5798"/>
    <s v="Austria"/>
    <x v="101"/>
    <x v="50"/>
    <x v="0"/>
    <n v="1000000"/>
    <x v="12"/>
    <s v="F"/>
    <x v="7"/>
    <x v="1"/>
  </r>
  <r>
    <n v="404700"/>
    <n v="1182"/>
    <s v="USA"/>
    <d v="2023-11-26T22:59:00"/>
    <x v="0"/>
    <x v="1"/>
    <n v="2761"/>
    <s v="USA"/>
    <x v="289"/>
    <x v="25"/>
    <x v="1"/>
    <n v="200000"/>
    <x v="1"/>
    <s v="M"/>
    <x v="40"/>
    <x v="3"/>
  </r>
  <r>
    <n v="405184"/>
    <n v="1848"/>
    <s v="USA"/>
    <d v="2023-03-08T23:05:00"/>
    <x v="0"/>
    <x v="61"/>
    <n v="7111"/>
    <s v="USA"/>
    <x v="5"/>
    <x v="159"/>
    <x v="4"/>
    <n v="200000"/>
    <x v="28"/>
    <s v="M"/>
    <x v="42"/>
    <x v="1"/>
  </r>
  <r>
    <n v="406996"/>
    <n v="1083"/>
    <s v="Spain"/>
    <d v="2023-04-24T23:00:00"/>
    <x v="3"/>
    <x v="70"/>
    <n v="9682"/>
    <s v="Spain"/>
    <x v="290"/>
    <x v="171"/>
    <x v="3"/>
    <n v="150000"/>
    <x v="29"/>
    <s v="F"/>
    <x v="5"/>
    <x v="3"/>
  </r>
  <r>
    <n v="408798"/>
    <n v="1293"/>
    <s v="USA"/>
    <d v="2023-01-31T01:32:00"/>
    <x v="1"/>
    <x v="40"/>
    <n v="9889"/>
    <s v="USA"/>
    <x v="236"/>
    <x v="117"/>
    <x v="2"/>
    <n v="150000"/>
    <x v="2"/>
    <s v="M"/>
    <x v="4"/>
    <x v="3"/>
  </r>
  <r>
    <n v="408889"/>
    <n v="751"/>
    <s v="India"/>
    <d v="2023-02-20T00:01:00"/>
    <x v="3"/>
    <x v="77"/>
    <n v="8398"/>
    <s v="India"/>
    <x v="31"/>
    <x v="63"/>
    <x v="1"/>
    <n v="250000"/>
    <x v="24"/>
    <s v="M"/>
    <x v="43"/>
    <x v="0"/>
  </r>
  <r>
    <n v="410734"/>
    <n v="555"/>
    <s v="USA"/>
    <d v="2023-05-06T01:13:00"/>
    <x v="2"/>
    <x v="84"/>
    <n v="3175"/>
    <s v="USA"/>
    <x v="288"/>
    <x v="32"/>
    <x v="2"/>
    <n v="100000"/>
    <x v="3"/>
    <s v="F"/>
    <x v="70"/>
    <x v="0"/>
  </r>
  <r>
    <n v="411108"/>
    <n v="258"/>
    <s v="India"/>
    <d v="2023-04-01T23:57:00"/>
    <x v="0"/>
    <x v="82"/>
    <n v="4801"/>
    <s v="India"/>
    <x v="219"/>
    <x v="116"/>
    <x v="2"/>
    <n v="100000"/>
    <x v="19"/>
    <s v="F"/>
    <x v="28"/>
    <x v="2"/>
  </r>
  <r>
    <n v="411162"/>
    <n v="433"/>
    <s v="India"/>
    <d v="2023-08-06T00:26:00"/>
    <x v="3"/>
    <x v="4"/>
    <n v="2485"/>
    <s v="India"/>
    <x v="187"/>
    <x v="151"/>
    <x v="0"/>
    <n v="200000"/>
    <x v="4"/>
    <s v="M"/>
    <x v="39"/>
    <x v="2"/>
  </r>
  <r>
    <n v="411449"/>
    <n v="609"/>
    <s v="USA"/>
    <d v="2023-05-01T00:10:00"/>
    <x v="1"/>
    <x v="86"/>
    <n v="4109"/>
    <s v="USA"/>
    <x v="291"/>
    <x v="107"/>
    <x v="0"/>
    <n v="150000"/>
    <x v="11"/>
    <s v="M"/>
    <x v="27"/>
    <x v="0"/>
  </r>
  <r>
    <n v="411916"/>
    <n v="967"/>
    <s v="Australia"/>
    <d v="2023-07-29T00:10:00"/>
    <x v="1"/>
    <x v="39"/>
    <n v="2961"/>
    <s v="Australia"/>
    <x v="154"/>
    <x v="107"/>
    <x v="3"/>
    <n v="1000000"/>
    <x v="6"/>
    <s v="F"/>
    <x v="26"/>
    <x v="0"/>
  </r>
  <r>
    <n v="412386"/>
    <n v="1997"/>
    <s v="Spain"/>
    <d v="2023-07-28T01:59:00"/>
    <x v="3"/>
    <x v="87"/>
    <n v="2004"/>
    <s v="Spain"/>
    <x v="209"/>
    <x v="132"/>
    <x v="0"/>
    <n v="100000"/>
    <x v="16"/>
    <s v="F"/>
    <x v="33"/>
    <x v="1"/>
  </r>
  <r>
    <n v="412431"/>
    <n v="1620"/>
    <s v="USA"/>
    <d v="2023-10-26T23:29:00"/>
    <x v="3"/>
    <x v="74"/>
    <n v="4390"/>
    <s v="USA"/>
    <x v="4"/>
    <x v="71"/>
    <x v="1"/>
    <n v="200000"/>
    <x v="18"/>
    <s v="F"/>
    <x v="57"/>
    <x v="1"/>
  </r>
  <r>
    <n v="413305"/>
    <n v="294"/>
    <s v="France"/>
    <d v="2023-01-17T00:00:00"/>
    <x v="0"/>
    <x v="25"/>
    <n v="39"/>
    <s v="France"/>
    <x v="89"/>
    <x v="126"/>
    <x v="1"/>
    <n v="150000"/>
    <x v="17"/>
    <s v="F"/>
    <x v="35"/>
    <x v="2"/>
  </r>
  <r>
    <n v="413694"/>
    <n v="1551"/>
    <s v="USA"/>
    <d v="2023-05-03T01:16:00"/>
    <x v="0"/>
    <x v="30"/>
    <n v="4835"/>
    <s v="USA"/>
    <x v="141"/>
    <x v="84"/>
    <x v="2"/>
    <n v="150000"/>
    <x v="21"/>
    <s v="M"/>
    <x v="29"/>
    <x v="1"/>
  </r>
  <r>
    <n v="414161"/>
    <n v="1675"/>
    <s v="USA"/>
    <d v="2023-12-27T23:49:00"/>
    <x v="1"/>
    <x v="83"/>
    <n v="3894"/>
    <s v="USA"/>
    <x v="292"/>
    <x v="43"/>
    <x v="2"/>
    <n v="100000"/>
    <x v="19"/>
    <s v="F"/>
    <x v="56"/>
    <x v="1"/>
  </r>
  <r>
    <n v="414191"/>
    <n v="350"/>
    <s v="Germany"/>
    <d v="2023-01-10T23:00:00"/>
    <x v="0"/>
    <x v="36"/>
    <n v="6814"/>
    <s v="Germany"/>
    <x v="293"/>
    <x v="171"/>
    <x v="0"/>
    <n v="150000"/>
    <x v="10"/>
    <s v="F"/>
    <x v="36"/>
    <x v="2"/>
  </r>
  <r>
    <n v="416161"/>
    <n v="1030"/>
    <s v="India"/>
    <d v="2023-02-16T01:13:00"/>
    <x v="2"/>
    <x v="65"/>
    <n v="5555"/>
    <s v="India"/>
    <x v="197"/>
    <x v="32"/>
    <x v="4"/>
    <n v="250000"/>
    <x v="28"/>
    <s v="F"/>
    <x v="17"/>
    <x v="3"/>
  </r>
  <r>
    <n v="417613"/>
    <n v="1547"/>
    <s v="France"/>
    <d v="2023-03-26T01:23:00"/>
    <x v="2"/>
    <x v="22"/>
    <n v="8023"/>
    <s v="France"/>
    <x v="132"/>
    <x v="83"/>
    <x v="3"/>
    <n v="100000"/>
    <x v="13"/>
    <s v="M"/>
    <x v="2"/>
    <x v="1"/>
  </r>
  <r>
    <n v="417779"/>
    <n v="1473"/>
    <s v="USA"/>
    <d v="2023-01-31T00:40:00"/>
    <x v="0"/>
    <x v="39"/>
    <n v="9335"/>
    <s v="USA"/>
    <x v="236"/>
    <x v="51"/>
    <x v="3"/>
    <n v="1000000"/>
    <x v="6"/>
    <s v="F"/>
    <x v="28"/>
    <x v="3"/>
  </r>
  <r>
    <n v="419211"/>
    <n v="1044"/>
    <s v="India"/>
    <d v="2023-03-24T23:50:00"/>
    <x v="0"/>
    <x v="45"/>
    <n v="4918"/>
    <s v="India"/>
    <x v="294"/>
    <x v="194"/>
    <x v="4"/>
    <n v="100000"/>
    <x v="25"/>
    <s v="M"/>
    <x v="47"/>
    <x v="3"/>
  </r>
  <r>
    <n v="419676"/>
    <n v="1259"/>
    <s v="USA"/>
    <d v="2023-05-14T01:40:00"/>
    <x v="1"/>
    <x v="67"/>
    <n v="7702"/>
    <s v="USA"/>
    <x v="173"/>
    <x v="76"/>
    <x v="3"/>
    <n v="150000"/>
    <x v="29"/>
    <s v="M"/>
    <x v="23"/>
    <x v="3"/>
  </r>
  <r>
    <n v="421069"/>
    <n v="440"/>
    <s v="Germany"/>
    <d v="2023-04-30T23:10:00"/>
    <x v="3"/>
    <x v="3"/>
    <n v="1791"/>
    <s v="Germany"/>
    <x v="295"/>
    <x v="176"/>
    <x v="2"/>
    <n v="150000"/>
    <x v="3"/>
    <s v="M"/>
    <x v="69"/>
    <x v="2"/>
  </r>
  <r>
    <n v="421505"/>
    <n v="1088"/>
    <s v="India"/>
    <d v="2023-03-28T01:26:00"/>
    <x v="0"/>
    <x v="23"/>
    <n v="6441"/>
    <s v="India"/>
    <x v="83"/>
    <x v="65"/>
    <x v="0"/>
    <n v="1000000"/>
    <x v="12"/>
    <s v="F"/>
    <x v="54"/>
    <x v="3"/>
  </r>
  <r>
    <n v="422786"/>
    <n v="1530"/>
    <s v="Austria"/>
    <d v="2023-09-26T01:01:00"/>
    <x v="3"/>
    <x v="61"/>
    <n v="642"/>
    <s v="Austria"/>
    <x v="239"/>
    <x v="16"/>
    <x v="4"/>
    <n v="200000"/>
    <x v="28"/>
    <s v="F"/>
    <x v="33"/>
    <x v="1"/>
  </r>
  <r>
    <n v="423114"/>
    <n v="1201"/>
    <s v="France"/>
    <d v="2023-02-26T23:50:00"/>
    <x v="2"/>
    <x v="20"/>
    <n v="6057"/>
    <s v="France"/>
    <x v="269"/>
    <x v="194"/>
    <x v="1"/>
    <n v="200000"/>
    <x v="17"/>
    <s v="M"/>
    <x v="20"/>
    <x v="3"/>
  </r>
  <r>
    <n v="423933"/>
    <n v="703"/>
    <s v="USA"/>
    <d v="2023-03-22T01:31:00"/>
    <x v="1"/>
    <x v="66"/>
    <n v="4027"/>
    <s v="USA"/>
    <x v="296"/>
    <x v="177"/>
    <x v="1"/>
    <n v="100000"/>
    <x v="8"/>
    <s v="M"/>
    <x v="58"/>
    <x v="0"/>
  </r>
  <r>
    <n v="424079"/>
    <n v="1816"/>
    <s v="Spain"/>
    <d v="2023-12-03T00:09:00"/>
    <x v="3"/>
    <x v="67"/>
    <n v="9152"/>
    <s v="Spain"/>
    <x v="201"/>
    <x v="81"/>
    <x v="3"/>
    <n v="150000"/>
    <x v="29"/>
    <s v="M"/>
    <x v="21"/>
    <x v="1"/>
  </r>
  <r>
    <n v="424517"/>
    <n v="870"/>
    <s v="India"/>
    <d v="2023-01-08T00:38:00"/>
    <x v="3"/>
    <x v="39"/>
    <n v="2515"/>
    <s v="India"/>
    <x v="297"/>
    <x v="162"/>
    <x v="3"/>
    <n v="1000000"/>
    <x v="6"/>
    <s v="M"/>
    <x v="48"/>
    <x v="0"/>
  </r>
  <r>
    <n v="425030"/>
    <n v="1231"/>
    <s v="Austria"/>
    <d v="2023-02-27T01:24:00"/>
    <x v="1"/>
    <x v="41"/>
    <n v="5268"/>
    <s v="Austria"/>
    <x v="298"/>
    <x v="124"/>
    <x v="0"/>
    <n v="100000"/>
    <x v="0"/>
    <s v="M"/>
    <x v="69"/>
    <x v="3"/>
  </r>
  <r>
    <n v="425321"/>
    <n v="117"/>
    <s v="India"/>
    <d v="2023-08-13T01:25:00"/>
    <x v="0"/>
    <x v="54"/>
    <n v="4727"/>
    <s v="India"/>
    <x v="186"/>
    <x v="195"/>
    <x v="1"/>
    <n v="80000"/>
    <x v="17"/>
    <s v="F"/>
    <x v="9"/>
    <x v="2"/>
  </r>
  <r>
    <n v="425554"/>
    <n v="1363"/>
    <s v="France"/>
    <d v="2023-09-02T23:27:00"/>
    <x v="2"/>
    <x v="63"/>
    <n v="6327"/>
    <s v="France"/>
    <x v="204"/>
    <x v="79"/>
    <x v="0"/>
    <n v="100000"/>
    <x v="16"/>
    <s v="F"/>
    <x v="49"/>
    <x v="3"/>
  </r>
  <r>
    <n v="425673"/>
    <n v="1058"/>
    <s v="India"/>
    <d v="2023-09-27T00:44:00"/>
    <x v="2"/>
    <x v="7"/>
    <n v="491"/>
    <s v="India"/>
    <x v="299"/>
    <x v="85"/>
    <x v="1"/>
    <n v="150000"/>
    <x v="7"/>
    <s v="F"/>
    <x v="8"/>
    <x v="3"/>
  </r>
  <r>
    <n v="426056"/>
    <n v="1138"/>
    <s v="Australia"/>
    <d v="2023-04-18T23:44:00"/>
    <x v="3"/>
    <x v="40"/>
    <n v="3481"/>
    <s v="Australia"/>
    <x v="255"/>
    <x v="146"/>
    <x v="2"/>
    <n v="150000"/>
    <x v="2"/>
    <s v="F"/>
    <x v="69"/>
    <x v="3"/>
  </r>
  <r>
    <n v="426461"/>
    <n v="254"/>
    <s v="France"/>
    <d v="2023-02-02T01:50:00"/>
    <x v="1"/>
    <x v="23"/>
    <n v="6998"/>
    <s v="France"/>
    <x v="139"/>
    <x v="45"/>
    <x v="0"/>
    <n v="1000000"/>
    <x v="12"/>
    <s v="F"/>
    <x v="51"/>
    <x v="2"/>
  </r>
  <r>
    <n v="426515"/>
    <n v="971"/>
    <s v="France"/>
    <d v="2023-10-20T00:53:00"/>
    <x v="1"/>
    <x v="23"/>
    <n v="6753"/>
    <s v="France"/>
    <x v="55"/>
    <x v="36"/>
    <x v="0"/>
    <n v="1000000"/>
    <x v="12"/>
    <s v="M"/>
    <x v="13"/>
    <x v="0"/>
  </r>
  <r>
    <n v="427737"/>
    <n v="780"/>
    <s v="India"/>
    <d v="2023-12-28T00:58:00"/>
    <x v="1"/>
    <x v="69"/>
    <n v="4456"/>
    <s v="India"/>
    <x v="259"/>
    <x v="28"/>
    <x v="4"/>
    <n v="150000"/>
    <x v="25"/>
    <s v="M"/>
    <x v="64"/>
    <x v="0"/>
  </r>
  <r>
    <n v="429796"/>
    <n v="771"/>
    <s v="Denmark"/>
    <d v="2023-09-02T00:44:00"/>
    <x v="2"/>
    <x v="60"/>
    <n v="9994"/>
    <s v="Denmark"/>
    <x v="204"/>
    <x v="85"/>
    <x v="1"/>
    <n v="100000"/>
    <x v="26"/>
    <s v="M"/>
    <x v="43"/>
    <x v="0"/>
  </r>
  <r>
    <n v="430092"/>
    <n v="1814"/>
    <s v="USA"/>
    <d v="2023-10-30T01:22:00"/>
    <x v="2"/>
    <x v="22"/>
    <n v="5251"/>
    <s v="USA"/>
    <x v="300"/>
    <x v="142"/>
    <x v="3"/>
    <n v="100000"/>
    <x v="13"/>
    <s v="M"/>
    <x v="46"/>
    <x v="1"/>
  </r>
  <r>
    <n v="431955"/>
    <n v="997"/>
    <s v="India"/>
    <d v="2023-03-12T01:01:00"/>
    <x v="1"/>
    <x v="70"/>
    <n v="9387"/>
    <s v="India"/>
    <x v="242"/>
    <x v="16"/>
    <x v="3"/>
    <n v="150000"/>
    <x v="29"/>
    <s v="F"/>
    <x v="30"/>
    <x v="0"/>
  </r>
  <r>
    <n v="432167"/>
    <n v="1543"/>
    <s v="USA"/>
    <d v="2023-02-12T00:41:00"/>
    <x v="2"/>
    <x v="84"/>
    <n v="3319"/>
    <s v="USA"/>
    <x v="199"/>
    <x v="60"/>
    <x v="2"/>
    <n v="100000"/>
    <x v="3"/>
    <s v="M"/>
    <x v="17"/>
    <x v="1"/>
  </r>
  <r>
    <n v="432633"/>
    <n v="1738"/>
    <s v="France"/>
    <d v="2023-02-11T01:11:00"/>
    <x v="2"/>
    <x v="69"/>
    <n v="9557"/>
    <s v="France"/>
    <x v="104"/>
    <x v="122"/>
    <x v="4"/>
    <n v="150000"/>
    <x v="25"/>
    <s v="M"/>
    <x v="18"/>
    <x v="1"/>
  </r>
  <r>
    <n v="434591"/>
    <n v="1450"/>
    <s v="France"/>
    <d v="2023-02-27T01:00:00"/>
    <x v="0"/>
    <x v="72"/>
    <n v="4060"/>
    <s v="France"/>
    <x v="298"/>
    <x v="168"/>
    <x v="0"/>
    <n v="80000"/>
    <x v="4"/>
    <s v="M"/>
    <x v="18"/>
    <x v="3"/>
  </r>
  <r>
    <n v="435768"/>
    <n v="74"/>
    <s v="USA"/>
    <d v="2023-02-13T00:32:00"/>
    <x v="1"/>
    <x v="68"/>
    <n v="5262"/>
    <s v="USA"/>
    <x v="301"/>
    <x v="58"/>
    <x v="1"/>
    <n v="150000"/>
    <x v="26"/>
    <s v="F"/>
    <x v="9"/>
    <x v="2"/>
  </r>
  <r>
    <n v="438673"/>
    <n v="1769"/>
    <s v="Spain"/>
    <d v="2023-12-24T22:34:00"/>
    <x v="3"/>
    <x v="21"/>
    <n v="6941"/>
    <s v="Spain"/>
    <x v="231"/>
    <x v="196"/>
    <x v="0"/>
    <n v="100000"/>
    <x v="4"/>
    <s v="M"/>
    <x v="18"/>
    <x v="1"/>
  </r>
  <r>
    <n v="439833"/>
    <n v="1472"/>
    <s v="USA"/>
    <d v="2023-06-04T02:23:00"/>
    <x v="2"/>
    <x v="0"/>
    <n v="3338"/>
    <s v="USA"/>
    <x v="190"/>
    <x v="197"/>
    <x v="0"/>
    <n v="200000"/>
    <x v="0"/>
    <s v="F"/>
    <x v="69"/>
    <x v="3"/>
  </r>
  <r>
    <n v="439986"/>
    <n v="1256"/>
    <s v="Spain"/>
    <d v="2023-07-22T00:53:00"/>
    <x v="3"/>
    <x v="10"/>
    <n v="6038"/>
    <s v="Spain"/>
    <x v="302"/>
    <x v="36"/>
    <x v="0"/>
    <n v="250000"/>
    <x v="10"/>
    <s v="M"/>
    <x v="3"/>
    <x v="3"/>
  </r>
  <r>
    <n v="440925"/>
    <n v="419"/>
    <s v="France"/>
    <d v="2023-01-17T00:19:00"/>
    <x v="0"/>
    <x v="73"/>
    <n v="8432"/>
    <s v="France"/>
    <x v="89"/>
    <x v="167"/>
    <x v="4"/>
    <n v="100000"/>
    <x v="25"/>
    <s v="M"/>
    <x v="50"/>
    <x v="2"/>
  </r>
  <r>
    <n v="441275"/>
    <n v="685"/>
    <s v="Australia"/>
    <d v="2023-01-18T23:36:00"/>
    <x v="0"/>
    <x v="16"/>
    <n v="7319"/>
    <s v="Australia"/>
    <x v="247"/>
    <x v="135"/>
    <x v="4"/>
    <n v="150000"/>
    <x v="15"/>
    <s v="M"/>
    <x v="63"/>
    <x v="0"/>
  </r>
  <r>
    <n v="441310"/>
    <n v="880"/>
    <s v="India"/>
    <d v="2023-11-28T23:29:00"/>
    <x v="2"/>
    <x v="37"/>
    <n v="3544"/>
    <s v="India"/>
    <x v="3"/>
    <x v="71"/>
    <x v="3"/>
    <n v="150000"/>
    <x v="6"/>
    <s v="M"/>
    <x v="60"/>
    <x v="0"/>
  </r>
  <r>
    <n v="442615"/>
    <n v="1196"/>
    <s v="USA"/>
    <d v="2023-11-25T22:36:00"/>
    <x v="3"/>
    <x v="83"/>
    <n v="6526"/>
    <s v="USA"/>
    <x v="120"/>
    <x v="106"/>
    <x v="2"/>
    <n v="100000"/>
    <x v="19"/>
    <s v="M"/>
    <x v="43"/>
    <x v="3"/>
  </r>
  <r>
    <n v="442842"/>
    <n v="226"/>
    <s v="USA"/>
    <d v="2023-03-15T22:50:00"/>
    <x v="3"/>
    <x v="19"/>
    <n v="4064"/>
    <s v="USA"/>
    <x v="225"/>
    <x v="133"/>
    <x v="0"/>
    <n v="150000"/>
    <x v="16"/>
    <s v="M"/>
    <x v="34"/>
    <x v="2"/>
  </r>
  <r>
    <n v="443374"/>
    <n v="47"/>
    <s v="Spain"/>
    <d v="2023-05-15T02:14:00"/>
    <x v="2"/>
    <x v="45"/>
    <n v="768"/>
    <s v="Spain"/>
    <x v="116"/>
    <x v="198"/>
    <x v="4"/>
    <n v="100000"/>
    <x v="25"/>
    <s v="M"/>
    <x v="5"/>
    <x v="2"/>
  </r>
  <r>
    <n v="443577"/>
    <n v="507"/>
    <s v="USA"/>
    <d v="2023-09-17T01:34:00"/>
    <x v="3"/>
    <x v="67"/>
    <n v="7940"/>
    <s v="USA"/>
    <x v="213"/>
    <x v="161"/>
    <x v="3"/>
    <n v="150000"/>
    <x v="29"/>
    <s v="M"/>
    <x v="31"/>
    <x v="0"/>
  </r>
  <r>
    <n v="443968"/>
    <n v="1179"/>
    <s v="Spain"/>
    <d v="2023-10-12T00:39:00"/>
    <x v="3"/>
    <x v="51"/>
    <n v="7784"/>
    <s v="Spain"/>
    <x v="303"/>
    <x v="11"/>
    <x v="2"/>
    <n v="100000"/>
    <x v="22"/>
    <s v="F"/>
    <x v="22"/>
    <x v="3"/>
  </r>
  <r>
    <n v="444540"/>
    <n v="112"/>
    <s v="USA"/>
    <d v="2023-09-05T00:24:00"/>
    <x v="2"/>
    <x v="42"/>
    <n v="8547"/>
    <s v="USA"/>
    <x v="86"/>
    <x v="115"/>
    <x v="0"/>
    <n v="200000"/>
    <x v="14"/>
    <s v="M"/>
    <x v="41"/>
    <x v="2"/>
  </r>
  <r>
    <n v="445200"/>
    <n v="465"/>
    <s v="USA"/>
    <d v="2023-06-16T02:10:00"/>
    <x v="2"/>
    <x v="78"/>
    <n v="2670"/>
    <s v="USA"/>
    <x v="58"/>
    <x v="199"/>
    <x v="0"/>
    <n v="100000"/>
    <x v="12"/>
    <s v="M"/>
    <x v="22"/>
    <x v="2"/>
  </r>
  <r>
    <n v="445784"/>
    <n v="899"/>
    <s v="USA"/>
    <d v="2023-07-20T01:02:00"/>
    <x v="1"/>
    <x v="43"/>
    <n v="7646"/>
    <s v="USA"/>
    <x v="265"/>
    <x v="186"/>
    <x v="2"/>
    <n v="100000"/>
    <x v="21"/>
    <s v="F"/>
    <x v="21"/>
    <x v="0"/>
  </r>
  <r>
    <n v="446644"/>
    <n v="1728"/>
    <s v="France"/>
    <d v="2023-01-22T00:15:00"/>
    <x v="3"/>
    <x v="7"/>
    <n v="8854"/>
    <s v="France"/>
    <x v="304"/>
    <x v="123"/>
    <x v="1"/>
    <n v="150000"/>
    <x v="7"/>
    <s v="F"/>
    <x v="18"/>
    <x v="1"/>
  </r>
  <r>
    <n v="447240"/>
    <n v="1318"/>
    <s v="USA"/>
    <d v="2023-11-16T23:08:00"/>
    <x v="0"/>
    <x v="40"/>
    <n v="6512"/>
    <s v="USA"/>
    <x v="40"/>
    <x v="66"/>
    <x v="2"/>
    <n v="150000"/>
    <x v="2"/>
    <s v="M"/>
    <x v="32"/>
    <x v="3"/>
  </r>
  <r>
    <n v="447917"/>
    <n v="359"/>
    <s v="France"/>
    <d v="2023-03-18T23:46:00"/>
    <x v="2"/>
    <x v="74"/>
    <n v="9321"/>
    <s v="France"/>
    <x v="23"/>
    <x v="9"/>
    <x v="1"/>
    <n v="200000"/>
    <x v="18"/>
    <s v="F"/>
    <x v="2"/>
    <x v="2"/>
  </r>
  <r>
    <n v="447970"/>
    <n v="1464"/>
    <s v="France"/>
    <d v="2023-09-12T01:12:00"/>
    <x v="0"/>
    <x v="23"/>
    <n v="2974"/>
    <s v="France"/>
    <x v="148"/>
    <x v="52"/>
    <x v="0"/>
    <n v="1000000"/>
    <x v="12"/>
    <s v="F"/>
    <x v="38"/>
    <x v="3"/>
  </r>
  <r>
    <n v="448027"/>
    <n v="1046"/>
    <s v="India"/>
    <d v="2023-07-09T00:58:00"/>
    <x v="2"/>
    <x v="55"/>
    <n v="532"/>
    <s v="India"/>
    <x v="63"/>
    <x v="28"/>
    <x v="2"/>
    <n v="80000"/>
    <x v="27"/>
    <s v="M"/>
    <x v="44"/>
    <x v="3"/>
  </r>
  <r>
    <n v="448164"/>
    <n v="1502"/>
    <s v="Spain"/>
    <d v="2023-02-04T01:35:00"/>
    <x v="0"/>
    <x v="44"/>
    <n v="3869"/>
    <s v="Spain"/>
    <x v="189"/>
    <x v="200"/>
    <x v="0"/>
    <n v="100000"/>
    <x v="12"/>
    <s v="F"/>
    <x v="19"/>
    <x v="1"/>
  </r>
  <r>
    <n v="448776"/>
    <n v="1173"/>
    <s v="USA"/>
    <d v="2023-12-13T00:07:00"/>
    <x v="1"/>
    <x v="22"/>
    <n v="4703"/>
    <s v="USA"/>
    <x v="88"/>
    <x v="34"/>
    <x v="3"/>
    <n v="100000"/>
    <x v="13"/>
    <s v="M"/>
    <x v="58"/>
    <x v="3"/>
  </r>
  <r>
    <n v="449457"/>
    <n v="494"/>
    <s v="France"/>
    <d v="2023-11-02T01:10:00"/>
    <x v="3"/>
    <x v="70"/>
    <n v="3426"/>
    <s v="France"/>
    <x v="105"/>
    <x v="7"/>
    <x v="3"/>
    <n v="150000"/>
    <x v="29"/>
    <s v="M"/>
    <x v="11"/>
    <x v="2"/>
  </r>
  <r>
    <n v="451541"/>
    <n v="116"/>
    <s v="Denmark"/>
    <d v="2023-06-29T01:31:00"/>
    <x v="2"/>
    <x v="84"/>
    <n v="2490"/>
    <s v="Denmark"/>
    <x v="305"/>
    <x v="177"/>
    <x v="2"/>
    <n v="100000"/>
    <x v="3"/>
    <s v="M"/>
    <x v="51"/>
    <x v="2"/>
  </r>
  <r>
    <n v="451694"/>
    <n v="1031"/>
    <s v="Australia"/>
    <d v="2023-05-27T23:34:00"/>
    <x v="1"/>
    <x v="69"/>
    <n v="3713"/>
    <s v="Australia"/>
    <x v="278"/>
    <x v="99"/>
    <x v="4"/>
    <n v="150000"/>
    <x v="25"/>
    <s v="M"/>
    <x v="28"/>
    <x v="3"/>
  </r>
  <r>
    <n v="452070"/>
    <n v="1693"/>
    <s v="France"/>
    <d v="2023-05-06T00:22:00"/>
    <x v="0"/>
    <x v="85"/>
    <n v="9332"/>
    <s v="France"/>
    <x v="288"/>
    <x v="54"/>
    <x v="2"/>
    <n v="150000"/>
    <x v="21"/>
    <s v="F"/>
    <x v="42"/>
    <x v="1"/>
  </r>
  <r>
    <n v="452684"/>
    <n v="374"/>
    <s v="Denmark"/>
    <d v="2023-08-08T01:58:00"/>
    <x v="2"/>
    <x v="68"/>
    <n v="9309"/>
    <s v="Denmark"/>
    <x v="98"/>
    <x v="157"/>
    <x v="1"/>
    <n v="150000"/>
    <x v="26"/>
    <s v="M"/>
    <x v="37"/>
    <x v="2"/>
  </r>
  <r>
    <n v="453466"/>
    <n v="637"/>
    <s v="USA"/>
    <d v="2023-03-11T01:23:00"/>
    <x v="0"/>
    <x v="21"/>
    <n v="6625"/>
    <s v="USA"/>
    <x v="250"/>
    <x v="83"/>
    <x v="0"/>
    <n v="100000"/>
    <x v="4"/>
    <s v="M"/>
    <x v="4"/>
    <x v="0"/>
  </r>
  <r>
    <n v="453732"/>
    <n v="1623"/>
    <s v="Spain"/>
    <d v="2023-06-14T23:09:00"/>
    <x v="3"/>
    <x v="45"/>
    <n v="8537"/>
    <s v="Spain"/>
    <x v="124"/>
    <x v="175"/>
    <x v="4"/>
    <n v="100000"/>
    <x v="25"/>
    <s v="M"/>
    <x v="7"/>
    <x v="1"/>
  </r>
  <r>
    <n v="454137"/>
    <n v="1687"/>
    <s v="Australia"/>
    <d v="2023-01-15T00:20:00"/>
    <x v="1"/>
    <x v="10"/>
    <n v="2431"/>
    <s v="Australia"/>
    <x v="161"/>
    <x v="68"/>
    <x v="0"/>
    <n v="250000"/>
    <x v="10"/>
    <s v="M"/>
    <x v="4"/>
    <x v="1"/>
  </r>
  <r>
    <n v="455153"/>
    <n v="1431"/>
    <s v="USA"/>
    <d v="2023-05-26T00:37:00"/>
    <x v="1"/>
    <x v="2"/>
    <n v="4088"/>
    <s v="USA"/>
    <x v="221"/>
    <x v="201"/>
    <x v="2"/>
    <n v="100000"/>
    <x v="2"/>
    <s v="M"/>
    <x v="42"/>
    <x v="3"/>
  </r>
  <r>
    <n v="456612"/>
    <n v="1240"/>
    <s v="Germany"/>
    <d v="2023-02-28T00:33:00"/>
    <x v="1"/>
    <x v="90"/>
    <n v="1900"/>
    <s v="Germany"/>
    <x v="145"/>
    <x v="53"/>
    <x v="1"/>
    <n v="50000"/>
    <x v="18"/>
    <s v="M"/>
    <x v="32"/>
    <x v="3"/>
  </r>
  <r>
    <n v="457087"/>
    <n v="66"/>
    <s v="Australia"/>
    <d v="2023-02-22T23:18:00"/>
    <x v="2"/>
    <x v="16"/>
    <n v="1838"/>
    <s v="Australia"/>
    <x v="184"/>
    <x v="140"/>
    <x v="4"/>
    <n v="150000"/>
    <x v="15"/>
    <s v="M"/>
    <x v="35"/>
    <x v="2"/>
  </r>
  <r>
    <n v="457874"/>
    <n v="1467"/>
    <s v="USA"/>
    <d v="2023-02-16T01:04:00"/>
    <x v="1"/>
    <x v="39"/>
    <n v="3337"/>
    <s v="USA"/>
    <x v="197"/>
    <x v="121"/>
    <x v="3"/>
    <n v="1000000"/>
    <x v="6"/>
    <s v="F"/>
    <x v="65"/>
    <x v="3"/>
  </r>
  <r>
    <n v="457958"/>
    <n v="690"/>
    <s v="Germany"/>
    <d v="2023-01-03T00:44:00"/>
    <x v="0"/>
    <x v="48"/>
    <n v="2923"/>
    <s v="Germany"/>
    <x v="54"/>
    <x v="85"/>
    <x v="1"/>
    <n v="100000"/>
    <x v="9"/>
    <s v="M"/>
    <x v="2"/>
    <x v="0"/>
  </r>
  <r>
    <n v="458560"/>
    <n v="210"/>
    <s v="USA"/>
    <d v="2023-08-31T00:00:00"/>
    <x v="0"/>
    <x v="19"/>
    <n v="9234"/>
    <s v="USA"/>
    <x v="198"/>
    <x v="126"/>
    <x v="0"/>
    <n v="150000"/>
    <x v="16"/>
    <s v="M"/>
    <x v="0"/>
    <x v="2"/>
  </r>
  <r>
    <n v="459426"/>
    <n v="1783"/>
    <s v="USA"/>
    <d v="2023-11-04T00:58:00"/>
    <x v="0"/>
    <x v="23"/>
    <n v="936"/>
    <s v="USA"/>
    <x v="244"/>
    <x v="28"/>
    <x v="0"/>
    <n v="1000000"/>
    <x v="12"/>
    <s v="M"/>
    <x v="18"/>
    <x v="1"/>
  </r>
  <r>
    <n v="461110"/>
    <n v="1549"/>
    <s v="USA"/>
    <d v="2023-08-08T02:09:00"/>
    <x v="0"/>
    <x v="27"/>
    <n v="4341"/>
    <s v="USA"/>
    <x v="98"/>
    <x v="202"/>
    <x v="1"/>
    <n v="80000"/>
    <x v="7"/>
    <s v="F"/>
    <x v="41"/>
    <x v="1"/>
  </r>
  <r>
    <n v="461537"/>
    <n v="1833"/>
    <s v="Singapore"/>
    <d v="2023-02-17T01:44:00"/>
    <x v="1"/>
    <x v="74"/>
    <n v="8344"/>
    <s v="Singapore"/>
    <x v="38"/>
    <x v="203"/>
    <x v="1"/>
    <n v="200000"/>
    <x v="18"/>
    <s v="F"/>
    <x v="3"/>
    <x v="1"/>
  </r>
  <r>
    <n v="461731"/>
    <n v="685"/>
    <s v="Australia"/>
    <d v="2023-11-09T01:39:00"/>
    <x v="2"/>
    <x v="73"/>
    <n v="5092"/>
    <s v="Australia"/>
    <x v="119"/>
    <x v="152"/>
    <x v="4"/>
    <n v="100000"/>
    <x v="25"/>
    <s v="M"/>
    <x v="63"/>
    <x v="0"/>
  </r>
  <r>
    <n v="462593"/>
    <n v="1971"/>
    <s v="Spain"/>
    <d v="2023-08-05T01:29:00"/>
    <x v="3"/>
    <x v="60"/>
    <n v="5397"/>
    <s v="Spain"/>
    <x v="188"/>
    <x v="103"/>
    <x v="1"/>
    <n v="100000"/>
    <x v="26"/>
    <s v="F"/>
    <x v="60"/>
    <x v="1"/>
  </r>
  <r>
    <n v="463922"/>
    <n v="172"/>
    <s v="USA"/>
    <d v="2023-09-23T01:05:00"/>
    <x v="2"/>
    <x v="26"/>
    <n v="484"/>
    <s v="USA"/>
    <x v="71"/>
    <x v="12"/>
    <x v="2"/>
    <n v="200000"/>
    <x v="19"/>
    <s v="M"/>
    <x v="40"/>
    <x v="2"/>
  </r>
  <r>
    <n v="464531"/>
    <n v="1153"/>
    <s v="Italy"/>
    <d v="2023-02-14T00:30:00"/>
    <x v="0"/>
    <x v="70"/>
    <n v="4951"/>
    <s v="Italy"/>
    <x v="157"/>
    <x v="111"/>
    <x v="3"/>
    <n v="150000"/>
    <x v="29"/>
    <s v="F"/>
    <x v="36"/>
    <x v="3"/>
  </r>
  <r>
    <n v="464722"/>
    <n v="1215"/>
    <s v="USA"/>
    <d v="2023-01-03T01:01:00"/>
    <x v="1"/>
    <x v="81"/>
    <n v="7137"/>
    <s v="USA"/>
    <x v="54"/>
    <x v="16"/>
    <x v="4"/>
    <n v="100000"/>
    <x v="15"/>
    <s v="M"/>
    <x v="19"/>
    <x v="3"/>
  </r>
  <r>
    <n v="464859"/>
    <n v="683"/>
    <s v="Australia"/>
    <d v="2023-01-14T23:38:00"/>
    <x v="0"/>
    <x v="47"/>
    <n v="6431"/>
    <s v="Australia"/>
    <x v="170"/>
    <x v="80"/>
    <x v="3"/>
    <n v="100000"/>
    <x v="20"/>
    <s v="F"/>
    <x v="59"/>
    <x v="0"/>
  </r>
  <r>
    <n v="466869"/>
    <n v="1984"/>
    <s v="Australia"/>
    <d v="2023-02-14T14:20:00"/>
    <x v="0"/>
    <x v="64"/>
    <n v="660"/>
    <s v="Australia"/>
    <x v="157"/>
    <x v="204"/>
    <x v="2"/>
    <n v="100000"/>
    <x v="3"/>
    <s v="M"/>
    <x v="23"/>
    <x v="1"/>
  </r>
  <r>
    <n v="467965"/>
    <n v="550"/>
    <s v="USA"/>
    <d v="2023-10-02T23:43:00"/>
    <x v="1"/>
    <x v="82"/>
    <n v="8296"/>
    <s v="USA"/>
    <x v="155"/>
    <x v="169"/>
    <x v="2"/>
    <n v="100000"/>
    <x v="19"/>
    <s v="M"/>
    <x v="34"/>
    <x v="0"/>
  </r>
  <r>
    <n v="468652"/>
    <n v="106"/>
    <s v="Australia"/>
    <d v="2023-07-01T00:27:00"/>
    <x v="1"/>
    <x v="72"/>
    <n v="1982"/>
    <s v="Australia"/>
    <x v="41"/>
    <x v="108"/>
    <x v="0"/>
    <n v="80000"/>
    <x v="4"/>
    <s v="F"/>
    <x v="28"/>
    <x v="2"/>
  </r>
  <r>
    <n v="471520"/>
    <n v="188"/>
    <s v="India"/>
    <d v="2023-09-13T00:39:00"/>
    <x v="2"/>
    <x v="23"/>
    <n v="8652"/>
    <s v="India"/>
    <x v="268"/>
    <x v="11"/>
    <x v="0"/>
    <n v="1000000"/>
    <x v="12"/>
    <s v="F"/>
    <x v="54"/>
    <x v="2"/>
  </r>
  <r>
    <n v="471691"/>
    <n v="1279"/>
    <s v="USA"/>
    <d v="2023-04-10T01:45:00"/>
    <x v="2"/>
    <x v="65"/>
    <n v="1314"/>
    <s v="USA"/>
    <x v="162"/>
    <x v="59"/>
    <x v="4"/>
    <n v="250000"/>
    <x v="28"/>
    <s v="F"/>
    <x v="44"/>
    <x v="3"/>
  </r>
  <r>
    <n v="471801"/>
    <n v="878"/>
    <s v="India"/>
    <d v="2023-01-19T01:26:00"/>
    <x v="2"/>
    <x v="39"/>
    <n v="1740"/>
    <s v="India"/>
    <x v="18"/>
    <x v="65"/>
    <x v="3"/>
    <n v="1000000"/>
    <x v="6"/>
    <s v="F"/>
    <x v="23"/>
    <x v="0"/>
  </r>
  <r>
    <n v="471886"/>
    <n v="1583"/>
    <s v="Singapore"/>
    <d v="2023-01-02T23:40:00"/>
    <x v="1"/>
    <x v="39"/>
    <n v="4072"/>
    <s v="Singapore"/>
    <x v="80"/>
    <x v="1"/>
    <x v="3"/>
    <n v="1000000"/>
    <x v="6"/>
    <s v="F"/>
    <x v="38"/>
    <x v="1"/>
  </r>
  <r>
    <n v="472645"/>
    <n v="1290"/>
    <s v="USA"/>
    <d v="2023-11-13T01:24:00"/>
    <x v="0"/>
    <x v="0"/>
    <n v="3018"/>
    <s v="USA"/>
    <x v="306"/>
    <x v="124"/>
    <x v="0"/>
    <n v="200000"/>
    <x v="0"/>
    <s v="M"/>
    <x v="34"/>
    <x v="3"/>
  </r>
  <r>
    <n v="473503"/>
    <n v="1682"/>
    <s v="France"/>
    <d v="2023-08-08T23:26:00"/>
    <x v="1"/>
    <x v="15"/>
    <n v="1565"/>
    <s v="France"/>
    <x v="98"/>
    <x v="191"/>
    <x v="0"/>
    <n v="150000"/>
    <x v="14"/>
    <s v="M"/>
    <x v="54"/>
    <x v="1"/>
  </r>
  <r>
    <n v="474022"/>
    <n v="1063"/>
    <s v="India"/>
    <d v="2023-03-08T22:52:00"/>
    <x v="0"/>
    <x v="78"/>
    <n v="2476"/>
    <s v="India"/>
    <x v="5"/>
    <x v="5"/>
    <x v="0"/>
    <n v="100000"/>
    <x v="12"/>
    <s v="F"/>
    <x v="43"/>
    <x v="3"/>
  </r>
  <r>
    <n v="474847"/>
    <n v="1316"/>
    <s v="Australia"/>
    <d v="2023-10-03T00:25:00"/>
    <x v="2"/>
    <x v="11"/>
    <n v="4155"/>
    <s v="Australia"/>
    <x v="307"/>
    <x v="148"/>
    <x v="1"/>
    <n v="150000"/>
    <x v="1"/>
    <s v="F"/>
    <x v="41"/>
    <x v="3"/>
  </r>
  <r>
    <n v="476585"/>
    <n v="645"/>
    <s v="Denmark"/>
    <d v="2023-04-21T00:30:00"/>
    <x v="3"/>
    <x v="62"/>
    <n v="7949"/>
    <s v="Denmark"/>
    <x v="276"/>
    <x v="111"/>
    <x v="2"/>
    <n v="150000"/>
    <x v="27"/>
    <s v="F"/>
    <x v="28"/>
    <x v="0"/>
  </r>
  <r>
    <n v="477068"/>
    <n v="396"/>
    <s v="Spain"/>
    <d v="2023-09-19T01:12:00"/>
    <x v="3"/>
    <x v="74"/>
    <n v="6110"/>
    <s v="Spain"/>
    <x v="274"/>
    <x v="52"/>
    <x v="1"/>
    <n v="200000"/>
    <x v="18"/>
    <s v="F"/>
    <x v="62"/>
    <x v="2"/>
  </r>
  <r>
    <n v="477337"/>
    <n v="178"/>
    <s v="India"/>
    <d v="2023-01-24T22:55:00"/>
    <x v="3"/>
    <x v="23"/>
    <n v="8277"/>
    <s v="India"/>
    <x v="275"/>
    <x v="125"/>
    <x v="0"/>
    <n v="1000000"/>
    <x v="12"/>
    <s v="F"/>
    <x v="32"/>
    <x v="2"/>
  </r>
  <r>
    <n v="477809"/>
    <n v="292"/>
    <s v="India"/>
    <d v="2023-08-12T23:36:00"/>
    <x v="3"/>
    <x v="39"/>
    <n v="802"/>
    <s v="India"/>
    <x v="166"/>
    <x v="135"/>
    <x v="3"/>
    <n v="1000000"/>
    <x v="6"/>
    <s v="M"/>
    <x v="50"/>
    <x v="2"/>
  </r>
  <r>
    <n v="477915"/>
    <n v="965"/>
    <s v="Australia"/>
    <d v="2023-05-21T00:27:00"/>
    <x v="3"/>
    <x v="39"/>
    <n v="5391"/>
    <s v="Australia"/>
    <x v="176"/>
    <x v="108"/>
    <x v="3"/>
    <n v="1000000"/>
    <x v="6"/>
    <s v="F"/>
    <x v="63"/>
    <x v="0"/>
  </r>
  <r>
    <n v="478198"/>
    <n v="214"/>
    <s v="USA"/>
    <d v="2023-10-21T00:56:00"/>
    <x v="0"/>
    <x v="23"/>
    <n v="9837"/>
    <s v="USA"/>
    <x v="96"/>
    <x v="150"/>
    <x v="0"/>
    <n v="1000000"/>
    <x v="12"/>
    <s v="F"/>
    <x v="65"/>
    <x v="2"/>
  </r>
  <r>
    <n v="479363"/>
    <n v="1343"/>
    <s v="USA"/>
    <d v="2023-07-08T00:02:00"/>
    <x v="0"/>
    <x v="14"/>
    <n v="1941"/>
    <s v="USA"/>
    <x v="210"/>
    <x v="89"/>
    <x v="3"/>
    <n v="200000"/>
    <x v="13"/>
    <s v="F"/>
    <x v="24"/>
    <x v="3"/>
  </r>
  <r>
    <n v="479407"/>
    <n v="1399"/>
    <s v="Australia"/>
    <d v="2023-12-03T22:39:00"/>
    <x v="3"/>
    <x v="40"/>
    <n v="1351"/>
    <s v="Australia"/>
    <x v="201"/>
    <x v="90"/>
    <x v="2"/>
    <n v="150000"/>
    <x v="2"/>
    <s v="F"/>
    <x v="32"/>
    <x v="3"/>
  </r>
  <r>
    <n v="479589"/>
    <n v="180"/>
    <s v="USA"/>
    <d v="2023-03-26T23:48:00"/>
    <x v="0"/>
    <x v="77"/>
    <n v="9486"/>
    <s v="USA"/>
    <x v="132"/>
    <x v="153"/>
    <x v="1"/>
    <n v="250000"/>
    <x v="24"/>
    <s v="F"/>
    <x v="49"/>
    <x v="2"/>
  </r>
  <r>
    <n v="480827"/>
    <n v="1498"/>
    <s v="Germany"/>
    <d v="2023-01-14T00:06:00"/>
    <x v="2"/>
    <x v="84"/>
    <n v="3032"/>
    <s v="Germany"/>
    <x v="170"/>
    <x v="22"/>
    <x v="2"/>
    <n v="100000"/>
    <x v="3"/>
    <s v="F"/>
    <x v="21"/>
    <x v="3"/>
  </r>
  <r>
    <n v="480878"/>
    <n v="1229"/>
    <s v="Australia"/>
    <d v="2023-05-26T01:37:00"/>
    <x v="1"/>
    <x v="82"/>
    <n v="9502"/>
    <s v="Australia"/>
    <x v="221"/>
    <x v="109"/>
    <x v="2"/>
    <n v="100000"/>
    <x v="19"/>
    <s v="F"/>
    <x v="25"/>
    <x v="3"/>
  </r>
  <r>
    <n v="482210"/>
    <n v="1507"/>
    <s v="USA"/>
    <d v="2023-09-15T01:25:00"/>
    <x v="0"/>
    <x v="4"/>
    <n v="4514"/>
    <s v="USA"/>
    <x v="90"/>
    <x v="195"/>
    <x v="0"/>
    <n v="200000"/>
    <x v="4"/>
    <s v="F"/>
    <x v="61"/>
    <x v="1"/>
  </r>
  <r>
    <n v="482277"/>
    <n v="1808"/>
    <s v="Italy"/>
    <d v="2023-11-27T23:08:00"/>
    <x v="2"/>
    <x v="86"/>
    <n v="5415"/>
    <s v="Italy"/>
    <x v="13"/>
    <x v="66"/>
    <x v="0"/>
    <n v="150000"/>
    <x v="11"/>
    <s v="F"/>
    <x v="9"/>
    <x v="1"/>
  </r>
  <r>
    <n v="482282"/>
    <n v="852"/>
    <s v="USA"/>
    <d v="2023-08-16T01:02:00"/>
    <x v="0"/>
    <x v="39"/>
    <n v="348"/>
    <s v="USA"/>
    <x v="280"/>
    <x v="186"/>
    <x v="3"/>
    <n v="1000000"/>
    <x v="6"/>
    <s v="M"/>
    <x v="58"/>
    <x v="0"/>
  </r>
  <r>
    <n v="482555"/>
    <n v="506"/>
    <s v="USA"/>
    <d v="2023-01-25T16:44:00"/>
    <x v="3"/>
    <x v="87"/>
    <n v="6355"/>
    <s v="USA"/>
    <x v="308"/>
    <x v="205"/>
    <x v="0"/>
    <n v="100000"/>
    <x v="16"/>
    <s v="M"/>
    <x v="23"/>
    <x v="0"/>
  </r>
  <r>
    <n v="483229"/>
    <n v="577"/>
    <s v="France"/>
    <d v="2023-02-13T01:07:00"/>
    <x v="3"/>
    <x v="74"/>
    <n v="1958"/>
    <s v="France"/>
    <x v="301"/>
    <x v="31"/>
    <x v="1"/>
    <n v="200000"/>
    <x v="18"/>
    <s v="F"/>
    <x v="8"/>
    <x v="0"/>
  </r>
  <r>
    <n v="484489"/>
    <n v="439"/>
    <s v="Spain"/>
    <d v="2023-11-26T00:24:00"/>
    <x v="1"/>
    <x v="25"/>
    <n v="6346"/>
    <s v="Spain"/>
    <x v="289"/>
    <x v="115"/>
    <x v="1"/>
    <n v="150000"/>
    <x v="17"/>
    <s v="M"/>
    <x v="8"/>
    <x v="2"/>
  </r>
  <r>
    <n v="484525"/>
    <n v="961"/>
    <s v="USA"/>
    <d v="2023-12-10T23:55:00"/>
    <x v="1"/>
    <x v="30"/>
    <n v="3218"/>
    <s v="USA"/>
    <x v="309"/>
    <x v="166"/>
    <x v="2"/>
    <n v="150000"/>
    <x v="21"/>
    <s v="F"/>
    <x v="43"/>
    <x v="0"/>
  </r>
  <r>
    <n v="484688"/>
    <n v="841"/>
    <s v="USA"/>
    <d v="2023-05-22T00:08:00"/>
    <x v="3"/>
    <x v="83"/>
    <n v="5991"/>
    <s v="USA"/>
    <x v="310"/>
    <x v="149"/>
    <x v="2"/>
    <n v="100000"/>
    <x v="19"/>
    <s v="F"/>
    <x v="53"/>
    <x v="0"/>
  </r>
  <r>
    <n v="485583"/>
    <n v="399"/>
    <s v="India"/>
    <d v="2023-03-15T01:33:00"/>
    <x v="2"/>
    <x v="36"/>
    <n v="5485"/>
    <s v="India"/>
    <x v="225"/>
    <x v="47"/>
    <x v="0"/>
    <n v="150000"/>
    <x v="10"/>
    <s v="F"/>
    <x v="69"/>
    <x v="2"/>
  </r>
  <r>
    <n v="485658"/>
    <n v="1222"/>
    <s v="Spain"/>
    <d v="2023-03-03T00:04:00"/>
    <x v="1"/>
    <x v="65"/>
    <n v="6370"/>
    <s v="Spain"/>
    <x v="30"/>
    <x v="64"/>
    <x v="4"/>
    <n v="250000"/>
    <x v="28"/>
    <s v="F"/>
    <x v="30"/>
    <x v="3"/>
  </r>
  <r>
    <n v="487191"/>
    <n v="404"/>
    <s v="Germany"/>
    <d v="2023-02-07T00:58:00"/>
    <x v="1"/>
    <x v="81"/>
    <n v="4492"/>
    <s v="Germany"/>
    <x v="73"/>
    <x v="28"/>
    <x v="4"/>
    <n v="100000"/>
    <x v="15"/>
    <s v="F"/>
    <x v="47"/>
    <x v="2"/>
  </r>
  <r>
    <n v="488698"/>
    <n v="1714"/>
    <s v="Spain"/>
    <d v="2023-03-11T01:15:00"/>
    <x v="2"/>
    <x v="39"/>
    <n v="5107"/>
    <s v="Spain"/>
    <x v="250"/>
    <x v="127"/>
    <x v="3"/>
    <n v="1000000"/>
    <x v="6"/>
    <s v="M"/>
    <x v="19"/>
    <x v="1"/>
  </r>
  <r>
    <n v="489692"/>
    <n v="1249"/>
    <s v="USA"/>
    <d v="2023-09-23T00:23:00"/>
    <x v="1"/>
    <x v="77"/>
    <n v="9580"/>
    <s v="USA"/>
    <x v="71"/>
    <x v="6"/>
    <x v="1"/>
    <n v="250000"/>
    <x v="24"/>
    <s v="F"/>
    <x v="15"/>
    <x v="3"/>
  </r>
  <r>
    <n v="489835"/>
    <n v="974"/>
    <s v="France"/>
    <d v="2023-10-09T01:26:00"/>
    <x v="0"/>
    <x v="67"/>
    <n v="6589"/>
    <s v="France"/>
    <x v="208"/>
    <x v="65"/>
    <x v="3"/>
    <n v="150000"/>
    <x v="29"/>
    <s v="M"/>
    <x v="52"/>
    <x v="0"/>
  </r>
  <r>
    <n v="490691"/>
    <n v="1658"/>
    <s v="USA"/>
    <d v="2023-12-30T01:16:00"/>
    <x v="3"/>
    <x v="3"/>
    <n v="6947"/>
    <s v="USA"/>
    <x v="2"/>
    <x v="84"/>
    <x v="2"/>
    <n v="150000"/>
    <x v="3"/>
    <s v="F"/>
    <x v="10"/>
    <x v="1"/>
  </r>
  <r>
    <n v="491960"/>
    <n v="564"/>
    <s v="USA"/>
    <d v="2023-07-10T00:08:00"/>
    <x v="0"/>
    <x v="23"/>
    <n v="1650"/>
    <s v="USA"/>
    <x v="311"/>
    <x v="149"/>
    <x v="0"/>
    <n v="1000000"/>
    <x v="12"/>
    <s v="F"/>
    <x v="69"/>
    <x v="0"/>
  </r>
  <r>
    <n v="492855"/>
    <n v="1294"/>
    <s v="France"/>
    <d v="2023-12-25T23:02:00"/>
    <x v="3"/>
    <x v="61"/>
    <n v="9532"/>
    <s v="France"/>
    <x v="312"/>
    <x v="114"/>
    <x v="4"/>
    <n v="200000"/>
    <x v="28"/>
    <s v="F"/>
    <x v="26"/>
    <x v="3"/>
  </r>
  <r>
    <n v="492948"/>
    <n v="1109"/>
    <s v="India"/>
    <d v="2023-08-22T00:53:00"/>
    <x v="2"/>
    <x v="20"/>
    <n v="709"/>
    <s v="India"/>
    <x v="183"/>
    <x v="36"/>
    <x v="1"/>
    <n v="200000"/>
    <x v="17"/>
    <s v="F"/>
    <x v="46"/>
    <x v="3"/>
  </r>
  <r>
    <n v="493043"/>
    <n v="1357"/>
    <s v="Ireland"/>
    <d v="2023-09-12T22:55:00"/>
    <x v="0"/>
    <x v="23"/>
    <n v="852"/>
    <s v="Ireland"/>
    <x v="148"/>
    <x v="125"/>
    <x v="0"/>
    <n v="1000000"/>
    <x v="12"/>
    <s v="M"/>
    <x v="64"/>
    <x v="3"/>
  </r>
  <r>
    <n v="493111"/>
    <n v="1962"/>
    <s v="USA"/>
    <d v="2023-01-09T23:08:00"/>
    <x v="3"/>
    <x v="62"/>
    <n v="6279"/>
    <s v="USA"/>
    <x v="313"/>
    <x v="66"/>
    <x v="2"/>
    <n v="150000"/>
    <x v="27"/>
    <s v="M"/>
    <x v="12"/>
    <x v="1"/>
  </r>
  <r>
    <n v="493809"/>
    <n v="799"/>
    <s v="USA"/>
    <d v="2023-02-12T02:00:00"/>
    <x v="1"/>
    <x v="74"/>
    <n v="8809"/>
    <s v="USA"/>
    <x v="199"/>
    <x v="23"/>
    <x v="1"/>
    <n v="200000"/>
    <x v="18"/>
    <s v="F"/>
    <x v="0"/>
    <x v="0"/>
  </r>
  <r>
    <n v="493810"/>
    <n v="1040"/>
    <s v="India"/>
    <d v="2023-07-15T23:00:00"/>
    <x v="3"/>
    <x v="73"/>
    <n v="1550"/>
    <s v="India"/>
    <x v="102"/>
    <x v="171"/>
    <x v="4"/>
    <n v="100000"/>
    <x v="25"/>
    <s v="F"/>
    <x v="42"/>
    <x v="3"/>
  </r>
  <r>
    <n v="495154"/>
    <n v="1911"/>
    <s v="Australia"/>
    <d v="2023-03-06T23:55:00"/>
    <x v="3"/>
    <x v="60"/>
    <n v="5800"/>
    <s v="Australia"/>
    <x v="281"/>
    <x v="166"/>
    <x v="1"/>
    <n v="100000"/>
    <x v="26"/>
    <s v="F"/>
    <x v="61"/>
    <x v="1"/>
  </r>
  <r>
    <n v="495680"/>
    <n v="276"/>
    <s v="India"/>
    <d v="2023-06-26T00:49:00"/>
    <x v="3"/>
    <x v="26"/>
    <n v="2665"/>
    <s v="India"/>
    <x v="314"/>
    <x v="35"/>
    <x v="2"/>
    <n v="200000"/>
    <x v="19"/>
    <s v="F"/>
    <x v="0"/>
    <x v="2"/>
  </r>
  <r>
    <n v="497302"/>
    <n v="1539"/>
    <s v="USA"/>
    <d v="2023-09-08T23:29:00"/>
    <x v="2"/>
    <x v="49"/>
    <n v="7579"/>
    <s v="USA"/>
    <x v="315"/>
    <x v="71"/>
    <x v="0"/>
    <n v="100000"/>
    <x v="10"/>
    <s v="F"/>
    <x v="38"/>
    <x v="1"/>
  </r>
  <r>
    <n v="497663"/>
    <n v="596"/>
    <s v="Finland"/>
    <d v="2023-11-06T00:03:00"/>
    <x v="0"/>
    <x v="81"/>
    <n v="6580"/>
    <s v="Finland"/>
    <x v="175"/>
    <x v="72"/>
    <x v="4"/>
    <n v="100000"/>
    <x v="15"/>
    <s v="M"/>
    <x v="50"/>
    <x v="0"/>
  </r>
  <r>
    <n v="498278"/>
    <n v="540"/>
    <s v="Australia"/>
    <d v="2023-06-13T01:07:00"/>
    <x v="0"/>
    <x v="47"/>
    <n v="4974"/>
    <s v="Australia"/>
    <x v="252"/>
    <x v="31"/>
    <x v="3"/>
    <n v="100000"/>
    <x v="20"/>
    <s v="M"/>
    <x v="18"/>
    <x v="0"/>
  </r>
  <r>
    <n v="498746"/>
    <n v="1475"/>
    <s v="Spain"/>
    <d v="2023-06-03T00:09:00"/>
    <x v="3"/>
    <x v="64"/>
    <n v="6335"/>
    <s v="Spain"/>
    <x v="24"/>
    <x v="81"/>
    <x v="2"/>
    <n v="100000"/>
    <x v="3"/>
    <s v="F"/>
    <x v="5"/>
    <x v="3"/>
  </r>
  <r>
    <n v="499145"/>
    <n v="61"/>
    <s v="Spain"/>
    <d v="2023-08-30T22:54:00"/>
    <x v="2"/>
    <x v="39"/>
    <n v="165"/>
    <s v="Spain"/>
    <x v="74"/>
    <x v="105"/>
    <x v="3"/>
    <n v="1000000"/>
    <x v="6"/>
    <s v="F"/>
    <x v="59"/>
    <x v="2"/>
  </r>
  <r>
    <n v="499301"/>
    <n v="125"/>
    <s v="Spain"/>
    <d v="2023-10-16T01:28:00"/>
    <x v="2"/>
    <x v="23"/>
    <n v="8557"/>
    <s v="Spain"/>
    <x v="114"/>
    <x v="49"/>
    <x v="0"/>
    <n v="1000000"/>
    <x v="12"/>
    <s v="F"/>
    <x v="30"/>
    <x v="2"/>
  </r>
  <r>
    <n v="499444"/>
    <n v="122"/>
    <s v="Spain"/>
    <d v="2023-07-24T00:03:00"/>
    <x v="2"/>
    <x v="65"/>
    <n v="9615"/>
    <s v="Spain"/>
    <x v="200"/>
    <x v="72"/>
    <x v="4"/>
    <n v="250000"/>
    <x v="28"/>
    <s v="M"/>
    <x v="10"/>
    <x v="2"/>
  </r>
  <r>
    <n v="500116"/>
    <n v="1317"/>
    <s v="France"/>
    <d v="2023-05-26T01:04:00"/>
    <x v="0"/>
    <x v="39"/>
    <n v="4269"/>
    <s v="France"/>
    <x v="221"/>
    <x v="121"/>
    <x v="3"/>
    <n v="1000000"/>
    <x v="6"/>
    <s v="M"/>
    <x v="26"/>
    <x v="3"/>
  </r>
  <r>
    <n v="500630"/>
    <n v="548"/>
    <s v="USA"/>
    <d v="2023-06-14T00:29:00"/>
    <x v="0"/>
    <x v="18"/>
    <n v="3906"/>
    <s v="USA"/>
    <x v="124"/>
    <x v="50"/>
    <x v="2"/>
    <n v="100000"/>
    <x v="5"/>
    <s v="M"/>
    <x v="68"/>
    <x v="0"/>
  </r>
  <r>
    <n v="501314"/>
    <n v="319"/>
    <s v="India"/>
    <d v="2023-02-06T22:49:00"/>
    <x v="2"/>
    <x v="0"/>
    <n v="2512"/>
    <s v="India"/>
    <x v="49"/>
    <x v="206"/>
    <x v="0"/>
    <n v="200000"/>
    <x v="0"/>
    <s v="F"/>
    <x v="36"/>
    <x v="2"/>
  </r>
  <r>
    <n v="502404"/>
    <n v="62"/>
    <s v="USA"/>
    <d v="2023-02-16T23:51:00"/>
    <x v="3"/>
    <x v="15"/>
    <n v="3368"/>
    <s v="USA"/>
    <x v="197"/>
    <x v="87"/>
    <x v="0"/>
    <n v="150000"/>
    <x v="14"/>
    <s v="F"/>
    <x v="53"/>
    <x v="2"/>
  </r>
  <r>
    <n v="503957"/>
    <n v="1442"/>
    <s v="USA"/>
    <d v="2023-09-18T01:06:00"/>
    <x v="3"/>
    <x v="31"/>
    <n v="2938"/>
    <s v="USA"/>
    <x v="121"/>
    <x v="207"/>
    <x v="2"/>
    <n v="100000"/>
    <x v="22"/>
    <s v="M"/>
    <x v="43"/>
    <x v="3"/>
  </r>
  <r>
    <n v="504071"/>
    <n v="1811"/>
    <s v="USA"/>
    <d v="2023-08-14T00:32:00"/>
    <x v="1"/>
    <x v="11"/>
    <n v="2261"/>
    <s v="USA"/>
    <x v="192"/>
    <x v="58"/>
    <x v="1"/>
    <n v="150000"/>
    <x v="1"/>
    <s v="F"/>
    <x v="33"/>
    <x v="1"/>
  </r>
  <r>
    <n v="504938"/>
    <n v="84"/>
    <s v="USA"/>
    <d v="2023-07-10T23:36:00"/>
    <x v="0"/>
    <x v="24"/>
    <n v="6541"/>
    <s v="USA"/>
    <x v="311"/>
    <x v="135"/>
    <x v="1"/>
    <n v="100000"/>
    <x v="18"/>
    <s v="M"/>
    <x v="67"/>
    <x v="2"/>
  </r>
  <r>
    <n v="505298"/>
    <n v="1854"/>
    <s v="USA"/>
    <d v="2023-07-04T00:34:00"/>
    <x v="0"/>
    <x v="74"/>
    <n v="7393"/>
    <s v="USA"/>
    <x v="167"/>
    <x v="21"/>
    <x v="1"/>
    <n v="200000"/>
    <x v="18"/>
    <s v="F"/>
    <x v="27"/>
    <x v="1"/>
  </r>
  <r>
    <n v="506188"/>
    <n v="515"/>
    <s v="Spain"/>
    <d v="2023-02-13T00:36:00"/>
    <x v="0"/>
    <x v="23"/>
    <n v="2177"/>
    <s v="Spain"/>
    <x v="301"/>
    <x v="120"/>
    <x v="0"/>
    <n v="1000000"/>
    <x v="12"/>
    <s v="F"/>
    <x v="2"/>
    <x v="0"/>
  </r>
  <r>
    <n v="506560"/>
    <n v="301"/>
    <s v="India"/>
    <d v="2023-01-26T00:20:00"/>
    <x v="3"/>
    <x v="42"/>
    <n v="2071"/>
    <s v="India"/>
    <x v="112"/>
    <x v="68"/>
    <x v="0"/>
    <n v="200000"/>
    <x v="14"/>
    <s v="M"/>
    <x v="7"/>
    <x v="2"/>
  </r>
  <r>
    <n v="506882"/>
    <n v="197"/>
    <s v="USA"/>
    <d v="2023-11-02T01:26:00"/>
    <x v="2"/>
    <x v="23"/>
    <n v="3087"/>
    <s v="USA"/>
    <x v="105"/>
    <x v="65"/>
    <x v="0"/>
    <n v="1000000"/>
    <x v="12"/>
    <s v="M"/>
    <x v="4"/>
    <x v="2"/>
  </r>
  <r>
    <n v="507043"/>
    <n v="933"/>
    <s v="USA"/>
    <d v="2023-07-19T01:46:00"/>
    <x v="1"/>
    <x v="23"/>
    <n v="6796"/>
    <s v="USA"/>
    <x v="316"/>
    <x v="129"/>
    <x v="0"/>
    <n v="1000000"/>
    <x v="12"/>
    <s v="F"/>
    <x v="32"/>
    <x v="0"/>
  </r>
  <r>
    <n v="508458"/>
    <n v="864"/>
    <s v="USA"/>
    <d v="2023-06-09T01:23:00"/>
    <x v="2"/>
    <x v="14"/>
    <n v="1522"/>
    <s v="USA"/>
    <x v="61"/>
    <x v="83"/>
    <x v="3"/>
    <n v="200000"/>
    <x v="13"/>
    <s v="F"/>
    <x v="61"/>
    <x v="0"/>
  </r>
  <r>
    <n v="508989"/>
    <n v="1307"/>
    <s v="France"/>
    <d v="2023-03-03T01:06:00"/>
    <x v="0"/>
    <x v="72"/>
    <n v="3733"/>
    <s v="France"/>
    <x v="30"/>
    <x v="207"/>
    <x v="0"/>
    <n v="80000"/>
    <x v="4"/>
    <s v="F"/>
    <x v="61"/>
    <x v="3"/>
  </r>
  <r>
    <n v="509663"/>
    <n v="1437"/>
    <s v="USA"/>
    <d v="2023-06-25T00:03:00"/>
    <x v="3"/>
    <x v="77"/>
    <n v="6211"/>
    <s v="USA"/>
    <x v="138"/>
    <x v="72"/>
    <x v="1"/>
    <n v="250000"/>
    <x v="24"/>
    <s v="M"/>
    <x v="16"/>
    <x v="3"/>
  </r>
  <r>
    <n v="510478"/>
    <n v="12"/>
    <s v="Spain"/>
    <d v="2023-03-13T23:14:00"/>
    <x v="3"/>
    <x v="84"/>
    <n v="4788"/>
    <s v="Spain"/>
    <x v="317"/>
    <x v="70"/>
    <x v="2"/>
    <n v="100000"/>
    <x v="3"/>
    <s v="F"/>
    <x v="48"/>
    <x v="2"/>
  </r>
  <r>
    <n v="510541"/>
    <n v="1007"/>
    <s v="USA"/>
    <d v="2023-03-03T00:11:00"/>
    <x v="1"/>
    <x v="82"/>
    <n v="8601"/>
    <s v="USA"/>
    <x v="30"/>
    <x v="10"/>
    <x v="2"/>
    <n v="100000"/>
    <x v="19"/>
    <s v="F"/>
    <x v="14"/>
    <x v="3"/>
  </r>
  <r>
    <n v="510910"/>
    <n v="1461"/>
    <s v="USA"/>
    <d v="2023-01-03T23:34:00"/>
    <x v="1"/>
    <x v="4"/>
    <n v="1323"/>
    <s v="USA"/>
    <x v="54"/>
    <x v="99"/>
    <x v="0"/>
    <n v="200000"/>
    <x v="4"/>
    <s v="M"/>
    <x v="55"/>
    <x v="3"/>
  </r>
  <r>
    <n v="510973"/>
    <n v="679"/>
    <s v="Singapore"/>
    <d v="2023-02-19T01:04:00"/>
    <x v="0"/>
    <x v="86"/>
    <n v="7192"/>
    <s v="Singapore"/>
    <x v="110"/>
    <x v="121"/>
    <x v="0"/>
    <n v="150000"/>
    <x v="11"/>
    <s v="M"/>
    <x v="6"/>
    <x v="0"/>
  </r>
  <r>
    <n v="511431"/>
    <n v="1125"/>
    <s v="Singapore"/>
    <d v="2023-08-07T01:35:00"/>
    <x v="3"/>
    <x v="39"/>
    <n v="1624"/>
    <s v="Singapore"/>
    <x v="258"/>
    <x v="200"/>
    <x v="3"/>
    <n v="1000000"/>
    <x v="6"/>
    <s v="M"/>
    <x v="65"/>
    <x v="3"/>
  </r>
  <r>
    <n v="512440"/>
    <n v="99"/>
    <s v="Australia"/>
    <d v="2023-06-07T00:45:00"/>
    <x v="3"/>
    <x v="87"/>
    <n v="4280"/>
    <s v="Australia"/>
    <x v="69"/>
    <x v="29"/>
    <x v="0"/>
    <n v="100000"/>
    <x v="16"/>
    <s v="F"/>
    <x v="33"/>
    <x v="2"/>
  </r>
  <r>
    <n v="513417"/>
    <n v="1836"/>
    <s v="France"/>
    <d v="2023-09-21T00:48:00"/>
    <x v="0"/>
    <x v="74"/>
    <n v="2613"/>
    <s v="France"/>
    <x v="206"/>
    <x v="88"/>
    <x v="1"/>
    <n v="200000"/>
    <x v="18"/>
    <s v="M"/>
    <x v="40"/>
    <x v="1"/>
  </r>
  <r>
    <n v="513459"/>
    <n v="961"/>
    <s v="USA"/>
    <d v="2023-02-09T00:06:00"/>
    <x v="0"/>
    <x v="25"/>
    <n v="9907"/>
    <s v="USA"/>
    <x v="177"/>
    <x v="22"/>
    <x v="1"/>
    <n v="150000"/>
    <x v="17"/>
    <s v="F"/>
    <x v="43"/>
    <x v="0"/>
  </r>
  <r>
    <n v="514198"/>
    <n v="1617"/>
    <s v="Austria"/>
    <d v="2023-11-23T01:14:00"/>
    <x v="0"/>
    <x v="30"/>
    <n v="9711"/>
    <s v="Austria"/>
    <x v="7"/>
    <x v="156"/>
    <x v="2"/>
    <n v="150000"/>
    <x v="21"/>
    <s v="M"/>
    <x v="63"/>
    <x v="1"/>
  </r>
  <r>
    <n v="514550"/>
    <n v="178"/>
    <s v="India"/>
    <d v="2023-06-01T01:37:00"/>
    <x v="3"/>
    <x v="64"/>
    <n v="9871"/>
    <s v="India"/>
    <x v="228"/>
    <x v="109"/>
    <x v="2"/>
    <n v="100000"/>
    <x v="3"/>
    <s v="F"/>
    <x v="32"/>
    <x v="2"/>
  </r>
  <r>
    <n v="515145"/>
    <n v="667"/>
    <s v="France"/>
    <d v="2023-11-21T22:31:00"/>
    <x v="0"/>
    <x v="36"/>
    <n v="6458"/>
    <s v="France"/>
    <x v="185"/>
    <x v="208"/>
    <x v="0"/>
    <n v="150000"/>
    <x v="10"/>
    <s v="M"/>
    <x v="71"/>
    <x v="0"/>
  </r>
  <r>
    <n v="515694"/>
    <n v="1034"/>
    <s v="Italy"/>
    <d v="2023-12-02T01:30:00"/>
    <x v="0"/>
    <x v="65"/>
    <n v="462"/>
    <s v="Italy"/>
    <x v="180"/>
    <x v="209"/>
    <x v="4"/>
    <n v="250000"/>
    <x v="28"/>
    <s v="F"/>
    <x v="34"/>
    <x v="3"/>
  </r>
  <r>
    <n v="517514"/>
    <n v="459"/>
    <s v="Italy"/>
    <d v="2023-04-13T22:55:00"/>
    <x v="0"/>
    <x v="38"/>
    <n v="1379"/>
    <s v="Italy"/>
    <x v="260"/>
    <x v="125"/>
    <x v="2"/>
    <n v="100000"/>
    <x v="22"/>
    <s v="F"/>
    <x v="35"/>
    <x v="2"/>
  </r>
  <r>
    <n v="517568"/>
    <n v="1475"/>
    <s v="Spain"/>
    <d v="2023-10-01T00:30:00"/>
    <x v="0"/>
    <x v="39"/>
    <n v="794"/>
    <s v="Spain"/>
    <x v="142"/>
    <x v="111"/>
    <x v="3"/>
    <n v="1000000"/>
    <x v="6"/>
    <s v="F"/>
    <x v="5"/>
    <x v="3"/>
  </r>
  <r>
    <n v="517712"/>
    <n v="817"/>
    <s v="USA"/>
    <d v="2023-08-20T00:57:00"/>
    <x v="0"/>
    <x v="40"/>
    <n v="8560"/>
    <s v="USA"/>
    <x v="251"/>
    <x v="42"/>
    <x v="2"/>
    <n v="150000"/>
    <x v="2"/>
    <s v="M"/>
    <x v="36"/>
    <x v="0"/>
  </r>
  <r>
    <n v="519130"/>
    <n v="1036"/>
    <s v="India"/>
    <d v="2023-09-28T00:35:00"/>
    <x v="2"/>
    <x v="77"/>
    <n v="6750"/>
    <s v="India"/>
    <x v="270"/>
    <x v="67"/>
    <x v="1"/>
    <n v="250000"/>
    <x v="24"/>
    <s v="F"/>
    <x v="3"/>
    <x v="3"/>
  </r>
  <r>
    <n v="520080"/>
    <n v="922"/>
    <s v="Switzerland"/>
    <d v="2023-10-18T01:34:00"/>
    <x v="1"/>
    <x v="67"/>
    <n v="917"/>
    <s v="Switzerland"/>
    <x v="47"/>
    <x v="161"/>
    <x v="3"/>
    <n v="150000"/>
    <x v="29"/>
    <s v="F"/>
    <x v="34"/>
    <x v="0"/>
  </r>
  <r>
    <n v="520860"/>
    <n v="848"/>
    <s v="USA"/>
    <d v="2023-01-23T22:39:00"/>
    <x v="3"/>
    <x v="2"/>
    <n v="7161"/>
    <s v="USA"/>
    <x v="21"/>
    <x v="90"/>
    <x v="2"/>
    <n v="100000"/>
    <x v="2"/>
    <s v="F"/>
    <x v="60"/>
    <x v="0"/>
  </r>
  <r>
    <n v="520868"/>
    <n v="1941"/>
    <s v="Spain"/>
    <d v="2023-11-24T00:43:00"/>
    <x v="0"/>
    <x v="3"/>
    <n v="870"/>
    <s v="Spain"/>
    <x v="126"/>
    <x v="112"/>
    <x v="2"/>
    <n v="150000"/>
    <x v="3"/>
    <s v="F"/>
    <x v="46"/>
    <x v="1"/>
  </r>
  <r>
    <n v="521015"/>
    <n v="1351"/>
    <s v="Spain"/>
    <d v="2023-04-04T01:09:00"/>
    <x v="2"/>
    <x v="23"/>
    <n v="9200"/>
    <s v="Spain"/>
    <x v="127"/>
    <x v="92"/>
    <x v="0"/>
    <n v="1000000"/>
    <x v="12"/>
    <s v="F"/>
    <x v="53"/>
    <x v="3"/>
  </r>
  <r>
    <n v="521330"/>
    <n v="1714"/>
    <s v="Spain"/>
    <d v="2023-08-06T23:19:00"/>
    <x v="2"/>
    <x v="39"/>
    <n v="9321"/>
    <s v="Spain"/>
    <x v="187"/>
    <x v="24"/>
    <x v="3"/>
    <n v="1000000"/>
    <x v="6"/>
    <s v="M"/>
    <x v="19"/>
    <x v="1"/>
  </r>
  <r>
    <n v="521761"/>
    <n v="1504"/>
    <s v="France"/>
    <d v="2023-07-06T23:25:00"/>
    <x v="1"/>
    <x v="65"/>
    <n v="4462"/>
    <s v="France"/>
    <x v="191"/>
    <x v="141"/>
    <x v="4"/>
    <n v="250000"/>
    <x v="28"/>
    <s v="F"/>
    <x v="19"/>
    <x v="1"/>
  </r>
  <r>
    <n v="522201"/>
    <n v="760"/>
    <s v="India"/>
    <d v="2023-11-10T23:46:00"/>
    <x v="0"/>
    <x v="20"/>
    <n v="9296"/>
    <s v="India"/>
    <x v="283"/>
    <x v="9"/>
    <x v="1"/>
    <n v="200000"/>
    <x v="17"/>
    <s v="M"/>
    <x v="13"/>
    <x v="0"/>
  </r>
  <r>
    <n v="525192"/>
    <n v="1484"/>
    <s v="USA"/>
    <d v="2023-01-26T00:09:00"/>
    <x v="0"/>
    <x v="17"/>
    <n v="2431"/>
    <s v="USA"/>
    <x v="112"/>
    <x v="81"/>
    <x v="0"/>
    <n v="150000"/>
    <x v="14"/>
    <s v="F"/>
    <x v="58"/>
    <x v="3"/>
  </r>
  <r>
    <n v="525405"/>
    <n v="796"/>
    <s v="Finland"/>
    <d v="2023-01-17T00:15:00"/>
    <x v="2"/>
    <x v="62"/>
    <n v="6640"/>
    <s v="Finland"/>
    <x v="89"/>
    <x v="123"/>
    <x v="2"/>
    <n v="150000"/>
    <x v="27"/>
    <s v="F"/>
    <x v="18"/>
    <x v="0"/>
  </r>
  <r>
    <n v="525500"/>
    <n v="299"/>
    <s v="India"/>
    <d v="2023-07-04T01:12:00"/>
    <x v="0"/>
    <x v="25"/>
    <n v="9056"/>
    <s v="India"/>
    <x v="167"/>
    <x v="52"/>
    <x v="1"/>
    <n v="150000"/>
    <x v="17"/>
    <s v="M"/>
    <x v="30"/>
    <x v="2"/>
  </r>
  <r>
    <n v="525782"/>
    <n v="833"/>
    <s v="Switzerland"/>
    <d v="2023-06-02T00:24:00"/>
    <x v="0"/>
    <x v="5"/>
    <n v="257"/>
    <s v="Switzerland"/>
    <x v="266"/>
    <x v="115"/>
    <x v="2"/>
    <n v="150000"/>
    <x v="5"/>
    <s v="F"/>
    <x v="44"/>
    <x v="0"/>
  </r>
  <r>
    <n v="528569"/>
    <n v="1993"/>
    <s v="USA"/>
    <d v="2023-06-26T01:42:00"/>
    <x v="3"/>
    <x v="60"/>
    <n v="613"/>
    <s v="USA"/>
    <x v="314"/>
    <x v="14"/>
    <x v="1"/>
    <n v="100000"/>
    <x v="26"/>
    <s v="M"/>
    <x v="57"/>
    <x v="1"/>
  </r>
  <r>
    <n v="529245"/>
    <n v="650"/>
    <s v="France"/>
    <d v="2023-02-16T00:23:00"/>
    <x v="1"/>
    <x v="26"/>
    <n v="1465"/>
    <s v="France"/>
    <x v="197"/>
    <x v="6"/>
    <x v="2"/>
    <n v="200000"/>
    <x v="19"/>
    <s v="F"/>
    <x v="4"/>
    <x v="0"/>
  </r>
  <r>
    <n v="529816"/>
    <n v="424"/>
    <s v="Spain"/>
    <d v="2023-09-04T23:49:00"/>
    <x v="2"/>
    <x v="49"/>
    <n v="4135"/>
    <s v="Spain"/>
    <x v="318"/>
    <x v="43"/>
    <x v="0"/>
    <n v="100000"/>
    <x v="10"/>
    <s v="M"/>
    <x v="50"/>
    <x v="2"/>
  </r>
  <r>
    <n v="530067"/>
    <n v="1126"/>
    <s v="France"/>
    <d v="2023-08-17T01:17:00"/>
    <x v="0"/>
    <x v="81"/>
    <n v="8259"/>
    <s v="France"/>
    <x v="122"/>
    <x v="210"/>
    <x v="4"/>
    <n v="100000"/>
    <x v="15"/>
    <s v="M"/>
    <x v="48"/>
    <x v="3"/>
  </r>
  <r>
    <n v="531173"/>
    <n v="27"/>
    <s v="USA"/>
    <d v="2023-08-08T02:00:00"/>
    <x v="3"/>
    <x v="30"/>
    <n v="9787"/>
    <s v="USA"/>
    <x v="98"/>
    <x v="23"/>
    <x v="2"/>
    <n v="150000"/>
    <x v="21"/>
    <s v="F"/>
    <x v="50"/>
    <x v="2"/>
  </r>
  <r>
    <n v="531700"/>
    <n v="925"/>
    <s v="USA"/>
    <d v="2023-06-05T00:51:00"/>
    <x v="3"/>
    <x v="64"/>
    <n v="8597"/>
    <s v="USA"/>
    <x v="12"/>
    <x v="93"/>
    <x v="2"/>
    <n v="100000"/>
    <x v="3"/>
    <s v="F"/>
    <x v="6"/>
    <x v="0"/>
  </r>
  <r>
    <n v="532196"/>
    <n v="1019"/>
    <s v="Italy"/>
    <d v="2023-10-08T00:48:00"/>
    <x v="0"/>
    <x v="65"/>
    <n v="3019"/>
    <s v="Italy"/>
    <x v="319"/>
    <x v="88"/>
    <x v="4"/>
    <n v="250000"/>
    <x v="28"/>
    <s v="F"/>
    <x v="71"/>
    <x v="3"/>
  </r>
  <r>
    <n v="532654"/>
    <n v="1948"/>
    <s v="USA"/>
    <d v="2023-11-09T01:38:00"/>
    <x v="2"/>
    <x v="39"/>
    <n v="3310"/>
    <s v="USA"/>
    <x v="119"/>
    <x v="211"/>
    <x v="3"/>
    <n v="1000000"/>
    <x v="6"/>
    <s v="F"/>
    <x v="33"/>
    <x v="1"/>
  </r>
  <r>
    <n v="533187"/>
    <n v="1510"/>
    <s v="Norway"/>
    <d v="2023-03-13T01:04:00"/>
    <x v="0"/>
    <x v="23"/>
    <n v="825"/>
    <s v="Norway"/>
    <x v="317"/>
    <x v="121"/>
    <x v="0"/>
    <n v="1000000"/>
    <x v="12"/>
    <s v="M"/>
    <x v="12"/>
    <x v="1"/>
  </r>
  <r>
    <n v="533511"/>
    <n v="615"/>
    <s v="France"/>
    <d v="2023-03-23T00:04:00"/>
    <x v="2"/>
    <x v="65"/>
    <n v="4159"/>
    <s v="France"/>
    <x v="320"/>
    <x v="64"/>
    <x v="4"/>
    <n v="250000"/>
    <x v="28"/>
    <s v="F"/>
    <x v="62"/>
    <x v="0"/>
  </r>
  <r>
    <n v="533763"/>
    <n v="1008"/>
    <s v="Singapore"/>
    <d v="2023-06-26T00:29:00"/>
    <x v="3"/>
    <x v="39"/>
    <n v="4873"/>
    <s v="Singapore"/>
    <x v="314"/>
    <x v="50"/>
    <x v="3"/>
    <n v="1000000"/>
    <x v="6"/>
    <s v="F"/>
    <x v="18"/>
    <x v="3"/>
  </r>
  <r>
    <n v="533914"/>
    <n v="1884"/>
    <s v="USA"/>
    <d v="2023-05-30T22:56:00"/>
    <x v="0"/>
    <x v="18"/>
    <n v="5436"/>
    <s v="USA"/>
    <x v="243"/>
    <x v="26"/>
    <x v="2"/>
    <n v="100000"/>
    <x v="5"/>
    <s v="F"/>
    <x v="34"/>
    <x v="1"/>
  </r>
  <r>
    <n v="534259"/>
    <n v="249"/>
    <s v="USA"/>
    <d v="2023-05-03T23:15:00"/>
    <x v="0"/>
    <x v="37"/>
    <n v="3939"/>
    <s v="USA"/>
    <x v="141"/>
    <x v="136"/>
    <x v="3"/>
    <n v="150000"/>
    <x v="6"/>
    <s v="M"/>
    <x v="30"/>
    <x v="2"/>
  </r>
  <r>
    <n v="534263"/>
    <n v="109"/>
    <s v="USA"/>
    <d v="2023-06-16T00:34:00"/>
    <x v="3"/>
    <x v="15"/>
    <n v="3129"/>
    <s v="USA"/>
    <x v="58"/>
    <x v="21"/>
    <x v="0"/>
    <n v="150000"/>
    <x v="14"/>
    <s v="F"/>
    <x v="24"/>
    <x v="2"/>
  </r>
  <r>
    <n v="534708"/>
    <n v="854"/>
    <s v="USA"/>
    <d v="2023-09-10T00:52:00"/>
    <x v="0"/>
    <x v="31"/>
    <n v="577"/>
    <s v="USA"/>
    <x v="22"/>
    <x v="30"/>
    <x v="2"/>
    <n v="100000"/>
    <x v="22"/>
    <s v="F"/>
    <x v="57"/>
    <x v="0"/>
  </r>
  <r>
    <n v="535104"/>
    <n v="324"/>
    <s v="Australia"/>
    <d v="2023-10-30T23:13:00"/>
    <x v="1"/>
    <x v="40"/>
    <n v="7237"/>
    <s v="Australia"/>
    <x v="300"/>
    <x v="15"/>
    <x v="2"/>
    <n v="150000"/>
    <x v="2"/>
    <s v="F"/>
    <x v="9"/>
    <x v="2"/>
  </r>
  <r>
    <n v="535213"/>
    <n v="998"/>
    <s v="Norway"/>
    <d v="2023-08-20T01:06:00"/>
    <x v="2"/>
    <x v="24"/>
    <n v="1196"/>
    <s v="Norway"/>
    <x v="251"/>
    <x v="207"/>
    <x v="1"/>
    <n v="100000"/>
    <x v="18"/>
    <s v="F"/>
    <x v="20"/>
    <x v="0"/>
  </r>
  <r>
    <n v="535352"/>
    <n v="622"/>
    <s v="India"/>
    <d v="2023-07-23T23:26:00"/>
    <x v="2"/>
    <x v="10"/>
    <n v="9155"/>
    <s v="India"/>
    <x v="205"/>
    <x v="191"/>
    <x v="0"/>
    <n v="250000"/>
    <x v="10"/>
    <s v="M"/>
    <x v="37"/>
    <x v="0"/>
  </r>
  <r>
    <n v="536530"/>
    <n v="738"/>
    <s v="France"/>
    <d v="2023-04-27T23:58:00"/>
    <x v="1"/>
    <x v="39"/>
    <n v="891"/>
    <s v="France"/>
    <x v="321"/>
    <x v="96"/>
    <x v="3"/>
    <n v="1000000"/>
    <x v="6"/>
    <s v="M"/>
    <x v="5"/>
    <x v="0"/>
  </r>
  <r>
    <n v="537418"/>
    <n v="51"/>
    <s v="USA"/>
    <d v="2023-07-21T22:35:00"/>
    <x v="1"/>
    <x v="42"/>
    <n v="7284"/>
    <s v="USA"/>
    <x v="77"/>
    <x v="55"/>
    <x v="0"/>
    <n v="200000"/>
    <x v="14"/>
    <s v="F"/>
    <x v="42"/>
    <x v="2"/>
  </r>
  <r>
    <n v="537514"/>
    <n v="12"/>
    <s v="Spain"/>
    <d v="2023-10-08T00:57:00"/>
    <x v="0"/>
    <x v="4"/>
    <n v="8747"/>
    <s v="Spain"/>
    <x v="319"/>
    <x v="42"/>
    <x v="0"/>
    <n v="200000"/>
    <x v="4"/>
    <s v="F"/>
    <x v="48"/>
    <x v="2"/>
  </r>
  <r>
    <n v="537900"/>
    <n v="1009"/>
    <s v="USA"/>
    <d v="2023-01-10T00:17:00"/>
    <x v="1"/>
    <x v="42"/>
    <n v="3462"/>
    <s v="USA"/>
    <x v="293"/>
    <x v="20"/>
    <x v="0"/>
    <n v="200000"/>
    <x v="14"/>
    <s v="F"/>
    <x v="60"/>
    <x v="3"/>
  </r>
  <r>
    <n v="538560"/>
    <n v="31"/>
    <s v="USA"/>
    <d v="2023-11-01T00:21:00"/>
    <x v="3"/>
    <x v="23"/>
    <n v="9928"/>
    <s v="USA"/>
    <x v="172"/>
    <x v="2"/>
    <x v="0"/>
    <n v="1000000"/>
    <x v="12"/>
    <s v="M"/>
    <x v="13"/>
    <x v="2"/>
  </r>
  <r>
    <n v="539212"/>
    <n v="488"/>
    <s v="USA"/>
    <d v="2023-11-29T01:52:00"/>
    <x v="1"/>
    <x v="14"/>
    <n v="8345"/>
    <s v="USA"/>
    <x v="178"/>
    <x v="179"/>
    <x v="3"/>
    <n v="200000"/>
    <x v="13"/>
    <s v="F"/>
    <x v="11"/>
    <x v="2"/>
  </r>
  <r>
    <n v="539679"/>
    <n v="668"/>
    <s v="France"/>
    <d v="2023-05-07T00:28:00"/>
    <x v="2"/>
    <x v="86"/>
    <n v="24"/>
    <s v="France"/>
    <x v="37"/>
    <x v="39"/>
    <x v="0"/>
    <n v="150000"/>
    <x v="11"/>
    <s v="F"/>
    <x v="70"/>
    <x v="0"/>
  </r>
  <r>
    <n v="540823"/>
    <n v="306"/>
    <s v="India"/>
    <d v="2023-11-30T00:22:00"/>
    <x v="3"/>
    <x v="10"/>
    <n v="3011"/>
    <s v="India"/>
    <x v="26"/>
    <x v="54"/>
    <x v="0"/>
    <n v="250000"/>
    <x v="10"/>
    <s v="F"/>
    <x v="1"/>
    <x v="2"/>
  </r>
  <r>
    <n v="541612"/>
    <n v="248"/>
    <s v="USA"/>
    <d v="2023-11-06T00:26:00"/>
    <x v="3"/>
    <x v="23"/>
    <n v="3155"/>
    <s v="USA"/>
    <x v="175"/>
    <x v="151"/>
    <x v="0"/>
    <n v="1000000"/>
    <x v="12"/>
    <s v="F"/>
    <x v="59"/>
    <x v="2"/>
  </r>
  <r>
    <n v="541737"/>
    <n v="1365"/>
    <s v="USA"/>
    <d v="2023-12-23T00:23:00"/>
    <x v="1"/>
    <x v="3"/>
    <n v="1362"/>
    <s v="USA"/>
    <x v="8"/>
    <x v="6"/>
    <x v="2"/>
    <n v="150000"/>
    <x v="3"/>
    <s v="F"/>
    <x v="62"/>
    <x v="3"/>
  </r>
  <r>
    <n v="541762"/>
    <n v="1492"/>
    <s v="USA"/>
    <d v="2023-07-28T23:58:00"/>
    <x v="2"/>
    <x v="5"/>
    <n v="5062"/>
    <s v="USA"/>
    <x v="209"/>
    <x v="96"/>
    <x v="2"/>
    <n v="150000"/>
    <x v="5"/>
    <s v="F"/>
    <x v="61"/>
    <x v="3"/>
  </r>
  <r>
    <n v="541964"/>
    <n v="465"/>
    <s v="USA"/>
    <d v="2023-10-22T23:56:00"/>
    <x v="1"/>
    <x v="44"/>
    <n v="3372"/>
    <s v="USA"/>
    <x v="322"/>
    <x v="138"/>
    <x v="0"/>
    <n v="100000"/>
    <x v="12"/>
    <s v="M"/>
    <x v="22"/>
    <x v="2"/>
  </r>
  <r>
    <n v="542381"/>
    <n v="1767"/>
    <s v="France"/>
    <d v="2023-12-26T00:13:00"/>
    <x v="1"/>
    <x v="10"/>
    <n v="6198"/>
    <s v="France"/>
    <x v="81"/>
    <x v="97"/>
    <x v="0"/>
    <n v="250000"/>
    <x v="10"/>
    <s v="F"/>
    <x v="44"/>
    <x v="1"/>
  </r>
  <r>
    <n v="543294"/>
    <n v="1504"/>
    <s v="France"/>
    <d v="2023-09-13T00:27:00"/>
    <x v="1"/>
    <x v="57"/>
    <n v="3639"/>
    <s v="France"/>
    <x v="268"/>
    <x v="108"/>
    <x v="0"/>
    <n v="80000"/>
    <x v="0"/>
    <s v="F"/>
    <x v="19"/>
    <x v="1"/>
  </r>
  <r>
    <n v="543420"/>
    <n v="1942"/>
    <s v="USA"/>
    <d v="2023-06-15T23:45:00"/>
    <x v="2"/>
    <x v="61"/>
    <n v="4380"/>
    <s v="USA"/>
    <x v="123"/>
    <x v="164"/>
    <x v="4"/>
    <n v="200000"/>
    <x v="28"/>
    <s v="F"/>
    <x v="35"/>
    <x v="1"/>
  </r>
  <r>
    <n v="543688"/>
    <n v="1393"/>
    <s v="Italy"/>
    <d v="2023-08-08T00:34:00"/>
    <x v="2"/>
    <x v="13"/>
    <n v="9836"/>
    <s v="Italy"/>
    <x v="98"/>
    <x v="21"/>
    <x v="0"/>
    <n v="100000"/>
    <x v="12"/>
    <s v="F"/>
    <x v="15"/>
    <x v="3"/>
  </r>
  <r>
    <n v="544608"/>
    <n v="643"/>
    <s v="India"/>
    <d v="2023-09-23T01:56:00"/>
    <x v="3"/>
    <x v="14"/>
    <n v="3678"/>
    <s v="India"/>
    <x v="71"/>
    <x v="212"/>
    <x v="3"/>
    <n v="200000"/>
    <x v="13"/>
    <s v="F"/>
    <x v="36"/>
    <x v="0"/>
  </r>
  <r>
    <n v="544675"/>
    <n v="459"/>
    <s v="Italy"/>
    <d v="2023-05-13T01:53:00"/>
    <x v="1"/>
    <x v="85"/>
    <n v="6757"/>
    <s v="Italy"/>
    <x v="99"/>
    <x v="102"/>
    <x v="2"/>
    <n v="150000"/>
    <x v="21"/>
    <s v="F"/>
    <x v="35"/>
    <x v="2"/>
  </r>
  <r>
    <n v="545696"/>
    <n v="1682"/>
    <s v="France"/>
    <d v="2023-06-08T01:05:00"/>
    <x v="3"/>
    <x v="75"/>
    <n v="9120"/>
    <s v="France"/>
    <x v="267"/>
    <x v="12"/>
    <x v="1"/>
    <n v="50000"/>
    <x v="7"/>
    <s v="M"/>
    <x v="54"/>
    <x v="1"/>
  </r>
  <r>
    <n v="546278"/>
    <n v="1510"/>
    <s v="Norway"/>
    <d v="2023-06-04T01:08:00"/>
    <x v="1"/>
    <x v="47"/>
    <n v="5853"/>
    <s v="Norway"/>
    <x v="190"/>
    <x v="37"/>
    <x v="3"/>
    <n v="100000"/>
    <x v="20"/>
    <s v="M"/>
    <x v="12"/>
    <x v="1"/>
  </r>
  <r>
    <n v="546758"/>
    <n v="1844"/>
    <s v="Singapore"/>
    <d v="2023-08-02T00:45:00"/>
    <x v="0"/>
    <x v="18"/>
    <n v="316"/>
    <s v="Singapore"/>
    <x v="159"/>
    <x v="29"/>
    <x v="2"/>
    <n v="100000"/>
    <x v="5"/>
    <s v="F"/>
    <x v="51"/>
    <x v="1"/>
  </r>
  <r>
    <n v="546839"/>
    <n v="1566"/>
    <s v="USA"/>
    <d v="2023-12-10T00:57:00"/>
    <x v="1"/>
    <x v="48"/>
    <n v="8639"/>
    <s v="USA"/>
    <x v="309"/>
    <x v="42"/>
    <x v="1"/>
    <n v="100000"/>
    <x v="9"/>
    <s v="M"/>
    <x v="71"/>
    <x v="1"/>
  </r>
  <r>
    <n v="547144"/>
    <n v="1666"/>
    <s v="Spain"/>
    <d v="2023-01-14T01:02:00"/>
    <x v="3"/>
    <x v="35"/>
    <n v="5455"/>
    <s v="Spain"/>
    <x v="170"/>
    <x v="186"/>
    <x v="4"/>
    <n v="100000"/>
    <x v="15"/>
    <s v="F"/>
    <x v="29"/>
    <x v="1"/>
  </r>
  <r>
    <n v="547283"/>
    <n v="1363"/>
    <s v="France"/>
    <d v="2023-04-24T00:04:00"/>
    <x v="1"/>
    <x v="88"/>
    <n v="2149"/>
    <s v="France"/>
    <x v="290"/>
    <x v="64"/>
    <x v="3"/>
    <n v="30000"/>
    <x v="29"/>
    <s v="F"/>
    <x v="49"/>
    <x v="3"/>
  </r>
  <r>
    <n v="548423"/>
    <n v="1109"/>
    <s v="India"/>
    <d v="2023-09-21T01:16:00"/>
    <x v="0"/>
    <x v="28"/>
    <n v="3958"/>
    <s v="India"/>
    <x v="206"/>
    <x v="84"/>
    <x v="3"/>
    <n v="80000"/>
    <x v="20"/>
    <s v="F"/>
    <x v="46"/>
    <x v="3"/>
  </r>
  <r>
    <n v="548714"/>
    <n v="1156"/>
    <s v="Norway"/>
    <d v="2023-06-22T00:31:00"/>
    <x v="3"/>
    <x v="23"/>
    <n v="6145"/>
    <s v="Norway"/>
    <x v="82"/>
    <x v="3"/>
    <x v="0"/>
    <n v="1000000"/>
    <x v="12"/>
    <s v="M"/>
    <x v="31"/>
    <x v="3"/>
  </r>
  <r>
    <n v="549930"/>
    <n v="685"/>
    <s v="Australia"/>
    <d v="2023-06-26T23:54:00"/>
    <x v="3"/>
    <x v="1"/>
    <n v="8311"/>
    <s v="Australia"/>
    <x v="314"/>
    <x v="174"/>
    <x v="1"/>
    <n v="200000"/>
    <x v="1"/>
    <s v="M"/>
    <x v="63"/>
    <x v="0"/>
  </r>
  <r>
    <n v="550510"/>
    <n v="536"/>
    <s v="Germany"/>
    <d v="2023-04-20T23:35:00"/>
    <x v="1"/>
    <x v="12"/>
    <n v="4540"/>
    <s v="Germany"/>
    <x v="165"/>
    <x v="74"/>
    <x v="0"/>
    <n v="80000"/>
    <x v="11"/>
    <s v="F"/>
    <x v="45"/>
    <x v="0"/>
  </r>
  <r>
    <n v="551810"/>
    <n v="477"/>
    <s v="Australia"/>
    <d v="2023-06-08T00:35:00"/>
    <x v="3"/>
    <x v="70"/>
    <n v="8174"/>
    <s v="Australia"/>
    <x v="267"/>
    <x v="67"/>
    <x v="3"/>
    <n v="150000"/>
    <x v="29"/>
    <s v="M"/>
    <x v="34"/>
    <x v="2"/>
  </r>
  <r>
    <n v="551997"/>
    <n v="1620"/>
    <s v="USA"/>
    <d v="2023-09-26T23:22:00"/>
    <x v="1"/>
    <x v="0"/>
    <n v="5017"/>
    <s v="USA"/>
    <x v="239"/>
    <x v="137"/>
    <x v="0"/>
    <n v="200000"/>
    <x v="0"/>
    <s v="F"/>
    <x v="57"/>
    <x v="1"/>
  </r>
  <r>
    <n v="552382"/>
    <n v="375"/>
    <s v="Australia"/>
    <d v="2023-05-02T00:29:00"/>
    <x v="2"/>
    <x v="10"/>
    <n v="626"/>
    <s v="Australia"/>
    <x v="211"/>
    <x v="50"/>
    <x v="0"/>
    <n v="250000"/>
    <x v="10"/>
    <s v="F"/>
    <x v="23"/>
    <x v="2"/>
  </r>
  <r>
    <n v="552420"/>
    <n v="31"/>
    <s v="USA"/>
    <d v="2023-07-24T23:33:00"/>
    <x v="0"/>
    <x v="2"/>
    <n v="3937"/>
    <s v="USA"/>
    <x v="200"/>
    <x v="62"/>
    <x v="2"/>
    <n v="100000"/>
    <x v="2"/>
    <s v="M"/>
    <x v="13"/>
    <x v="2"/>
  </r>
  <r>
    <n v="552683"/>
    <n v="131"/>
    <s v="Italy"/>
    <d v="2023-05-08T01:26:00"/>
    <x v="0"/>
    <x v="3"/>
    <n v="6578"/>
    <s v="Italy"/>
    <x v="215"/>
    <x v="65"/>
    <x v="2"/>
    <n v="150000"/>
    <x v="3"/>
    <s v="F"/>
    <x v="70"/>
    <x v="2"/>
  </r>
  <r>
    <n v="554150"/>
    <n v="343"/>
    <s v="India"/>
    <d v="2023-05-05T00:03:00"/>
    <x v="2"/>
    <x v="4"/>
    <n v="1090"/>
    <s v="India"/>
    <x v="106"/>
    <x v="72"/>
    <x v="0"/>
    <n v="200000"/>
    <x v="4"/>
    <s v="F"/>
    <x v="51"/>
    <x v="2"/>
  </r>
  <r>
    <n v="556001"/>
    <n v="395"/>
    <s v="India"/>
    <d v="2023-01-28T00:18:00"/>
    <x v="0"/>
    <x v="5"/>
    <n v="8901"/>
    <s v="India"/>
    <x v="323"/>
    <x v="139"/>
    <x v="2"/>
    <n v="150000"/>
    <x v="5"/>
    <s v="F"/>
    <x v="13"/>
    <x v="2"/>
  </r>
  <r>
    <n v="556930"/>
    <n v="1847"/>
    <s v="France"/>
    <d v="2023-01-14T00:23:00"/>
    <x v="2"/>
    <x v="6"/>
    <n v="1675"/>
    <s v="France"/>
    <x v="170"/>
    <x v="6"/>
    <x v="3"/>
    <n v="150000"/>
    <x v="6"/>
    <s v="M"/>
    <x v="19"/>
    <x v="1"/>
  </r>
  <r>
    <n v="557919"/>
    <n v="736"/>
    <s v="USA"/>
    <d v="2023-11-07T01:51:00"/>
    <x v="1"/>
    <x v="7"/>
    <n v="1848"/>
    <s v="USA"/>
    <x v="91"/>
    <x v="104"/>
    <x v="1"/>
    <n v="150000"/>
    <x v="7"/>
    <s v="M"/>
    <x v="63"/>
    <x v="0"/>
  </r>
  <r>
    <n v="558573"/>
    <n v="342"/>
    <s v="India"/>
    <d v="2023-09-23T00:35:00"/>
    <x v="0"/>
    <x v="8"/>
    <n v="2278"/>
    <s v="India"/>
    <x v="71"/>
    <x v="67"/>
    <x v="1"/>
    <n v="150000"/>
    <x v="8"/>
    <s v="F"/>
    <x v="48"/>
    <x v="2"/>
  </r>
  <r>
    <n v="559015"/>
    <n v="785"/>
    <s v="Ireland"/>
    <d v="2023-05-13T00:46:00"/>
    <x v="0"/>
    <x v="44"/>
    <n v="9196"/>
    <s v="Ireland"/>
    <x v="99"/>
    <x v="77"/>
    <x v="0"/>
    <n v="100000"/>
    <x v="12"/>
    <s v="M"/>
    <x v="60"/>
    <x v="0"/>
  </r>
  <r>
    <n v="559948"/>
    <n v="1548"/>
    <s v="France"/>
    <d v="2023-09-08T23:30:00"/>
    <x v="1"/>
    <x v="10"/>
    <n v="1404"/>
    <s v="France"/>
    <x v="315"/>
    <x v="213"/>
    <x v="0"/>
    <n v="250000"/>
    <x v="10"/>
    <s v="M"/>
    <x v="7"/>
    <x v="1"/>
  </r>
  <r>
    <n v="560179"/>
    <n v="1615"/>
    <s v="Spain"/>
    <d v="2023-07-05T01:04:00"/>
    <x v="1"/>
    <x v="45"/>
    <n v="227"/>
    <s v="Spain"/>
    <x v="324"/>
    <x v="121"/>
    <x v="4"/>
    <n v="100000"/>
    <x v="25"/>
    <s v="M"/>
    <x v="71"/>
    <x v="1"/>
  </r>
  <r>
    <n v="560929"/>
    <n v="995"/>
    <s v="France"/>
    <d v="2023-01-21T00:03:00"/>
    <x v="0"/>
    <x v="12"/>
    <n v="2792"/>
    <s v="France"/>
    <x v="325"/>
    <x v="72"/>
    <x v="0"/>
    <n v="80000"/>
    <x v="11"/>
    <s v="F"/>
    <x v="43"/>
    <x v="0"/>
  </r>
  <r>
    <n v="561027"/>
    <n v="185"/>
    <s v="Austria"/>
    <d v="2023-11-25T01:20:00"/>
    <x v="1"/>
    <x v="13"/>
    <n v="9534"/>
    <s v="Austria"/>
    <x v="120"/>
    <x v="8"/>
    <x v="0"/>
    <n v="100000"/>
    <x v="12"/>
    <s v="M"/>
    <x v="46"/>
    <x v="2"/>
  </r>
  <r>
    <n v="561399"/>
    <n v="761"/>
    <s v="Denmark"/>
    <d v="2023-10-26T00:48:00"/>
    <x v="0"/>
    <x v="14"/>
    <n v="6729"/>
    <s v="Denmark"/>
    <x v="4"/>
    <x v="88"/>
    <x v="3"/>
    <n v="200000"/>
    <x v="13"/>
    <s v="M"/>
    <x v="53"/>
    <x v="0"/>
  </r>
  <r>
    <n v="561511"/>
    <n v="690"/>
    <s v="Germany"/>
    <d v="2023-12-01T01:15:00"/>
    <x v="0"/>
    <x v="15"/>
    <n v="6808"/>
    <s v="Germany"/>
    <x v="326"/>
    <x v="127"/>
    <x v="0"/>
    <n v="150000"/>
    <x v="14"/>
    <s v="M"/>
    <x v="2"/>
    <x v="0"/>
  </r>
  <r>
    <n v="561728"/>
    <n v="1193"/>
    <s v="Italy"/>
    <d v="2023-03-26T23:02:00"/>
    <x v="2"/>
    <x v="46"/>
    <n v="9790"/>
    <s v="Italy"/>
    <x v="132"/>
    <x v="114"/>
    <x v="1"/>
    <n v="30000"/>
    <x v="26"/>
    <s v="M"/>
    <x v="45"/>
    <x v="3"/>
  </r>
  <r>
    <n v="561976"/>
    <n v="286"/>
    <s v="USA"/>
    <d v="2023-04-04T00:15:00"/>
    <x v="0"/>
    <x v="47"/>
    <n v="3146"/>
    <s v="USA"/>
    <x v="127"/>
    <x v="123"/>
    <x v="3"/>
    <n v="100000"/>
    <x v="20"/>
    <s v="M"/>
    <x v="33"/>
    <x v="2"/>
  </r>
  <r>
    <n v="562295"/>
    <n v="853"/>
    <s v="USA"/>
    <d v="2023-07-21T00:02:00"/>
    <x v="1"/>
    <x v="18"/>
    <n v="3046"/>
    <s v="USA"/>
    <x v="77"/>
    <x v="89"/>
    <x v="2"/>
    <n v="100000"/>
    <x v="5"/>
    <s v="M"/>
    <x v="56"/>
    <x v="0"/>
  </r>
  <r>
    <n v="563443"/>
    <n v="173"/>
    <s v="India"/>
    <d v="2023-10-29T00:36:00"/>
    <x v="0"/>
    <x v="0"/>
    <n v="8023"/>
    <s v="India"/>
    <x v="327"/>
    <x v="120"/>
    <x v="0"/>
    <n v="200000"/>
    <x v="0"/>
    <s v="M"/>
    <x v="0"/>
    <x v="2"/>
  </r>
  <r>
    <n v="563575"/>
    <n v="947"/>
    <s v="Australia"/>
    <d v="2023-04-05T23:41:00"/>
    <x v="3"/>
    <x v="35"/>
    <n v="2260"/>
    <s v="Australia"/>
    <x v="95"/>
    <x v="155"/>
    <x v="4"/>
    <n v="100000"/>
    <x v="15"/>
    <s v="F"/>
    <x v="13"/>
    <x v="0"/>
  </r>
  <r>
    <n v="564076"/>
    <n v="1862"/>
    <s v="Australia"/>
    <d v="2023-05-30T23:51:00"/>
    <x v="3"/>
    <x v="5"/>
    <n v="7241"/>
    <s v="Australia"/>
    <x v="243"/>
    <x v="87"/>
    <x v="2"/>
    <n v="150000"/>
    <x v="5"/>
    <s v="F"/>
    <x v="41"/>
    <x v="1"/>
  </r>
  <r>
    <n v="564478"/>
    <n v="1827"/>
    <s v="USA"/>
    <d v="2023-02-10T00:29:00"/>
    <x v="0"/>
    <x v="28"/>
    <n v="4891"/>
    <s v="USA"/>
    <x v="115"/>
    <x v="50"/>
    <x v="3"/>
    <n v="80000"/>
    <x v="20"/>
    <s v="M"/>
    <x v="57"/>
    <x v="1"/>
  </r>
  <r>
    <n v="565068"/>
    <n v="1689"/>
    <s v="Australia"/>
    <d v="2023-06-10T23:21:00"/>
    <x v="1"/>
    <x v="37"/>
    <n v="1282"/>
    <s v="Australia"/>
    <x v="117"/>
    <x v="69"/>
    <x v="3"/>
    <n v="150000"/>
    <x v="6"/>
    <s v="M"/>
    <x v="63"/>
    <x v="1"/>
  </r>
  <r>
    <n v="565931"/>
    <n v="256"/>
    <s v="Australia"/>
    <d v="2023-07-22T00:20:00"/>
    <x v="1"/>
    <x v="9"/>
    <n v="9251"/>
    <s v="Australia"/>
    <x v="302"/>
    <x v="68"/>
    <x v="1"/>
    <n v="150000"/>
    <x v="9"/>
    <s v="M"/>
    <x v="54"/>
    <x v="2"/>
  </r>
  <r>
    <n v="566436"/>
    <n v="1406"/>
    <s v="Australia"/>
    <d v="2023-12-17T22:32:00"/>
    <x v="0"/>
    <x v="23"/>
    <n v="806"/>
    <s v="Australia"/>
    <x v="72"/>
    <x v="170"/>
    <x v="0"/>
    <n v="1000000"/>
    <x v="12"/>
    <s v="M"/>
    <x v="65"/>
    <x v="3"/>
  </r>
  <r>
    <n v="566985"/>
    <n v="146"/>
    <s v="Norway"/>
    <d v="2023-06-27T00:48:00"/>
    <x v="0"/>
    <x v="72"/>
    <n v="3344"/>
    <s v="Norway"/>
    <x v="328"/>
    <x v="88"/>
    <x v="0"/>
    <n v="80000"/>
    <x v="4"/>
    <s v="M"/>
    <x v="67"/>
    <x v="2"/>
  </r>
  <r>
    <n v="568627"/>
    <n v="428"/>
    <s v="Australia"/>
    <d v="2023-02-08T23:01:00"/>
    <x v="1"/>
    <x v="77"/>
    <n v="8884"/>
    <s v="Australia"/>
    <x v="131"/>
    <x v="144"/>
    <x v="1"/>
    <n v="250000"/>
    <x v="24"/>
    <s v="F"/>
    <x v="27"/>
    <x v="2"/>
  </r>
  <r>
    <n v="568799"/>
    <n v="1429"/>
    <s v="Austria"/>
    <d v="2023-10-11T23:51:00"/>
    <x v="0"/>
    <x v="10"/>
    <n v="9085"/>
    <s v="Austria"/>
    <x v="329"/>
    <x v="87"/>
    <x v="0"/>
    <n v="250000"/>
    <x v="10"/>
    <s v="F"/>
    <x v="59"/>
    <x v="3"/>
  </r>
  <r>
    <n v="568873"/>
    <n v="435"/>
    <s v="India"/>
    <d v="2023-04-15T22:41:00"/>
    <x v="0"/>
    <x v="20"/>
    <n v="8247"/>
    <s v="India"/>
    <x v="245"/>
    <x v="119"/>
    <x v="1"/>
    <n v="200000"/>
    <x v="17"/>
    <s v="F"/>
    <x v="20"/>
    <x v="2"/>
  </r>
  <r>
    <n v="568908"/>
    <n v="1297"/>
    <s v="USA"/>
    <d v="2023-05-27T22:52:00"/>
    <x v="0"/>
    <x v="82"/>
    <n v="3377"/>
    <s v="USA"/>
    <x v="278"/>
    <x v="5"/>
    <x v="2"/>
    <n v="100000"/>
    <x v="19"/>
    <s v="F"/>
    <x v="46"/>
    <x v="3"/>
  </r>
  <r>
    <n v="569033"/>
    <n v="674"/>
    <s v="USA"/>
    <d v="2023-10-31T23:56:00"/>
    <x v="2"/>
    <x v="4"/>
    <n v="8931"/>
    <s v="USA"/>
    <x v="287"/>
    <x v="138"/>
    <x v="0"/>
    <n v="200000"/>
    <x v="4"/>
    <s v="F"/>
    <x v="37"/>
    <x v="0"/>
  </r>
  <r>
    <n v="569318"/>
    <n v="30"/>
    <s v="France"/>
    <d v="2023-02-15T01:30:00"/>
    <x v="0"/>
    <x v="86"/>
    <n v="3887"/>
    <s v="France"/>
    <x v="146"/>
    <x v="209"/>
    <x v="0"/>
    <n v="150000"/>
    <x v="11"/>
    <s v="F"/>
    <x v="54"/>
    <x v="2"/>
  </r>
  <r>
    <n v="569689"/>
    <n v="1492"/>
    <s v="USA"/>
    <d v="2023-10-28T01:45:00"/>
    <x v="2"/>
    <x v="39"/>
    <n v="2171"/>
    <s v="USA"/>
    <x v="65"/>
    <x v="59"/>
    <x v="3"/>
    <n v="1000000"/>
    <x v="6"/>
    <s v="F"/>
    <x v="61"/>
    <x v="3"/>
  </r>
  <r>
    <n v="570816"/>
    <n v="1266"/>
    <s v="USA"/>
    <d v="2023-01-01T02:58:00"/>
    <x v="2"/>
    <x v="87"/>
    <n v="1195"/>
    <s v="USA"/>
    <x v="330"/>
    <x v="214"/>
    <x v="0"/>
    <n v="100000"/>
    <x v="16"/>
    <s v="M"/>
    <x v="53"/>
    <x v="3"/>
  </r>
  <r>
    <n v="571316"/>
    <n v="1052"/>
    <s v="Germany"/>
    <d v="2023-05-18T01:59:00"/>
    <x v="2"/>
    <x v="23"/>
    <n v="1658"/>
    <s v="Germany"/>
    <x v="153"/>
    <x v="132"/>
    <x v="0"/>
    <n v="1000000"/>
    <x v="12"/>
    <s v="M"/>
    <x v="50"/>
    <x v="3"/>
  </r>
  <r>
    <n v="571695"/>
    <n v="53"/>
    <s v="Italy"/>
    <d v="2023-08-02T00:39:00"/>
    <x v="3"/>
    <x v="25"/>
    <n v="832"/>
    <s v="Italy"/>
    <x v="159"/>
    <x v="11"/>
    <x v="1"/>
    <n v="150000"/>
    <x v="17"/>
    <s v="M"/>
    <x v="14"/>
    <x v="2"/>
  </r>
  <r>
    <n v="571764"/>
    <n v="568"/>
    <s v="Italy"/>
    <d v="2023-08-08T00:12:00"/>
    <x v="0"/>
    <x v="30"/>
    <n v="1895"/>
    <s v="France"/>
    <x v="98"/>
    <x v="19"/>
    <x v="2"/>
    <n v="150000"/>
    <x v="21"/>
    <s v="F"/>
    <x v="43"/>
    <x v="0"/>
  </r>
  <r>
    <n v="572221"/>
    <n v="1253"/>
    <s v="USA"/>
    <d v="2023-07-25T23:27:00"/>
    <x v="1"/>
    <x v="23"/>
    <n v="9800"/>
    <s v="USA"/>
    <x v="331"/>
    <x v="79"/>
    <x v="0"/>
    <n v="1000000"/>
    <x v="12"/>
    <s v="F"/>
    <x v="33"/>
    <x v="3"/>
  </r>
  <r>
    <n v="572449"/>
    <n v="43"/>
    <s v="India"/>
    <d v="2023-05-01T23:54:00"/>
    <x v="2"/>
    <x v="83"/>
    <n v="2289"/>
    <s v="Singapore"/>
    <x v="291"/>
    <x v="174"/>
    <x v="2"/>
    <n v="100000"/>
    <x v="19"/>
    <s v="F"/>
    <x v="39"/>
    <x v="2"/>
  </r>
  <r>
    <n v="573127"/>
    <n v="1960"/>
    <s v="France"/>
    <d v="2023-12-17T22:31:00"/>
    <x v="0"/>
    <x v="36"/>
    <n v="7588"/>
    <s v="Ireland"/>
    <x v="72"/>
    <x v="208"/>
    <x v="0"/>
    <n v="150000"/>
    <x v="10"/>
    <s v="F"/>
    <x v="19"/>
    <x v="1"/>
  </r>
  <r>
    <n v="573331"/>
    <n v="1045"/>
    <s v="USA"/>
    <d v="2023-10-02T01:19:00"/>
    <x v="2"/>
    <x v="7"/>
    <n v="8506"/>
    <s v="Spain"/>
    <x v="155"/>
    <x v="95"/>
    <x v="1"/>
    <n v="150000"/>
    <x v="7"/>
    <s v="F"/>
    <x v="11"/>
    <x v="3"/>
  </r>
  <r>
    <n v="573406"/>
    <n v="695"/>
    <s v="USA"/>
    <d v="2023-09-19T23:58:00"/>
    <x v="0"/>
    <x v="38"/>
    <n v="989"/>
    <s v="France"/>
    <x v="274"/>
    <x v="96"/>
    <x v="2"/>
    <n v="100000"/>
    <x v="22"/>
    <s v="M"/>
    <x v="5"/>
    <x v="0"/>
  </r>
  <r>
    <n v="573466"/>
    <n v="1010"/>
    <s v="Spain"/>
    <d v="2023-08-15T00:24:00"/>
    <x v="2"/>
    <x v="39"/>
    <n v="8552"/>
    <s v="Spain"/>
    <x v="227"/>
    <x v="115"/>
    <x v="3"/>
    <n v="1000000"/>
    <x v="6"/>
    <s v="F"/>
    <x v="9"/>
    <x v="3"/>
  </r>
  <r>
    <n v="573585"/>
    <n v="97"/>
    <s v="USA"/>
    <d v="2023-05-19T23:41:00"/>
    <x v="1"/>
    <x v="40"/>
    <n v="3551"/>
    <s v="USA"/>
    <x v="133"/>
    <x v="155"/>
    <x v="2"/>
    <n v="150000"/>
    <x v="2"/>
    <s v="F"/>
    <x v="58"/>
    <x v="2"/>
  </r>
  <r>
    <n v="573613"/>
    <n v="1477"/>
    <s v="Spain"/>
    <d v="2023-08-18T01:17:00"/>
    <x v="3"/>
    <x v="77"/>
    <n v="7954"/>
    <s v="Spain"/>
    <x v="150"/>
    <x v="210"/>
    <x v="1"/>
    <n v="250000"/>
    <x v="24"/>
    <s v="F"/>
    <x v="38"/>
    <x v="3"/>
  </r>
  <r>
    <n v="573756"/>
    <n v="1900"/>
    <s v="Singapore"/>
    <d v="2023-09-10T01:15:00"/>
    <x v="1"/>
    <x v="10"/>
    <n v="7244"/>
    <s v="Singapore"/>
    <x v="22"/>
    <x v="127"/>
    <x v="0"/>
    <n v="250000"/>
    <x v="10"/>
    <s v="F"/>
    <x v="9"/>
    <x v="1"/>
  </r>
  <r>
    <n v="574480"/>
    <n v="1907"/>
    <s v="Australia"/>
    <d v="2023-09-28T00:23:00"/>
    <x v="1"/>
    <x v="2"/>
    <n v="6577"/>
    <s v="Australia"/>
    <x v="270"/>
    <x v="6"/>
    <x v="2"/>
    <n v="100000"/>
    <x v="2"/>
    <s v="F"/>
    <x v="69"/>
    <x v="1"/>
  </r>
  <r>
    <n v="574845"/>
    <n v="357"/>
    <s v="Norway"/>
    <d v="2023-12-06T23:40:00"/>
    <x v="0"/>
    <x v="3"/>
    <n v="1101"/>
    <s v="Norway"/>
    <x v="136"/>
    <x v="1"/>
    <x v="2"/>
    <n v="150000"/>
    <x v="3"/>
    <s v="F"/>
    <x v="41"/>
    <x v="2"/>
  </r>
  <r>
    <n v="575162"/>
    <n v="1040"/>
    <s v="India"/>
    <d v="2023-11-21T23:15:00"/>
    <x v="2"/>
    <x v="23"/>
    <n v="1854"/>
    <s v="India"/>
    <x v="185"/>
    <x v="136"/>
    <x v="0"/>
    <n v="1000000"/>
    <x v="12"/>
    <s v="F"/>
    <x v="42"/>
    <x v="3"/>
  </r>
  <r>
    <n v="576171"/>
    <n v="707"/>
    <s v="France"/>
    <d v="2023-11-01T23:36:00"/>
    <x v="1"/>
    <x v="39"/>
    <n v="9989"/>
    <s v="France"/>
    <x v="172"/>
    <x v="135"/>
    <x v="3"/>
    <n v="1000000"/>
    <x v="6"/>
    <s v="M"/>
    <x v="12"/>
    <x v="0"/>
  </r>
  <r>
    <n v="576486"/>
    <n v="842"/>
    <s v="France"/>
    <d v="2023-06-20T01:39:00"/>
    <x v="0"/>
    <x v="39"/>
    <n v="2847"/>
    <s v="France"/>
    <x v="168"/>
    <x v="152"/>
    <x v="3"/>
    <n v="1000000"/>
    <x v="6"/>
    <s v="M"/>
    <x v="10"/>
    <x v="0"/>
  </r>
  <r>
    <n v="577243"/>
    <n v="1283"/>
    <s v="USA"/>
    <d v="2023-01-31T01:24:00"/>
    <x v="0"/>
    <x v="45"/>
    <n v="4138"/>
    <s v="USA"/>
    <x v="236"/>
    <x v="124"/>
    <x v="4"/>
    <n v="100000"/>
    <x v="25"/>
    <s v="M"/>
    <x v="35"/>
    <x v="3"/>
  </r>
  <r>
    <n v="581118"/>
    <n v="1199"/>
    <s v="Italy"/>
    <d v="2023-11-27T00:22:00"/>
    <x v="2"/>
    <x v="46"/>
    <n v="3254"/>
    <s v="Italy"/>
    <x v="13"/>
    <x v="54"/>
    <x v="1"/>
    <n v="30000"/>
    <x v="26"/>
    <s v="M"/>
    <x v="4"/>
    <x v="3"/>
  </r>
  <r>
    <n v="581573"/>
    <n v="1670"/>
    <s v="USA"/>
    <d v="2023-08-08T01:06:00"/>
    <x v="3"/>
    <x v="1"/>
    <n v="8547"/>
    <s v="USA"/>
    <x v="98"/>
    <x v="207"/>
    <x v="1"/>
    <n v="200000"/>
    <x v="1"/>
    <s v="F"/>
    <x v="16"/>
    <x v="1"/>
  </r>
  <r>
    <n v="581918"/>
    <n v="1617"/>
    <s v="Austria"/>
    <d v="2023-11-01T00:48:00"/>
    <x v="0"/>
    <x v="42"/>
    <n v="6030"/>
    <s v="Austria"/>
    <x v="172"/>
    <x v="88"/>
    <x v="0"/>
    <n v="200000"/>
    <x v="14"/>
    <s v="M"/>
    <x v="63"/>
    <x v="1"/>
  </r>
  <r>
    <n v="582139"/>
    <n v="170"/>
    <s v="Italy"/>
    <d v="2023-09-26T02:09:00"/>
    <x v="3"/>
    <x v="78"/>
    <n v="2002"/>
    <s v="Italy"/>
    <x v="239"/>
    <x v="202"/>
    <x v="0"/>
    <n v="100000"/>
    <x v="12"/>
    <s v="M"/>
    <x v="69"/>
    <x v="2"/>
  </r>
  <r>
    <n v="583059"/>
    <n v="786"/>
    <s v="Denmark"/>
    <d v="2023-11-10T22:52:00"/>
    <x v="2"/>
    <x v="13"/>
    <n v="6333"/>
    <s v="Denmark"/>
    <x v="283"/>
    <x v="5"/>
    <x v="0"/>
    <n v="100000"/>
    <x v="12"/>
    <s v="M"/>
    <x v="57"/>
    <x v="0"/>
  </r>
  <r>
    <n v="583129"/>
    <n v="575"/>
    <s v="India"/>
    <d v="2023-11-18T22:53:00"/>
    <x v="1"/>
    <x v="7"/>
    <n v="7035"/>
    <s v="India"/>
    <x v="62"/>
    <x v="178"/>
    <x v="1"/>
    <n v="150000"/>
    <x v="7"/>
    <s v="F"/>
    <x v="67"/>
    <x v="0"/>
  </r>
  <r>
    <n v="584321"/>
    <n v="1108"/>
    <s v="India"/>
    <d v="2023-03-01T23:28:00"/>
    <x v="3"/>
    <x v="40"/>
    <n v="6956"/>
    <s v="India"/>
    <x v="130"/>
    <x v="134"/>
    <x v="2"/>
    <n v="150000"/>
    <x v="2"/>
    <s v="F"/>
    <x v="59"/>
    <x v="3"/>
  </r>
  <r>
    <n v="585445"/>
    <n v="1665"/>
    <s v="Switzerland"/>
    <d v="2023-07-06T23:49:00"/>
    <x v="1"/>
    <x v="74"/>
    <n v="7479"/>
    <s v="Switzerland"/>
    <x v="191"/>
    <x v="43"/>
    <x v="1"/>
    <n v="200000"/>
    <x v="18"/>
    <s v="F"/>
    <x v="11"/>
    <x v="1"/>
  </r>
  <r>
    <n v="585596"/>
    <n v="1447"/>
    <s v="Singapore"/>
    <d v="2023-10-06T00:36:00"/>
    <x v="1"/>
    <x v="23"/>
    <n v="8848"/>
    <s v="Singapore"/>
    <x v="45"/>
    <x v="120"/>
    <x v="0"/>
    <n v="1000000"/>
    <x v="12"/>
    <s v="F"/>
    <x v="1"/>
    <x v="3"/>
  </r>
  <r>
    <n v="585616"/>
    <n v="318"/>
    <s v="India"/>
    <d v="2023-02-09T00:24:00"/>
    <x v="0"/>
    <x v="55"/>
    <n v="7526"/>
    <s v="India"/>
    <x v="177"/>
    <x v="115"/>
    <x v="2"/>
    <n v="80000"/>
    <x v="27"/>
    <s v="F"/>
    <x v="31"/>
    <x v="2"/>
  </r>
  <r>
    <n v="585826"/>
    <n v="988"/>
    <s v="USA"/>
    <d v="2023-12-25T01:35:00"/>
    <x v="0"/>
    <x v="83"/>
    <n v="6591"/>
    <s v="USA"/>
    <x v="312"/>
    <x v="200"/>
    <x v="2"/>
    <n v="100000"/>
    <x v="19"/>
    <s v="M"/>
    <x v="14"/>
    <x v="0"/>
  </r>
  <r>
    <n v="585827"/>
    <n v="156"/>
    <s v="France"/>
    <d v="2023-01-18T23:38:00"/>
    <x v="2"/>
    <x v="22"/>
    <n v="3966"/>
    <s v="France"/>
    <x v="247"/>
    <x v="80"/>
    <x v="3"/>
    <n v="100000"/>
    <x v="13"/>
    <s v="F"/>
    <x v="24"/>
    <x v="2"/>
  </r>
  <r>
    <n v="587346"/>
    <n v="1703"/>
    <s v="France"/>
    <d v="2023-08-16T01:41:00"/>
    <x v="0"/>
    <x v="70"/>
    <n v="6858"/>
    <s v="France"/>
    <x v="280"/>
    <x v="86"/>
    <x v="3"/>
    <n v="150000"/>
    <x v="29"/>
    <s v="F"/>
    <x v="67"/>
    <x v="1"/>
  </r>
  <r>
    <n v="587721"/>
    <n v="417"/>
    <s v="France"/>
    <d v="2023-02-09T01:38:00"/>
    <x v="0"/>
    <x v="84"/>
    <n v="1430"/>
    <s v="France"/>
    <x v="177"/>
    <x v="211"/>
    <x v="2"/>
    <n v="100000"/>
    <x v="3"/>
    <s v="M"/>
    <x v="62"/>
    <x v="2"/>
  </r>
  <r>
    <n v="588329"/>
    <n v="1170"/>
    <s v="Germany"/>
    <d v="2023-09-01T01:50:00"/>
    <x v="0"/>
    <x v="69"/>
    <n v="987"/>
    <s v="Germany"/>
    <x v="271"/>
    <x v="45"/>
    <x v="4"/>
    <n v="150000"/>
    <x v="25"/>
    <s v="F"/>
    <x v="48"/>
    <x v="3"/>
  </r>
  <r>
    <n v="588451"/>
    <n v="1647"/>
    <s v="USA"/>
    <d v="2023-02-06T00:26:00"/>
    <x v="1"/>
    <x v="85"/>
    <n v="987"/>
    <s v="USA"/>
    <x v="49"/>
    <x v="151"/>
    <x v="2"/>
    <n v="150000"/>
    <x v="21"/>
    <s v="F"/>
    <x v="13"/>
    <x v="1"/>
  </r>
  <r>
    <n v="588548"/>
    <n v="442"/>
    <s v="USA"/>
    <d v="2023-03-17T00:42:00"/>
    <x v="1"/>
    <x v="23"/>
    <n v="4334"/>
    <s v="USA"/>
    <x v="19"/>
    <x v="215"/>
    <x v="0"/>
    <n v="1000000"/>
    <x v="12"/>
    <s v="M"/>
    <x v="14"/>
    <x v="2"/>
  </r>
  <r>
    <n v="588588"/>
    <n v="548"/>
    <s v="USA"/>
    <d v="2023-08-31T00:27:00"/>
    <x v="1"/>
    <x v="21"/>
    <n v="1656"/>
    <s v="USA"/>
    <x v="198"/>
    <x v="108"/>
    <x v="0"/>
    <n v="100000"/>
    <x v="4"/>
    <s v="M"/>
    <x v="68"/>
    <x v="0"/>
  </r>
  <r>
    <n v="588686"/>
    <n v="1224"/>
    <s v="France"/>
    <d v="2023-07-17T23:17:00"/>
    <x v="2"/>
    <x v="45"/>
    <n v="9207"/>
    <s v="France"/>
    <x v="212"/>
    <x v="190"/>
    <x v="4"/>
    <n v="100000"/>
    <x v="25"/>
    <s v="F"/>
    <x v="37"/>
    <x v="3"/>
  </r>
  <r>
    <n v="588730"/>
    <n v="40"/>
    <s v="Australia"/>
    <d v="2023-08-25T00:20:00"/>
    <x v="0"/>
    <x v="1"/>
    <n v="238"/>
    <s v="Australia"/>
    <x v="332"/>
    <x v="68"/>
    <x v="1"/>
    <n v="200000"/>
    <x v="1"/>
    <s v="F"/>
    <x v="2"/>
    <x v="2"/>
  </r>
  <r>
    <n v="589161"/>
    <n v="1613"/>
    <s v="USA"/>
    <d v="2023-12-30T23:54:00"/>
    <x v="2"/>
    <x v="90"/>
    <n v="3750"/>
    <s v="USA"/>
    <x v="2"/>
    <x v="174"/>
    <x v="1"/>
    <n v="50000"/>
    <x v="18"/>
    <s v="M"/>
    <x v="37"/>
    <x v="1"/>
  </r>
  <r>
    <n v="590513"/>
    <n v="1139"/>
    <s v="USA"/>
    <d v="2023-08-14T23:10:00"/>
    <x v="1"/>
    <x v="23"/>
    <n v="4446"/>
    <s v="USA"/>
    <x v="192"/>
    <x v="176"/>
    <x v="0"/>
    <n v="1000000"/>
    <x v="12"/>
    <s v="F"/>
    <x v="58"/>
    <x v="3"/>
  </r>
  <r>
    <n v="590748"/>
    <n v="1695"/>
    <s v="Spain"/>
    <d v="2023-01-11T22:40:00"/>
    <x v="0"/>
    <x v="61"/>
    <n v="4390"/>
    <s v="Spain"/>
    <x v="156"/>
    <x v="145"/>
    <x v="4"/>
    <n v="200000"/>
    <x v="28"/>
    <s v="F"/>
    <x v="2"/>
    <x v="1"/>
  </r>
  <r>
    <n v="590947"/>
    <n v="1745"/>
    <s v="USA"/>
    <d v="2023-04-23T00:56:00"/>
    <x v="2"/>
    <x v="19"/>
    <n v="7772"/>
    <s v="USA"/>
    <x v="218"/>
    <x v="150"/>
    <x v="0"/>
    <n v="150000"/>
    <x v="16"/>
    <s v="F"/>
    <x v="26"/>
    <x v="1"/>
  </r>
  <r>
    <n v="591570"/>
    <n v="419"/>
    <s v="France"/>
    <d v="2023-11-30T01:30:00"/>
    <x v="1"/>
    <x v="17"/>
    <n v="8740"/>
    <s v="France"/>
    <x v="26"/>
    <x v="209"/>
    <x v="0"/>
    <n v="150000"/>
    <x v="14"/>
    <s v="M"/>
    <x v="50"/>
    <x v="2"/>
  </r>
  <r>
    <n v="591821"/>
    <n v="359"/>
    <s v="France"/>
    <d v="2023-03-31T00:28:00"/>
    <x v="3"/>
    <x v="24"/>
    <n v="8262"/>
    <s v="France"/>
    <x v="60"/>
    <x v="39"/>
    <x v="1"/>
    <n v="100000"/>
    <x v="18"/>
    <s v="F"/>
    <x v="2"/>
    <x v="2"/>
  </r>
  <r>
    <n v="592435"/>
    <n v="1386"/>
    <s v="Austria"/>
    <d v="2023-02-06T23:52:00"/>
    <x v="1"/>
    <x v="25"/>
    <n v="2381"/>
    <s v="Austria"/>
    <x v="49"/>
    <x v="94"/>
    <x v="1"/>
    <n v="150000"/>
    <x v="17"/>
    <s v="M"/>
    <x v="65"/>
    <x v="3"/>
  </r>
  <r>
    <n v="592705"/>
    <n v="987"/>
    <s v="USA"/>
    <d v="2023-04-24T01:43:00"/>
    <x v="3"/>
    <x v="20"/>
    <n v="5893"/>
    <s v="USA"/>
    <x v="290"/>
    <x v="118"/>
    <x v="1"/>
    <n v="200000"/>
    <x v="17"/>
    <s v="F"/>
    <x v="12"/>
    <x v="0"/>
  </r>
  <r>
    <n v="593188"/>
    <n v="1615"/>
    <s v="Spain"/>
    <d v="2023-12-08T00:21:00"/>
    <x v="1"/>
    <x v="26"/>
    <n v="9830"/>
    <s v="Spain"/>
    <x v="263"/>
    <x v="2"/>
    <x v="2"/>
    <n v="200000"/>
    <x v="19"/>
    <s v="M"/>
    <x v="71"/>
    <x v="1"/>
  </r>
  <r>
    <n v="593240"/>
    <n v="672"/>
    <s v="USA"/>
    <d v="2023-12-05T00:38:00"/>
    <x v="1"/>
    <x v="27"/>
    <n v="7472"/>
    <s v="USA"/>
    <x v="223"/>
    <x v="162"/>
    <x v="1"/>
    <n v="80000"/>
    <x v="7"/>
    <s v="F"/>
    <x v="61"/>
    <x v="0"/>
  </r>
  <r>
    <n v="593583"/>
    <n v="513"/>
    <s v="USA"/>
    <d v="2023-08-22T01:08:00"/>
    <x v="0"/>
    <x v="28"/>
    <n v="9848"/>
    <s v="USA"/>
    <x v="183"/>
    <x v="37"/>
    <x v="3"/>
    <n v="80000"/>
    <x v="20"/>
    <s v="F"/>
    <x v="3"/>
    <x v="0"/>
  </r>
  <r>
    <n v="593879"/>
    <n v="907"/>
    <s v="Denmark"/>
    <d v="2023-06-04T01:36:00"/>
    <x v="0"/>
    <x v="29"/>
    <n v="5944"/>
    <s v="Denmark"/>
    <x v="190"/>
    <x v="173"/>
    <x v="3"/>
    <n v="100000"/>
    <x v="13"/>
    <s v="M"/>
    <x v="39"/>
    <x v="0"/>
  </r>
  <r>
    <n v="595005"/>
    <n v="377"/>
    <s v="India"/>
    <d v="2023-10-09T01:49:00"/>
    <x v="0"/>
    <x v="87"/>
    <n v="1845"/>
    <s v="India"/>
    <x v="208"/>
    <x v="33"/>
    <x v="0"/>
    <n v="100000"/>
    <x v="16"/>
    <s v="F"/>
    <x v="72"/>
    <x v="2"/>
  </r>
  <r>
    <n v="595284"/>
    <n v="1391"/>
    <s v="USA"/>
    <d v="2023-10-24T00:34:00"/>
    <x v="2"/>
    <x v="31"/>
    <n v="8604"/>
    <s v="USA"/>
    <x v="52"/>
    <x v="21"/>
    <x v="2"/>
    <n v="100000"/>
    <x v="22"/>
    <s v="M"/>
    <x v="57"/>
    <x v="3"/>
  </r>
  <r>
    <n v="595446"/>
    <n v="1488"/>
    <s v="USA"/>
    <d v="2023-05-27T23:14:00"/>
    <x v="0"/>
    <x v="32"/>
    <n v="3770"/>
    <s v="USA"/>
    <x v="278"/>
    <x v="70"/>
    <x v="4"/>
    <n v="100000"/>
    <x v="23"/>
    <s v="M"/>
    <x v="31"/>
    <x v="3"/>
  </r>
  <r>
    <n v="595956"/>
    <n v="1501"/>
    <s v="USA"/>
    <d v="2023-01-17T01:40:00"/>
    <x v="3"/>
    <x v="33"/>
    <n v="3537"/>
    <s v="USA"/>
    <x v="89"/>
    <x v="76"/>
    <x v="2"/>
    <n v="100000"/>
    <x v="2"/>
    <s v="M"/>
    <x v="66"/>
    <x v="1"/>
  </r>
  <r>
    <n v="596143"/>
    <n v="1576"/>
    <s v="USA"/>
    <d v="2023-06-30T01:50:00"/>
    <x v="3"/>
    <x v="23"/>
    <n v="1558"/>
    <s v="USA"/>
    <x v="35"/>
    <x v="45"/>
    <x v="0"/>
    <n v="1000000"/>
    <x v="12"/>
    <s v="M"/>
    <x v="41"/>
    <x v="1"/>
  </r>
  <r>
    <n v="596235"/>
    <n v="1857"/>
    <s v="France"/>
    <d v="2023-10-28T00:40:00"/>
    <x v="2"/>
    <x v="61"/>
    <n v="657"/>
    <s v="France"/>
    <x v="65"/>
    <x v="51"/>
    <x v="4"/>
    <n v="200000"/>
    <x v="28"/>
    <s v="F"/>
    <x v="21"/>
    <x v="1"/>
  </r>
  <r>
    <n v="596287"/>
    <n v="516"/>
    <s v="France"/>
    <d v="2023-09-03T00:51:00"/>
    <x v="2"/>
    <x v="20"/>
    <n v="5995"/>
    <s v="France"/>
    <x v="232"/>
    <x v="93"/>
    <x v="1"/>
    <n v="200000"/>
    <x v="17"/>
    <s v="M"/>
    <x v="66"/>
    <x v="0"/>
  </r>
  <r>
    <n v="597539"/>
    <n v="31"/>
    <s v="USA"/>
    <d v="2023-08-23T01:13:00"/>
    <x v="1"/>
    <x v="36"/>
    <n v="6892"/>
    <s v="USA"/>
    <x v="333"/>
    <x v="32"/>
    <x v="0"/>
    <n v="150000"/>
    <x v="10"/>
    <s v="M"/>
    <x v="13"/>
    <x v="2"/>
  </r>
  <r>
    <n v="598766"/>
    <n v="426"/>
    <s v="Singapore"/>
    <d v="2023-03-14T23:25:00"/>
    <x v="1"/>
    <x v="37"/>
    <n v="6288"/>
    <s v="Singapore"/>
    <x v="97"/>
    <x v="141"/>
    <x v="3"/>
    <n v="150000"/>
    <x v="6"/>
    <s v="F"/>
    <x v="61"/>
    <x v="2"/>
  </r>
  <r>
    <n v="599162"/>
    <n v="818"/>
    <s v="France"/>
    <d v="2023-03-30T00:07:00"/>
    <x v="2"/>
    <x v="38"/>
    <n v="6921"/>
    <s v="France"/>
    <x v="101"/>
    <x v="34"/>
    <x v="2"/>
    <n v="100000"/>
    <x v="22"/>
    <s v="F"/>
    <x v="27"/>
    <x v="0"/>
  </r>
  <r>
    <n v="600465"/>
    <n v="1845"/>
    <s v="Finland"/>
    <d v="2023-01-14T01:38:00"/>
    <x v="1"/>
    <x v="39"/>
    <n v="4278"/>
    <s v="Finland"/>
    <x v="170"/>
    <x v="211"/>
    <x v="3"/>
    <n v="1000000"/>
    <x v="6"/>
    <s v="F"/>
    <x v="69"/>
    <x v="1"/>
  </r>
  <r>
    <n v="600527"/>
    <n v="278"/>
    <s v="USA"/>
    <d v="2023-08-26T23:16:00"/>
    <x v="1"/>
    <x v="40"/>
    <n v="8597"/>
    <s v="USA"/>
    <x v="230"/>
    <x v="18"/>
    <x v="2"/>
    <n v="150000"/>
    <x v="2"/>
    <s v="F"/>
    <x v="47"/>
    <x v="2"/>
  </r>
  <r>
    <n v="602342"/>
    <n v="1391"/>
    <s v="USA"/>
    <d v="2023-12-14T23:47:00"/>
    <x v="3"/>
    <x v="8"/>
    <n v="4602"/>
    <s v="USA"/>
    <x v="94"/>
    <x v="100"/>
    <x v="1"/>
    <n v="150000"/>
    <x v="8"/>
    <s v="M"/>
    <x v="57"/>
    <x v="3"/>
  </r>
  <r>
    <n v="602695"/>
    <n v="773"/>
    <s v="USA"/>
    <d v="2023-07-16T23:57:00"/>
    <x v="0"/>
    <x v="10"/>
    <n v="469"/>
    <s v="USA"/>
    <x v="220"/>
    <x v="116"/>
    <x v="0"/>
    <n v="250000"/>
    <x v="10"/>
    <s v="M"/>
    <x v="55"/>
    <x v="0"/>
  </r>
  <r>
    <n v="602700"/>
    <n v="214"/>
    <s v="USA"/>
    <d v="2023-07-08T02:06:00"/>
    <x v="0"/>
    <x v="39"/>
    <n v="8209"/>
    <s v="USA"/>
    <x v="210"/>
    <x v="216"/>
    <x v="3"/>
    <n v="1000000"/>
    <x v="6"/>
    <s v="F"/>
    <x v="65"/>
    <x v="2"/>
  </r>
  <r>
    <n v="603758"/>
    <n v="1940"/>
    <s v="Spain"/>
    <d v="2023-05-11T01:57:00"/>
    <x v="0"/>
    <x v="41"/>
    <n v="6181"/>
    <s v="Spain"/>
    <x v="44"/>
    <x v="217"/>
    <x v="0"/>
    <n v="100000"/>
    <x v="0"/>
    <s v="M"/>
    <x v="7"/>
    <x v="1"/>
  </r>
  <r>
    <n v="603855"/>
    <n v="1895"/>
    <s v="France"/>
    <d v="2023-07-18T22:39:00"/>
    <x v="2"/>
    <x v="4"/>
    <n v="4237"/>
    <s v="France"/>
    <x v="334"/>
    <x v="90"/>
    <x v="0"/>
    <n v="200000"/>
    <x v="4"/>
    <s v="M"/>
    <x v="30"/>
    <x v="1"/>
  </r>
  <r>
    <n v="603880"/>
    <n v="1516"/>
    <s v="Norway"/>
    <d v="2023-02-05T01:37:00"/>
    <x v="2"/>
    <x v="42"/>
    <n v="4019"/>
    <s v="Norway"/>
    <x v="195"/>
    <x v="109"/>
    <x v="0"/>
    <n v="200000"/>
    <x v="14"/>
    <s v="F"/>
    <x v="5"/>
    <x v="1"/>
  </r>
  <r>
    <n v="604405"/>
    <n v="36"/>
    <s v="USA"/>
    <d v="2023-11-08T00:53:00"/>
    <x v="2"/>
    <x v="56"/>
    <n v="6944"/>
    <s v="USA"/>
    <x v="27"/>
    <x v="36"/>
    <x v="4"/>
    <n v="100000"/>
    <x v="28"/>
    <s v="M"/>
    <x v="42"/>
    <x v="2"/>
  </r>
  <r>
    <n v="604805"/>
    <n v="246"/>
    <s v="France"/>
    <d v="2023-08-12T01:43:00"/>
    <x v="0"/>
    <x v="17"/>
    <n v="4349"/>
    <s v="France"/>
    <x v="166"/>
    <x v="118"/>
    <x v="0"/>
    <n v="150000"/>
    <x v="14"/>
    <s v="F"/>
    <x v="25"/>
    <x v="2"/>
  </r>
  <r>
    <n v="606775"/>
    <n v="834"/>
    <s v="Finland"/>
    <d v="2023-02-25T23:52:00"/>
    <x v="0"/>
    <x v="8"/>
    <n v="7873"/>
    <s v="Finland"/>
    <x v="84"/>
    <x v="94"/>
    <x v="1"/>
    <n v="150000"/>
    <x v="8"/>
    <s v="M"/>
    <x v="15"/>
    <x v="0"/>
  </r>
  <r>
    <n v="607197"/>
    <n v="330"/>
    <s v="India"/>
    <d v="2023-12-18T23:26:00"/>
    <x v="2"/>
    <x v="25"/>
    <n v="793"/>
    <s v="India"/>
    <x v="11"/>
    <x v="191"/>
    <x v="1"/>
    <n v="150000"/>
    <x v="17"/>
    <s v="F"/>
    <x v="64"/>
    <x v="2"/>
  </r>
  <r>
    <n v="608204"/>
    <n v="1791"/>
    <s v="USA"/>
    <d v="2023-08-20T01:01:00"/>
    <x v="3"/>
    <x v="20"/>
    <n v="1936"/>
    <s v="USA"/>
    <x v="251"/>
    <x v="16"/>
    <x v="1"/>
    <n v="200000"/>
    <x v="17"/>
    <s v="M"/>
    <x v="19"/>
    <x v="1"/>
  </r>
  <r>
    <n v="608296"/>
    <n v="1745"/>
    <s v="USA"/>
    <d v="2023-04-28T01:10:00"/>
    <x v="3"/>
    <x v="26"/>
    <n v="9769"/>
    <s v="USA"/>
    <x v="335"/>
    <x v="7"/>
    <x v="2"/>
    <n v="200000"/>
    <x v="19"/>
    <s v="F"/>
    <x v="26"/>
    <x v="1"/>
  </r>
  <r>
    <n v="609243"/>
    <n v="1400"/>
    <s v="USA"/>
    <d v="2023-09-14T00:37:00"/>
    <x v="3"/>
    <x v="27"/>
    <n v="7072"/>
    <s v="USA"/>
    <x v="237"/>
    <x v="201"/>
    <x v="1"/>
    <n v="80000"/>
    <x v="7"/>
    <s v="F"/>
    <x v="6"/>
    <x v="3"/>
  </r>
  <r>
    <n v="609375"/>
    <n v="612"/>
    <s v="USA"/>
    <d v="2023-04-26T00:11:00"/>
    <x v="0"/>
    <x v="86"/>
    <n v="9567"/>
    <s v="USA"/>
    <x v="48"/>
    <x v="10"/>
    <x v="0"/>
    <n v="150000"/>
    <x v="11"/>
    <s v="M"/>
    <x v="65"/>
    <x v="0"/>
  </r>
  <r>
    <n v="609984"/>
    <n v="1488"/>
    <s v="USA"/>
    <d v="2023-05-03T01:09:00"/>
    <x v="0"/>
    <x v="29"/>
    <n v="4417"/>
    <s v="USA"/>
    <x v="141"/>
    <x v="92"/>
    <x v="3"/>
    <n v="100000"/>
    <x v="13"/>
    <s v="M"/>
    <x v="31"/>
    <x v="3"/>
  </r>
  <r>
    <n v="610023"/>
    <n v="789"/>
    <s v="France"/>
    <d v="2023-05-28T01:14:00"/>
    <x v="1"/>
    <x v="87"/>
    <n v="620"/>
    <s v="France"/>
    <x v="229"/>
    <x v="156"/>
    <x v="0"/>
    <n v="100000"/>
    <x v="16"/>
    <s v="M"/>
    <x v="14"/>
    <x v="0"/>
  </r>
  <r>
    <n v="610367"/>
    <n v="1096"/>
    <s v="Spain"/>
    <d v="2023-01-10T00:01:00"/>
    <x v="3"/>
    <x v="31"/>
    <n v="5230"/>
    <s v="Spain"/>
    <x v="293"/>
    <x v="63"/>
    <x v="2"/>
    <n v="100000"/>
    <x v="22"/>
    <s v="M"/>
    <x v="27"/>
    <x v="3"/>
  </r>
  <r>
    <n v="611265"/>
    <n v="396"/>
    <s v="Spain"/>
    <d v="2023-10-12T00:06:00"/>
    <x v="0"/>
    <x v="32"/>
    <n v="1305"/>
    <s v="Spain"/>
    <x v="303"/>
    <x v="22"/>
    <x v="4"/>
    <n v="100000"/>
    <x v="23"/>
    <s v="F"/>
    <x v="62"/>
    <x v="2"/>
  </r>
  <r>
    <n v="611594"/>
    <n v="827"/>
    <s v="Singapore"/>
    <d v="2023-01-07T00:06:00"/>
    <x v="2"/>
    <x v="33"/>
    <n v="4635"/>
    <s v="Singapore"/>
    <x v="336"/>
    <x v="22"/>
    <x v="2"/>
    <n v="100000"/>
    <x v="2"/>
    <s v="M"/>
    <x v="28"/>
    <x v="0"/>
  </r>
  <r>
    <n v="611621"/>
    <n v="1357"/>
    <s v="Ireland"/>
    <d v="2023-05-31T00:05:00"/>
    <x v="2"/>
    <x v="23"/>
    <n v="9926"/>
    <s v="Ireland"/>
    <x v="179"/>
    <x v="48"/>
    <x v="0"/>
    <n v="1000000"/>
    <x v="12"/>
    <s v="M"/>
    <x v="64"/>
    <x v="3"/>
  </r>
  <r>
    <n v="611767"/>
    <n v="917"/>
    <s v="Norway"/>
    <d v="2023-04-28T23:59:00"/>
    <x v="3"/>
    <x v="61"/>
    <n v="1716"/>
    <s v="Norway"/>
    <x v="335"/>
    <x v="181"/>
    <x v="4"/>
    <n v="200000"/>
    <x v="28"/>
    <s v="F"/>
    <x v="10"/>
    <x v="0"/>
  </r>
  <r>
    <n v="611976"/>
    <n v="1269"/>
    <s v="Switzerland"/>
    <d v="2023-11-11T23:14:00"/>
    <x v="1"/>
    <x v="19"/>
    <n v="3073"/>
    <s v="Switzerland"/>
    <x v="68"/>
    <x v="70"/>
    <x v="0"/>
    <n v="150000"/>
    <x v="16"/>
    <s v="M"/>
    <x v="68"/>
    <x v="3"/>
  </r>
  <r>
    <n v="612088"/>
    <n v="1411"/>
    <s v="Spain"/>
    <d v="2023-10-10T01:41:00"/>
    <x v="1"/>
    <x v="36"/>
    <n v="2946"/>
    <s v="Spain"/>
    <x v="33"/>
    <x v="86"/>
    <x v="0"/>
    <n v="150000"/>
    <x v="10"/>
    <s v="F"/>
    <x v="44"/>
    <x v="3"/>
  </r>
  <r>
    <n v="613070"/>
    <n v="1755"/>
    <s v="Spain"/>
    <d v="2023-11-21T00:03:00"/>
    <x v="3"/>
    <x v="37"/>
    <n v="895"/>
    <s v="Spain"/>
    <x v="185"/>
    <x v="72"/>
    <x v="3"/>
    <n v="150000"/>
    <x v="6"/>
    <s v="M"/>
    <x v="50"/>
    <x v="1"/>
  </r>
  <r>
    <n v="614468"/>
    <n v="801"/>
    <s v="France"/>
    <d v="2023-09-16T01:04:00"/>
    <x v="2"/>
    <x v="38"/>
    <n v="1451"/>
    <s v="France"/>
    <x v="254"/>
    <x v="121"/>
    <x v="2"/>
    <n v="100000"/>
    <x v="22"/>
    <s v="M"/>
    <x v="55"/>
    <x v="0"/>
  </r>
  <r>
    <n v="615484"/>
    <n v="1044"/>
    <s v="India"/>
    <d v="2023-04-27T23:54:00"/>
    <x v="3"/>
    <x v="39"/>
    <n v="8774"/>
    <s v="India"/>
    <x v="321"/>
    <x v="174"/>
    <x v="3"/>
    <n v="1000000"/>
    <x v="6"/>
    <s v="M"/>
    <x v="47"/>
    <x v="3"/>
  </r>
  <r>
    <n v="615675"/>
    <n v="1502"/>
    <s v="Spain"/>
    <d v="2023-05-13T00:26:00"/>
    <x v="1"/>
    <x v="40"/>
    <n v="3875"/>
    <s v="Spain"/>
    <x v="99"/>
    <x v="151"/>
    <x v="2"/>
    <n v="150000"/>
    <x v="2"/>
    <s v="F"/>
    <x v="19"/>
    <x v="1"/>
  </r>
  <r>
    <n v="617035"/>
    <n v="704"/>
    <s v="USA"/>
    <d v="2023-07-08T23:25:00"/>
    <x v="3"/>
    <x v="77"/>
    <n v="777"/>
    <s v="USA"/>
    <x v="210"/>
    <x v="141"/>
    <x v="1"/>
    <n v="250000"/>
    <x v="24"/>
    <s v="F"/>
    <x v="15"/>
    <x v="0"/>
  </r>
  <r>
    <n v="618196"/>
    <n v="780"/>
    <s v="India"/>
    <d v="2023-11-20T01:35:00"/>
    <x v="1"/>
    <x v="10"/>
    <n v="9962"/>
    <s v="India"/>
    <x v="216"/>
    <x v="200"/>
    <x v="0"/>
    <n v="250000"/>
    <x v="10"/>
    <s v="M"/>
    <x v="64"/>
    <x v="0"/>
  </r>
  <r>
    <n v="618986"/>
    <n v="1458"/>
    <s v="France"/>
    <d v="2023-10-30T00:53:00"/>
    <x v="2"/>
    <x v="39"/>
    <n v="3216"/>
    <s v="France"/>
    <x v="300"/>
    <x v="36"/>
    <x v="3"/>
    <n v="1000000"/>
    <x v="6"/>
    <s v="M"/>
    <x v="25"/>
    <x v="3"/>
  </r>
  <r>
    <n v="619879"/>
    <n v="446"/>
    <s v="USA"/>
    <d v="2023-01-11T01:22:00"/>
    <x v="0"/>
    <x v="41"/>
    <n v="2645"/>
    <s v="USA"/>
    <x v="156"/>
    <x v="142"/>
    <x v="0"/>
    <n v="100000"/>
    <x v="0"/>
    <s v="M"/>
    <x v="25"/>
    <x v="2"/>
  </r>
  <r>
    <n v="619949"/>
    <n v="1002"/>
    <s v="India"/>
    <d v="2023-03-16T01:14:00"/>
    <x v="3"/>
    <x v="4"/>
    <n v="1392"/>
    <s v="India"/>
    <x v="29"/>
    <x v="156"/>
    <x v="0"/>
    <n v="200000"/>
    <x v="4"/>
    <s v="M"/>
    <x v="46"/>
    <x v="3"/>
  </r>
  <r>
    <n v="620937"/>
    <n v="1822"/>
    <s v="USA"/>
    <d v="2023-06-02T00:36:00"/>
    <x v="3"/>
    <x v="63"/>
    <n v="8767"/>
    <s v="USA"/>
    <x v="266"/>
    <x v="120"/>
    <x v="0"/>
    <n v="100000"/>
    <x v="16"/>
    <s v="M"/>
    <x v="72"/>
    <x v="1"/>
  </r>
  <r>
    <n v="621177"/>
    <n v="1452"/>
    <s v="France"/>
    <d v="2023-01-28T00:41:00"/>
    <x v="3"/>
    <x v="56"/>
    <n v="2907"/>
    <s v="France"/>
    <x v="323"/>
    <x v="60"/>
    <x v="4"/>
    <n v="100000"/>
    <x v="28"/>
    <s v="F"/>
    <x v="13"/>
    <x v="3"/>
  </r>
  <r>
    <n v="621694"/>
    <n v="1769"/>
    <s v="Spain"/>
    <d v="2023-12-09T01:35:00"/>
    <x v="0"/>
    <x v="86"/>
    <n v="1826"/>
    <s v="Spain"/>
    <x v="100"/>
    <x v="200"/>
    <x v="0"/>
    <n v="150000"/>
    <x v="11"/>
    <s v="M"/>
    <x v="18"/>
    <x v="1"/>
  </r>
  <r>
    <n v="622405"/>
    <n v="953"/>
    <s v="USA"/>
    <d v="2023-09-24T01:23:00"/>
    <x v="1"/>
    <x v="19"/>
    <n v="9431"/>
    <s v="USA"/>
    <x v="56"/>
    <x v="83"/>
    <x v="0"/>
    <n v="150000"/>
    <x v="16"/>
    <s v="F"/>
    <x v="25"/>
    <x v="0"/>
  </r>
  <r>
    <n v="622656"/>
    <n v="418"/>
    <s v="Singapore"/>
    <d v="2023-08-19T00:03:00"/>
    <x v="0"/>
    <x v="91"/>
    <n v="6905"/>
    <s v="Singapore"/>
    <x v="158"/>
    <x v="72"/>
    <x v="1"/>
    <n v="30000"/>
    <x v="24"/>
    <s v="F"/>
    <x v="13"/>
    <x v="2"/>
  </r>
  <r>
    <n v="622835"/>
    <n v="998"/>
    <s v="Norway"/>
    <d v="2023-11-28T01:47:00"/>
    <x v="1"/>
    <x v="50"/>
    <n v="678"/>
    <s v="Norway"/>
    <x v="3"/>
    <x v="189"/>
    <x v="2"/>
    <n v="100000"/>
    <x v="27"/>
    <s v="F"/>
    <x v="20"/>
    <x v="0"/>
  </r>
  <r>
    <n v="623784"/>
    <n v="781"/>
    <s v="Finland"/>
    <d v="2023-11-10T01:46:00"/>
    <x v="3"/>
    <x v="16"/>
    <n v="6494"/>
    <s v="Finland"/>
    <x v="283"/>
    <x v="129"/>
    <x v="4"/>
    <n v="150000"/>
    <x v="15"/>
    <s v="F"/>
    <x v="50"/>
    <x v="0"/>
  </r>
  <r>
    <n v="623935"/>
    <n v="1278"/>
    <s v="USA"/>
    <d v="2023-04-11T01:24:00"/>
    <x v="0"/>
    <x v="37"/>
    <n v="7665"/>
    <s v="USA"/>
    <x v="147"/>
    <x v="124"/>
    <x v="3"/>
    <n v="150000"/>
    <x v="6"/>
    <s v="F"/>
    <x v="45"/>
    <x v="3"/>
  </r>
  <r>
    <n v="624499"/>
    <n v="1290"/>
    <s v="USA"/>
    <d v="2023-01-06T00:40:00"/>
    <x v="0"/>
    <x v="51"/>
    <n v="4403"/>
    <s v="USA"/>
    <x v="79"/>
    <x v="51"/>
    <x v="2"/>
    <n v="100000"/>
    <x v="22"/>
    <s v="M"/>
    <x v="34"/>
    <x v="3"/>
  </r>
  <r>
    <n v="624700"/>
    <n v="1948"/>
    <s v="USA"/>
    <d v="2023-12-16T23:19:00"/>
    <x v="2"/>
    <x v="52"/>
    <n v="5277"/>
    <s v="USA"/>
    <x v="257"/>
    <x v="24"/>
    <x v="4"/>
    <n v="50000"/>
    <x v="23"/>
    <s v="F"/>
    <x v="33"/>
    <x v="1"/>
  </r>
  <r>
    <n v="624736"/>
    <n v="633"/>
    <s v="France"/>
    <d v="2023-05-21T01:42:00"/>
    <x v="2"/>
    <x v="53"/>
    <n v="486"/>
    <s v="France"/>
    <x v="176"/>
    <x v="14"/>
    <x v="0"/>
    <n v="50000"/>
    <x v="11"/>
    <s v="F"/>
    <x v="51"/>
    <x v="0"/>
  </r>
  <r>
    <n v="625994"/>
    <n v="476"/>
    <s v="USA"/>
    <d v="2023-05-21T23:11:00"/>
    <x v="2"/>
    <x v="54"/>
    <n v="7369"/>
    <s v="USA"/>
    <x v="176"/>
    <x v="4"/>
    <x v="1"/>
    <n v="80000"/>
    <x v="17"/>
    <s v="F"/>
    <x v="16"/>
    <x v="2"/>
  </r>
  <r>
    <n v="626705"/>
    <n v="868"/>
    <s v="Switzerland"/>
    <d v="2023-09-23T01:31:00"/>
    <x v="3"/>
    <x v="55"/>
    <n v="2713"/>
    <s v="Switzerland"/>
    <x v="71"/>
    <x v="177"/>
    <x v="2"/>
    <n v="80000"/>
    <x v="27"/>
    <s v="F"/>
    <x v="34"/>
    <x v="0"/>
  </r>
  <r>
    <n v="626849"/>
    <n v="1679"/>
    <s v="Australia"/>
    <d v="2023-05-03T00:16:00"/>
    <x v="2"/>
    <x v="0"/>
    <n v="3639"/>
    <s v="Australia"/>
    <x v="141"/>
    <x v="61"/>
    <x v="0"/>
    <n v="200000"/>
    <x v="0"/>
    <s v="F"/>
    <x v="0"/>
    <x v="1"/>
  </r>
  <r>
    <n v="627473"/>
    <n v="1766"/>
    <s v="Spain"/>
    <d v="2023-03-27T00:56:00"/>
    <x v="1"/>
    <x v="23"/>
    <n v="5427"/>
    <s v="Spain"/>
    <x v="202"/>
    <x v="150"/>
    <x v="0"/>
    <n v="1000000"/>
    <x v="12"/>
    <s v="M"/>
    <x v="53"/>
    <x v="1"/>
  </r>
  <r>
    <n v="627652"/>
    <n v="330"/>
    <s v="India"/>
    <d v="2023-12-25T00:42:00"/>
    <x v="0"/>
    <x v="56"/>
    <n v="4651"/>
    <s v="India"/>
    <x v="312"/>
    <x v="215"/>
    <x v="4"/>
    <n v="100000"/>
    <x v="28"/>
    <s v="F"/>
    <x v="64"/>
    <x v="2"/>
  </r>
  <r>
    <n v="628471"/>
    <n v="240"/>
    <s v="USA"/>
    <d v="2023-04-17T23:59:00"/>
    <x v="1"/>
    <x v="57"/>
    <n v="9883"/>
    <s v="USA"/>
    <x v="107"/>
    <x v="181"/>
    <x v="0"/>
    <n v="80000"/>
    <x v="0"/>
    <s v="M"/>
    <x v="42"/>
    <x v="2"/>
  </r>
  <r>
    <n v="628608"/>
    <n v="1060"/>
    <s v="India"/>
    <d v="2023-01-01T00:44:00"/>
    <x v="3"/>
    <x v="89"/>
    <n v="89"/>
    <s v="India"/>
    <x v="330"/>
    <x v="85"/>
    <x v="4"/>
    <n v="30000"/>
    <x v="23"/>
    <s v="F"/>
    <x v="14"/>
    <x v="3"/>
  </r>
  <r>
    <n v="628945"/>
    <n v="329"/>
    <s v="Spain"/>
    <d v="2023-06-20T01:20:00"/>
    <x v="2"/>
    <x v="29"/>
    <n v="7750"/>
    <s v="Spain"/>
    <x v="168"/>
    <x v="8"/>
    <x v="3"/>
    <n v="100000"/>
    <x v="13"/>
    <s v="F"/>
    <x v="39"/>
    <x v="2"/>
  </r>
  <r>
    <n v="629227"/>
    <n v="1665"/>
    <s v="Switzerland"/>
    <d v="2023-11-27T23:34:00"/>
    <x v="0"/>
    <x v="59"/>
    <n v="2109"/>
    <s v="Switzerland"/>
    <x v="13"/>
    <x v="99"/>
    <x v="1"/>
    <n v="100000"/>
    <x v="1"/>
    <s v="F"/>
    <x v="11"/>
    <x v="1"/>
  </r>
  <r>
    <n v="629953"/>
    <n v="787"/>
    <s v="Austria"/>
    <d v="2023-04-29T00:45:00"/>
    <x v="2"/>
    <x v="48"/>
    <n v="9460"/>
    <s v="Austria"/>
    <x v="1"/>
    <x v="29"/>
    <x v="1"/>
    <n v="100000"/>
    <x v="9"/>
    <s v="F"/>
    <x v="28"/>
    <x v="0"/>
  </r>
  <r>
    <n v="630561"/>
    <n v="1201"/>
    <s v="France"/>
    <d v="2023-08-28T01:11:00"/>
    <x v="1"/>
    <x v="90"/>
    <n v="6934"/>
    <s v="France"/>
    <x v="207"/>
    <x v="122"/>
    <x v="1"/>
    <n v="50000"/>
    <x v="18"/>
    <s v="M"/>
    <x v="20"/>
    <x v="3"/>
  </r>
  <r>
    <n v="630634"/>
    <n v="723"/>
    <s v="Denmark"/>
    <d v="2023-09-13T23:47:00"/>
    <x v="0"/>
    <x v="23"/>
    <n v="2225"/>
    <s v="Denmark"/>
    <x v="268"/>
    <x v="100"/>
    <x v="0"/>
    <n v="1000000"/>
    <x v="12"/>
    <s v="F"/>
    <x v="16"/>
    <x v="0"/>
  </r>
  <r>
    <n v="631266"/>
    <n v="94"/>
    <s v="Denmark"/>
    <d v="2023-06-04T00:20:00"/>
    <x v="2"/>
    <x v="60"/>
    <n v="985"/>
    <s v="Denmark"/>
    <x v="190"/>
    <x v="68"/>
    <x v="1"/>
    <n v="100000"/>
    <x v="26"/>
    <s v="M"/>
    <x v="48"/>
    <x v="2"/>
  </r>
  <r>
    <n v="631384"/>
    <n v="1975"/>
    <s v="USA"/>
    <d v="2023-02-06T01:19:00"/>
    <x v="3"/>
    <x v="23"/>
    <n v="5484"/>
    <s v="USA"/>
    <x v="49"/>
    <x v="95"/>
    <x v="0"/>
    <n v="1000000"/>
    <x v="12"/>
    <s v="M"/>
    <x v="28"/>
    <x v="1"/>
  </r>
  <r>
    <n v="631614"/>
    <n v="1395"/>
    <s v="USA"/>
    <d v="2023-11-08T23:45:00"/>
    <x v="1"/>
    <x v="1"/>
    <n v="4587"/>
    <s v="USA"/>
    <x v="27"/>
    <x v="164"/>
    <x v="1"/>
    <n v="200000"/>
    <x v="1"/>
    <s v="F"/>
    <x v="42"/>
    <x v="3"/>
  </r>
  <r>
    <n v="631808"/>
    <n v="1219"/>
    <s v="USA"/>
    <d v="2023-11-04T01:06:00"/>
    <x v="0"/>
    <x v="61"/>
    <n v="9502"/>
    <s v="USA"/>
    <x v="244"/>
    <x v="207"/>
    <x v="4"/>
    <n v="200000"/>
    <x v="28"/>
    <s v="M"/>
    <x v="11"/>
    <x v="3"/>
  </r>
  <r>
    <n v="633156"/>
    <n v="990"/>
    <s v="Germany"/>
    <d v="2023-02-09T00:04:00"/>
    <x v="3"/>
    <x v="58"/>
    <n v="9361"/>
    <s v="Germany"/>
    <x v="177"/>
    <x v="64"/>
    <x v="3"/>
    <n v="100000"/>
    <x v="20"/>
    <s v="M"/>
    <x v="2"/>
    <x v="0"/>
  </r>
  <r>
    <n v="635137"/>
    <n v="795"/>
    <s v="Finland"/>
    <d v="2023-07-07T00:26:00"/>
    <x v="3"/>
    <x v="17"/>
    <n v="7566"/>
    <s v="Finland"/>
    <x v="264"/>
    <x v="151"/>
    <x v="0"/>
    <n v="150000"/>
    <x v="14"/>
    <s v="M"/>
    <x v="69"/>
    <x v="0"/>
  </r>
  <r>
    <n v="635304"/>
    <n v="95"/>
    <s v="India"/>
    <d v="2023-10-08T01:28:00"/>
    <x v="3"/>
    <x v="8"/>
    <n v="201"/>
    <s v="India"/>
    <x v="319"/>
    <x v="49"/>
    <x v="1"/>
    <n v="150000"/>
    <x v="8"/>
    <s v="M"/>
    <x v="63"/>
    <x v="2"/>
  </r>
  <r>
    <n v="635743"/>
    <n v="1239"/>
    <s v="Spain"/>
    <d v="2023-12-06T22:37:00"/>
    <x v="3"/>
    <x v="25"/>
    <n v="782"/>
    <s v="Spain"/>
    <x v="136"/>
    <x v="218"/>
    <x v="1"/>
    <n v="150000"/>
    <x v="17"/>
    <s v="F"/>
    <x v="46"/>
    <x v="3"/>
  </r>
  <r>
    <n v="636616"/>
    <n v="51"/>
    <s v="USA"/>
    <d v="2023-01-28T23:33:00"/>
    <x v="2"/>
    <x v="20"/>
    <n v="5103"/>
    <s v="USA"/>
    <x v="323"/>
    <x v="62"/>
    <x v="1"/>
    <n v="200000"/>
    <x v="17"/>
    <s v="F"/>
    <x v="42"/>
    <x v="2"/>
  </r>
  <r>
    <n v="636888"/>
    <n v="770"/>
    <s v="India"/>
    <d v="2023-11-26T01:27:00"/>
    <x v="2"/>
    <x v="26"/>
    <n v="3115"/>
    <s v="India"/>
    <x v="289"/>
    <x v="219"/>
    <x v="2"/>
    <n v="200000"/>
    <x v="19"/>
    <s v="M"/>
    <x v="54"/>
    <x v="0"/>
  </r>
  <r>
    <n v="637916"/>
    <n v="853"/>
    <s v="USA"/>
    <d v="2023-07-30T00:24:00"/>
    <x v="0"/>
    <x v="27"/>
    <n v="613"/>
    <s v="USA"/>
    <x v="113"/>
    <x v="115"/>
    <x v="1"/>
    <n v="80000"/>
    <x v="7"/>
    <s v="M"/>
    <x v="56"/>
    <x v="0"/>
  </r>
  <r>
    <n v="638044"/>
    <n v="255"/>
    <s v="Italy"/>
    <d v="2023-01-29T23:33:00"/>
    <x v="0"/>
    <x v="86"/>
    <n v="8196"/>
    <s v="Italy"/>
    <x v="66"/>
    <x v="62"/>
    <x v="0"/>
    <n v="150000"/>
    <x v="11"/>
    <s v="M"/>
    <x v="14"/>
    <x v="2"/>
  </r>
  <r>
    <n v="638603"/>
    <n v="876"/>
    <s v="USA"/>
    <d v="2023-05-28T01:55:00"/>
    <x v="3"/>
    <x v="29"/>
    <n v="4319"/>
    <s v="USA"/>
    <x v="229"/>
    <x v="220"/>
    <x v="3"/>
    <n v="100000"/>
    <x v="13"/>
    <s v="M"/>
    <x v="15"/>
    <x v="0"/>
  </r>
  <r>
    <n v="639027"/>
    <n v="390"/>
    <s v="India"/>
    <d v="2023-07-24T23:45:00"/>
    <x v="0"/>
    <x v="87"/>
    <n v="2403"/>
    <s v="India"/>
    <x v="200"/>
    <x v="164"/>
    <x v="0"/>
    <n v="100000"/>
    <x v="16"/>
    <s v="M"/>
    <x v="20"/>
    <x v="2"/>
  </r>
  <r>
    <n v="640940"/>
    <n v="1725"/>
    <s v="USA"/>
    <d v="2023-03-01T23:36:00"/>
    <x v="1"/>
    <x v="31"/>
    <n v="3582"/>
    <s v="USA"/>
    <x v="130"/>
    <x v="135"/>
    <x v="2"/>
    <n v="100000"/>
    <x v="22"/>
    <s v="M"/>
    <x v="49"/>
    <x v="1"/>
  </r>
  <r>
    <n v="640945"/>
    <n v="174"/>
    <s v="Italy"/>
    <d v="2023-05-16T00:09:00"/>
    <x v="1"/>
    <x v="32"/>
    <n v="5492"/>
    <s v="Italy"/>
    <x v="144"/>
    <x v="81"/>
    <x v="4"/>
    <n v="100000"/>
    <x v="23"/>
    <s v="M"/>
    <x v="17"/>
    <x v="2"/>
  </r>
  <r>
    <n v="641229"/>
    <n v="781"/>
    <s v="Finland"/>
    <d v="2023-01-10T23:46:00"/>
    <x v="1"/>
    <x v="33"/>
    <n v="5740"/>
    <s v="Finland"/>
    <x v="293"/>
    <x v="9"/>
    <x v="2"/>
    <n v="100000"/>
    <x v="2"/>
    <s v="F"/>
    <x v="50"/>
    <x v="0"/>
  </r>
  <r>
    <n v="641966"/>
    <n v="1767"/>
    <s v="France"/>
    <d v="2023-02-08T01:37:00"/>
    <x v="1"/>
    <x v="23"/>
    <n v="3140"/>
    <s v="France"/>
    <x v="131"/>
    <x v="109"/>
    <x v="0"/>
    <n v="1000000"/>
    <x v="12"/>
    <s v="F"/>
    <x v="44"/>
    <x v="1"/>
  </r>
  <r>
    <n v="642754"/>
    <n v="542"/>
    <s v="Australia"/>
    <d v="2023-02-06T00:40:00"/>
    <x v="1"/>
    <x v="61"/>
    <n v="4849"/>
    <s v="Australia"/>
    <x v="49"/>
    <x v="51"/>
    <x v="4"/>
    <n v="200000"/>
    <x v="28"/>
    <s v="F"/>
    <x v="19"/>
    <x v="0"/>
  </r>
  <r>
    <n v="642874"/>
    <n v="901"/>
    <s v="USA"/>
    <d v="2023-10-07T00:54:00"/>
    <x v="2"/>
    <x v="20"/>
    <n v="1789"/>
    <s v="USA"/>
    <x v="286"/>
    <x v="73"/>
    <x v="1"/>
    <n v="200000"/>
    <x v="17"/>
    <s v="F"/>
    <x v="60"/>
    <x v="0"/>
  </r>
  <r>
    <n v="645557"/>
    <n v="1114"/>
    <s v="India"/>
    <d v="2023-09-16T23:33:00"/>
    <x v="1"/>
    <x v="36"/>
    <n v="1567"/>
    <s v="India"/>
    <x v="254"/>
    <x v="62"/>
    <x v="0"/>
    <n v="150000"/>
    <x v="10"/>
    <s v="F"/>
    <x v="36"/>
    <x v="3"/>
  </r>
  <r>
    <n v="646139"/>
    <n v="1792"/>
    <s v="Denmark"/>
    <d v="2023-08-21T23:33:00"/>
    <x v="3"/>
    <x v="37"/>
    <n v="5161"/>
    <s v="Denmark"/>
    <x v="233"/>
    <x v="62"/>
    <x v="3"/>
    <n v="150000"/>
    <x v="6"/>
    <s v="M"/>
    <x v="0"/>
    <x v="1"/>
  </r>
  <r>
    <n v="647292"/>
    <n v="1553"/>
    <s v="France"/>
    <d v="2023-01-04T00:48:00"/>
    <x v="1"/>
    <x v="38"/>
    <n v="8207"/>
    <s v="France"/>
    <x v="203"/>
    <x v="88"/>
    <x v="2"/>
    <n v="100000"/>
    <x v="22"/>
    <s v="M"/>
    <x v="49"/>
    <x v="1"/>
  </r>
  <r>
    <n v="649627"/>
    <n v="159"/>
    <s v="USA"/>
    <d v="2023-11-19T00:38:00"/>
    <x v="0"/>
    <x v="39"/>
    <n v="5618"/>
    <s v="USA"/>
    <x v="249"/>
    <x v="162"/>
    <x v="3"/>
    <n v="1000000"/>
    <x v="6"/>
    <s v="M"/>
    <x v="5"/>
    <x v="2"/>
  </r>
  <r>
    <n v="649787"/>
    <n v="132"/>
    <s v="Spain"/>
    <d v="2023-03-16T00:42:00"/>
    <x v="2"/>
    <x v="40"/>
    <n v="8578"/>
    <s v="Spain"/>
    <x v="29"/>
    <x v="215"/>
    <x v="2"/>
    <n v="150000"/>
    <x v="2"/>
    <s v="F"/>
    <x v="63"/>
    <x v="2"/>
  </r>
  <r>
    <n v="650459"/>
    <n v="928"/>
    <s v="Austria"/>
    <d v="2023-05-09T00:37:00"/>
    <x v="3"/>
    <x v="77"/>
    <n v="6510"/>
    <s v="Austria"/>
    <x v="182"/>
    <x v="201"/>
    <x v="1"/>
    <n v="250000"/>
    <x v="24"/>
    <s v="F"/>
    <x v="72"/>
    <x v="0"/>
  </r>
  <r>
    <n v="652344"/>
    <n v="1854"/>
    <s v="USA"/>
    <d v="2023-09-25T00:54:00"/>
    <x v="0"/>
    <x v="10"/>
    <n v="1170"/>
    <s v="USA"/>
    <x v="43"/>
    <x v="73"/>
    <x v="0"/>
    <n v="250000"/>
    <x v="10"/>
    <s v="F"/>
    <x v="27"/>
    <x v="1"/>
  </r>
  <r>
    <n v="653986"/>
    <n v="1079"/>
    <s v="India"/>
    <d v="2023-10-03T23:26:00"/>
    <x v="0"/>
    <x v="39"/>
    <n v="6834"/>
    <s v="India"/>
    <x v="307"/>
    <x v="191"/>
    <x v="3"/>
    <n v="1000000"/>
    <x v="6"/>
    <s v="F"/>
    <x v="3"/>
    <x v="3"/>
  </r>
  <r>
    <n v="654071"/>
    <n v="1039"/>
    <s v="Spain"/>
    <d v="2023-11-28T00:26:00"/>
    <x v="3"/>
    <x v="41"/>
    <n v="5670"/>
    <s v="Spain"/>
    <x v="3"/>
    <x v="151"/>
    <x v="0"/>
    <n v="100000"/>
    <x v="0"/>
    <s v="F"/>
    <x v="50"/>
    <x v="3"/>
  </r>
  <r>
    <n v="655800"/>
    <n v="672"/>
    <s v="USA"/>
    <d v="2023-01-18T23:39:00"/>
    <x v="1"/>
    <x v="4"/>
    <n v="6855"/>
    <s v="USA"/>
    <x v="247"/>
    <x v="101"/>
    <x v="0"/>
    <n v="200000"/>
    <x v="4"/>
    <s v="F"/>
    <x v="61"/>
    <x v="0"/>
  </r>
  <r>
    <n v="656865"/>
    <n v="1462"/>
    <s v="USA"/>
    <d v="2023-06-02T00:18:00"/>
    <x v="1"/>
    <x v="63"/>
    <n v="7427"/>
    <s v="USA"/>
    <x v="266"/>
    <x v="139"/>
    <x v="0"/>
    <n v="100000"/>
    <x v="16"/>
    <s v="M"/>
    <x v="48"/>
    <x v="3"/>
  </r>
  <r>
    <n v="656929"/>
    <n v="1773"/>
    <s v="USA"/>
    <d v="2023-12-18T23:41:00"/>
    <x v="3"/>
    <x v="56"/>
    <n v="2228"/>
    <s v="USA"/>
    <x v="11"/>
    <x v="155"/>
    <x v="4"/>
    <n v="100000"/>
    <x v="28"/>
    <s v="F"/>
    <x v="13"/>
    <x v="1"/>
  </r>
  <r>
    <n v="658249"/>
    <n v="1588"/>
    <s v="France"/>
    <d v="2023-08-22T23:10:00"/>
    <x v="1"/>
    <x v="48"/>
    <n v="6820"/>
    <s v="France"/>
    <x v="183"/>
    <x v="176"/>
    <x v="1"/>
    <n v="100000"/>
    <x v="9"/>
    <s v="M"/>
    <x v="8"/>
    <x v="1"/>
  </r>
  <r>
    <n v="658815"/>
    <n v="1190"/>
    <s v="Norway"/>
    <d v="2023-11-25T00:15:00"/>
    <x v="1"/>
    <x v="26"/>
    <n v="5243"/>
    <s v="Norway"/>
    <x v="120"/>
    <x v="123"/>
    <x v="2"/>
    <n v="200000"/>
    <x v="19"/>
    <s v="M"/>
    <x v="63"/>
    <x v="3"/>
  </r>
  <r>
    <n v="659390"/>
    <n v="159"/>
    <s v="USA"/>
    <d v="2023-12-16T00:15:00"/>
    <x v="3"/>
    <x v="23"/>
    <n v="2372"/>
    <s v="USA"/>
    <x v="257"/>
    <x v="123"/>
    <x v="0"/>
    <n v="1000000"/>
    <x v="12"/>
    <s v="M"/>
    <x v="5"/>
    <x v="2"/>
  </r>
  <r>
    <n v="659698"/>
    <n v="767"/>
    <s v="USA"/>
    <d v="2023-08-30T01:20:00"/>
    <x v="2"/>
    <x v="39"/>
    <n v="6482"/>
    <s v="USA"/>
    <x v="74"/>
    <x v="8"/>
    <x v="3"/>
    <n v="1000000"/>
    <x v="6"/>
    <s v="M"/>
    <x v="35"/>
    <x v="0"/>
  </r>
  <r>
    <n v="659911"/>
    <n v="983"/>
    <s v="USA"/>
    <d v="2023-08-06T01:17:00"/>
    <x v="0"/>
    <x v="23"/>
    <n v="1431"/>
    <s v="USA"/>
    <x v="187"/>
    <x v="210"/>
    <x v="0"/>
    <n v="1000000"/>
    <x v="12"/>
    <s v="M"/>
    <x v="30"/>
    <x v="0"/>
  </r>
  <r>
    <n v="660187"/>
    <n v="1374"/>
    <s v="France"/>
    <d v="2023-07-23T23:02:00"/>
    <x v="0"/>
    <x v="21"/>
    <n v="6369"/>
    <s v="France"/>
    <x v="205"/>
    <x v="114"/>
    <x v="0"/>
    <n v="100000"/>
    <x v="4"/>
    <s v="M"/>
    <x v="16"/>
    <x v="3"/>
  </r>
  <r>
    <n v="660830"/>
    <n v="1404"/>
    <s v="USA"/>
    <d v="2023-01-06T00:01:00"/>
    <x v="1"/>
    <x v="76"/>
    <n v="7643"/>
    <s v="USA"/>
    <x v="79"/>
    <x v="63"/>
    <x v="4"/>
    <n v="50000"/>
    <x v="15"/>
    <s v="F"/>
    <x v="0"/>
    <x v="3"/>
  </r>
  <r>
    <n v="661163"/>
    <n v="1426"/>
    <s v="USA"/>
    <d v="2023-03-16T00:50:00"/>
    <x v="1"/>
    <x v="50"/>
    <n v="5069"/>
    <s v="USA"/>
    <x v="29"/>
    <x v="0"/>
    <x v="2"/>
    <n v="100000"/>
    <x v="27"/>
    <s v="F"/>
    <x v="2"/>
    <x v="3"/>
  </r>
  <r>
    <n v="661382"/>
    <n v="1488"/>
    <s v="USA"/>
    <d v="2023-01-23T23:14:00"/>
    <x v="1"/>
    <x v="34"/>
    <n v="970"/>
    <s v="USA"/>
    <x v="21"/>
    <x v="70"/>
    <x v="1"/>
    <n v="100000"/>
    <x v="24"/>
    <s v="M"/>
    <x v="31"/>
    <x v="3"/>
  </r>
  <r>
    <n v="661822"/>
    <n v="177"/>
    <s v="India"/>
    <d v="2023-10-15T23:37:00"/>
    <x v="1"/>
    <x v="30"/>
    <n v="2352"/>
    <s v="India"/>
    <x v="59"/>
    <x v="78"/>
    <x v="2"/>
    <n v="150000"/>
    <x v="21"/>
    <s v="M"/>
    <x v="21"/>
    <x v="2"/>
  </r>
  <r>
    <n v="662950"/>
    <n v="1320"/>
    <s v="Germany"/>
    <d v="2023-06-21T23:34:00"/>
    <x v="3"/>
    <x v="56"/>
    <n v="8477"/>
    <s v="Germany"/>
    <x v="240"/>
    <x v="99"/>
    <x v="4"/>
    <n v="100000"/>
    <x v="28"/>
    <s v="M"/>
    <x v="37"/>
    <x v="3"/>
  </r>
  <r>
    <n v="663055"/>
    <n v="626"/>
    <s v="USA"/>
    <d v="2023-06-19T23:25:00"/>
    <x v="3"/>
    <x v="59"/>
    <n v="6976"/>
    <s v="USA"/>
    <x v="337"/>
    <x v="141"/>
    <x v="1"/>
    <n v="100000"/>
    <x v="1"/>
    <s v="F"/>
    <x v="0"/>
    <x v="0"/>
  </r>
  <r>
    <n v="664585"/>
    <n v="1236"/>
    <s v="USA"/>
    <d v="2023-06-10T00:50:00"/>
    <x v="1"/>
    <x v="0"/>
    <n v="9357"/>
    <s v="USA"/>
    <x v="117"/>
    <x v="0"/>
    <x v="0"/>
    <n v="200000"/>
    <x v="0"/>
    <s v="M"/>
    <x v="59"/>
    <x v="3"/>
  </r>
  <r>
    <n v="664724"/>
    <n v="29"/>
    <s v="Spain"/>
    <d v="2023-09-07T23:40:00"/>
    <x v="3"/>
    <x v="56"/>
    <n v="6535"/>
    <s v="Spain"/>
    <x v="196"/>
    <x v="1"/>
    <x v="4"/>
    <n v="100000"/>
    <x v="28"/>
    <s v="F"/>
    <x v="11"/>
    <x v="2"/>
  </r>
  <r>
    <n v="666564"/>
    <n v="1217"/>
    <s v="USA"/>
    <d v="2023-01-22T00:21:00"/>
    <x v="0"/>
    <x v="39"/>
    <n v="5348"/>
    <s v="USA"/>
    <x v="304"/>
    <x v="2"/>
    <x v="3"/>
    <n v="1000000"/>
    <x v="6"/>
    <s v="F"/>
    <x v="17"/>
    <x v="3"/>
  </r>
  <r>
    <n v="666686"/>
    <n v="1580"/>
    <s v="Australia"/>
    <d v="2023-12-09T00:31:00"/>
    <x v="1"/>
    <x v="36"/>
    <n v="3933"/>
    <s v="Australia"/>
    <x v="100"/>
    <x v="3"/>
    <x v="0"/>
    <n v="150000"/>
    <x v="10"/>
    <s v="M"/>
    <x v="67"/>
    <x v="1"/>
  </r>
  <r>
    <n v="668693"/>
    <n v="27"/>
    <s v="USA"/>
    <d v="2023-01-10T23:11:00"/>
    <x v="1"/>
    <x v="77"/>
    <n v="3654"/>
    <s v="USA"/>
    <x v="293"/>
    <x v="4"/>
    <x v="1"/>
    <n v="250000"/>
    <x v="24"/>
    <s v="F"/>
    <x v="50"/>
    <x v="2"/>
  </r>
  <r>
    <n v="670170"/>
    <n v="1773"/>
    <s v="USA"/>
    <d v="2023-03-24T22:52:00"/>
    <x v="1"/>
    <x v="78"/>
    <n v="877"/>
    <s v="USA"/>
    <x v="294"/>
    <x v="5"/>
    <x v="0"/>
    <n v="100000"/>
    <x v="12"/>
    <s v="F"/>
    <x v="13"/>
    <x v="1"/>
  </r>
  <r>
    <n v="670697"/>
    <n v="171"/>
    <s v="USA"/>
    <d v="2023-05-16T00:23:00"/>
    <x v="1"/>
    <x v="17"/>
    <n v="4251"/>
    <s v="USA"/>
    <x v="144"/>
    <x v="6"/>
    <x v="0"/>
    <n v="150000"/>
    <x v="14"/>
    <s v="M"/>
    <x v="34"/>
    <x v="2"/>
  </r>
  <r>
    <n v="670916"/>
    <n v="1977"/>
    <s v="USA"/>
    <d v="2023-04-01T01:10:00"/>
    <x v="0"/>
    <x v="62"/>
    <n v="9847"/>
    <s v="USA"/>
    <x v="219"/>
    <x v="7"/>
    <x v="2"/>
    <n v="150000"/>
    <x v="27"/>
    <s v="F"/>
    <x v="33"/>
    <x v="1"/>
  </r>
  <r>
    <n v="671201"/>
    <n v="456"/>
    <s v="Australia"/>
    <d v="2023-05-29T01:20:00"/>
    <x v="1"/>
    <x v="23"/>
    <n v="9565"/>
    <s v="Australia"/>
    <x v="42"/>
    <x v="8"/>
    <x v="0"/>
    <n v="1000000"/>
    <x v="12"/>
    <s v="M"/>
    <x v="21"/>
    <x v="2"/>
  </r>
  <r>
    <n v="671270"/>
    <n v="1084"/>
    <s v="India"/>
    <d v="2023-12-09T23:46:00"/>
    <x v="0"/>
    <x v="35"/>
    <n v="258"/>
    <s v="India"/>
    <x v="100"/>
    <x v="9"/>
    <x v="4"/>
    <n v="100000"/>
    <x v="15"/>
    <s v="M"/>
    <x v="21"/>
    <x v="3"/>
  </r>
  <r>
    <n v="671412"/>
    <n v="356"/>
    <s v="India"/>
    <d v="2023-10-16T00:11:00"/>
    <x v="1"/>
    <x v="23"/>
    <n v="1921"/>
    <s v="India"/>
    <x v="114"/>
    <x v="10"/>
    <x v="0"/>
    <n v="1000000"/>
    <x v="12"/>
    <s v="M"/>
    <x v="10"/>
    <x v="2"/>
  </r>
  <r>
    <n v="671598"/>
    <n v="342"/>
    <s v="India"/>
    <d v="2023-02-12T00:39:00"/>
    <x v="2"/>
    <x v="39"/>
    <n v="8711"/>
    <s v="India"/>
    <x v="199"/>
    <x v="11"/>
    <x v="3"/>
    <n v="1000000"/>
    <x v="6"/>
    <s v="F"/>
    <x v="48"/>
    <x v="2"/>
  </r>
  <r>
    <n v="671670"/>
    <n v="523"/>
    <s v="USA"/>
    <d v="2023-08-17T01:05:00"/>
    <x v="1"/>
    <x v="58"/>
    <n v="6441"/>
    <s v="USA"/>
    <x v="122"/>
    <x v="12"/>
    <x v="3"/>
    <n v="100000"/>
    <x v="20"/>
    <s v="M"/>
    <x v="47"/>
    <x v="0"/>
  </r>
  <r>
    <n v="672076"/>
    <n v="27"/>
    <s v="USA"/>
    <d v="2023-01-07T22:29:00"/>
    <x v="0"/>
    <x v="23"/>
    <n v="9162"/>
    <s v="USA"/>
    <x v="336"/>
    <x v="13"/>
    <x v="0"/>
    <n v="1000000"/>
    <x v="12"/>
    <s v="F"/>
    <x v="50"/>
    <x v="2"/>
  </r>
  <r>
    <n v="672686"/>
    <n v="1985"/>
    <s v="France"/>
    <d v="2023-11-29T01:42:00"/>
    <x v="1"/>
    <x v="45"/>
    <n v="2269"/>
    <s v="France"/>
    <x v="178"/>
    <x v="14"/>
    <x v="4"/>
    <n v="100000"/>
    <x v="25"/>
    <s v="M"/>
    <x v="22"/>
    <x v="1"/>
  </r>
  <r>
    <n v="673115"/>
    <n v="1619"/>
    <s v="USA"/>
    <d v="2023-02-03T23:13:00"/>
    <x v="1"/>
    <x v="62"/>
    <n v="3556"/>
    <s v="USA"/>
    <x v="151"/>
    <x v="15"/>
    <x v="2"/>
    <n v="150000"/>
    <x v="27"/>
    <s v="M"/>
    <x v="72"/>
    <x v="1"/>
  </r>
  <r>
    <n v="673915"/>
    <n v="1426"/>
    <s v="USA"/>
    <d v="2023-11-20T22:52:00"/>
    <x v="2"/>
    <x v="67"/>
    <n v="1043"/>
    <s v="USA"/>
    <x v="216"/>
    <x v="5"/>
    <x v="3"/>
    <n v="150000"/>
    <x v="29"/>
    <s v="F"/>
    <x v="2"/>
    <x v="3"/>
  </r>
  <r>
    <n v="674745"/>
    <n v="613"/>
    <s v="India"/>
    <d v="2023-02-21T01:01:00"/>
    <x v="1"/>
    <x v="74"/>
    <n v="4027"/>
    <s v="India"/>
    <x v="338"/>
    <x v="16"/>
    <x v="1"/>
    <n v="200000"/>
    <x v="18"/>
    <s v="F"/>
    <x v="66"/>
    <x v="0"/>
  </r>
  <r>
    <n v="675163"/>
    <n v="26"/>
    <s v="France"/>
    <d v="2023-06-23T22:33:00"/>
    <x v="1"/>
    <x v="51"/>
    <n v="8499"/>
    <s v="France"/>
    <x v="93"/>
    <x v="17"/>
    <x v="2"/>
    <n v="100000"/>
    <x v="22"/>
    <s v="M"/>
    <x v="18"/>
    <x v="2"/>
  </r>
  <r>
    <n v="675362"/>
    <n v="851"/>
    <s v="Singapore"/>
    <d v="2023-05-15T23:16:00"/>
    <x v="0"/>
    <x v="73"/>
    <n v="6791"/>
    <s v="Singapore"/>
    <x v="116"/>
    <x v="18"/>
    <x v="4"/>
    <n v="100000"/>
    <x v="25"/>
    <s v="F"/>
    <x v="30"/>
    <x v="0"/>
  </r>
  <r>
    <n v="675864"/>
    <n v="15"/>
    <s v="Germany"/>
    <d v="2023-08-21T00:12:00"/>
    <x v="2"/>
    <x v="42"/>
    <n v="9493"/>
    <s v="Germany"/>
    <x v="233"/>
    <x v="19"/>
    <x v="0"/>
    <n v="200000"/>
    <x v="14"/>
    <s v="F"/>
    <x v="68"/>
    <x v="2"/>
  </r>
  <r>
    <n v="677135"/>
    <n v="413"/>
    <s v="Spain"/>
    <d v="2023-05-03T00:17:00"/>
    <x v="1"/>
    <x v="60"/>
    <n v="4602"/>
    <s v="Spain"/>
    <x v="141"/>
    <x v="20"/>
    <x v="1"/>
    <n v="100000"/>
    <x v="26"/>
    <s v="M"/>
    <x v="59"/>
    <x v="2"/>
  </r>
  <r>
    <n v="679362"/>
    <n v="955"/>
    <s v="India"/>
    <d v="2023-03-22T00:34:00"/>
    <x v="3"/>
    <x v="54"/>
    <n v="1750"/>
    <s v="India"/>
    <x v="296"/>
    <x v="21"/>
    <x v="1"/>
    <n v="80000"/>
    <x v="17"/>
    <s v="M"/>
    <x v="67"/>
    <x v="0"/>
  </r>
  <r>
    <n v="679845"/>
    <n v="95"/>
    <s v="India"/>
    <d v="2023-02-24T00:06:00"/>
    <x v="0"/>
    <x v="26"/>
    <n v="8415"/>
    <s v="India"/>
    <x v="160"/>
    <x v="22"/>
    <x v="2"/>
    <n v="200000"/>
    <x v="19"/>
    <s v="M"/>
    <x v="63"/>
    <x v="2"/>
  </r>
  <r>
    <n v="680722"/>
    <n v="1278"/>
    <s v="USA"/>
    <d v="2023-04-16T02:00:00"/>
    <x v="2"/>
    <x v="43"/>
    <n v="421"/>
    <s v="USA"/>
    <x v="193"/>
    <x v="23"/>
    <x v="2"/>
    <n v="100000"/>
    <x v="21"/>
    <s v="F"/>
    <x v="45"/>
    <x v="3"/>
  </r>
  <r>
    <n v="682438"/>
    <n v="361"/>
    <s v="Italy"/>
    <d v="2023-12-11T01:01:00"/>
    <x v="1"/>
    <x v="49"/>
    <n v="1181"/>
    <s v="Italy"/>
    <x v="224"/>
    <x v="16"/>
    <x v="0"/>
    <n v="100000"/>
    <x v="10"/>
    <s v="M"/>
    <x v="27"/>
    <x v="2"/>
  </r>
  <r>
    <n v="683069"/>
    <n v="1757"/>
    <s v="Spain"/>
    <d v="2023-10-20T23:19:00"/>
    <x v="0"/>
    <x v="7"/>
    <n v="8159"/>
    <s v="Spain"/>
    <x v="55"/>
    <x v="24"/>
    <x v="1"/>
    <n v="150000"/>
    <x v="7"/>
    <s v="M"/>
    <x v="1"/>
    <x v="1"/>
  </r>
  <r>
    <n v="683536"/>
    <n v="1986"/>
    <s v="France"/>
    <d v="2023-12-18T22:59:00"/>
    <x v="3"/>
    <x v="81"/>
    <n v="4037"/>
    <s v="France"/>
    <x v="11"/>
    <x v="25"/>
    <x v="4"/>
    <n v="100000"/>
    <x v="15"/>
    <s v="M"/>
    <x v="29"/>
    <x v="1"/>
  </r>
  <r>
    <n v="685513"/>
    <n v="252"/>
    <s v="USA"/>
    <d v="2023-03-13T00:17:00"/>
    <x v="0"/>
    <x v="40"/>
    <n v="7916"/>
    <s v="USA"/>
    <x v="317"/>
    <x v="20"/>
    <x v="2"/>
    <n v="150000"/>
    <x v="2"/>
    <s v="F"/>
    <x v="20"/>
    <x v="2"/>
  </r>
  <r>
    <n v="685841"/>
    <n v="446"/>
    <s v="USA"/>
    <d v="2023-10-02T22:56:00"/>
    <x v="3"/>
    <x v="47"/>
    <n v="7514"/>
    <s v="USA"/>
    <x v="155"/>
    <x v="26"/>
    <x v="3"/>
    <n v="100000"/>
    <x v="20"/>
    <s v="M"/>
    <x v="25"/>
    <x v="2"/>
  </r>
  <r>
    <n v="686575"/>
    <n v="184"/>
    <s v="Singapore"/>
    <d v="2023-07-05T23:20:00"/>
    <x v="2"/>
    <x v="23"/>
    <n v="5597"/>
    <s v="Singapore"/>
    <x v="324"/>
    <x v="27"/>
    <x v="0"/>
    <n v="1000000"/>
    <x v="12"/>
    <s v="M"/>
    <x v="33"/>
    <x v="2"/>
  </r>
  <r>
    <n v="686952"/>
    <n v="1685"/>
    <s v="USA"/>
    <d v="2023-04-13T00:58:00"/>
    <x v="3"/>
    <x v="64"/>
    <n v="6047"/>
    <s v="USA"/>
    <x v="260"/>
    <x v="28"/>
    <x v="2"/>
    <n v="100000"/>
    <x v="3"/>
    <s v="F"/>
    <x v="8"/>
    <x v="1"/>
  </r>
  <r>
    <n v="687364"/>
    <n v="444"/>
    <s v="Spain"/>
    <d v="2023-08-15T23:40:00"/>
    <x v="2"/>
    <x v="23"/>
    <n v="4487"/>
    <s v="Spain"/>
    <x v="227"/>
    <x v="1"/>
    <x v="0"/>
    <n v="1000000"/>
    <x v="12"/>
    <s v="F"/>
    <x v="12"/>
    <x v="2"/>
  </r>
  <r>
    <n v="687698"/>
    <n v="814"/>
    <s v="USA"/>
    <d v="2023-01-16T00:45:00"/>
    <x v="3"/>
    <x v="69"/>
    <n v="4616"/>
    <s v="USA"/>
    <x v="181"/>
    <x v="29"/>
    <x v="4"/>
    <n v="150000"/>
    <x v="25"/>
    <s v="F"/>
    <x v="52"/>
    <x v="0"/>
  </r>
  <r>
    <n v="688175"/>
    <n v="642"/>
    <s v="France"/>
    <d v="2023-11-08T00:52:00"/>
    <x v="3"/>
    <x v="39"/>
    <n v="1612"/>
    <s v="France"/>
    <x v="27"/>
    <x v="30"/>
    <x v="3"/>
    <n v="1000000"/>
    <x v="6"/>
    <s v="F"/>
    <x v="24"/>
    <x v="0"/>
  </r>
  <r>
    <n v="688366"/>
    <n v="268"/>
    <s v="India"/>
    <d v="2023-12-12T01:07:00"/>
    <x v="1"/>
    <x v="60"/>
    <n v="345"/>
    <s v="India"/>
    <x v="92"/>
    <x v="31"/>
    <x v="1"/>
    <n v="100000"/>
    <x v="26"/>
    <s v="M"/>
    <x v="59"/>
    <x v="2"/>
  </r>
  <r>
    <n v="688473"/>
    <n v="829"/>
    <s v="USA"/>
    <d v="2023-09-25T01:13:00"/>
    <x v="3"/>
    <x v="23"/>
    <n v="2835"/>
    <s v="USA"/>
    <x v="43"/>
    <x v="32"/>
    <x v="0"/>
    <n v="1000000"/>
    <x v="12"/>
    <s v="F"/>
    <x v="48"/>
    <x v="0"/>
  </r>
  <r>
    <n v="689972"/>
    <n v="916"/>
    <s v="France"/>
    <d v="2023-02-08T01:49:00"/>
    <x v="0"/>
    <x v="22"/>
    <n v="2682"/>
    <s v="France"/>
    <x v="131"/>
    <x v="33"/>
    <x v="3"/>
    <n v="100000"/>
    <x v="13"/>
    <s v="M"/>
    <x v="57"/>
    <x v="0"/>
  </r>
  <r>
    <n v="690697"/>
    <n v="1330"/>
    <s v="Australia"/>
    <d v="2023-03-02T00:12:00"/>
    <x v="2"/>
    <x v="65"/>
    <n v="2726"/>
    <s v="Australia"/>
    <x v="137"/>
    <x v="19"/>
    <x v="4"/>
    <n v="250000"/>
    <x v="28"/>
    <s v="M"/>
    <x v="0"/>
    <x v="3"/>
  </r>
  <r>
    <n v="690812"/>
    <n v="985"/>
    <s v="USA"/>
    <d v="2023-08-29T00:07:00"/>
    <x v="3"/>
    <x v="70"/>
    <n v="3887"/>
    <s v="USA"/>
    <x v="248"/>
    <x v="34"/>
    <x v="3"/>
    <n v="150000"/>
    <x v="29"/>
    <s v="M"/>
    <x v="45"/>
    <x v="0"/>
  </r>
  <r>
    <n v="691227"/>
    <n v="955"/>
    <s v="India"/>
    <d v="2023-07-09T00:49:00"/>
    <x v="1"/>
    <x v="39"/>
    <n v="5936"/>
    <s v="India"/>
    <x v="63"/>
    <x v="35"/>
    <x v="3"/>
    <n v="1000000"/>
    <x v="6"/>
    <s v="M"/>
    <x v="67"/>
    <x v="0"/>
  </r>
  <r>
    <n v="691268"/>
    <n v="809"/>
    <s v="USA"/>
    <d v="2023-05-22T00:53:00"/>
    <x v="2"/>
    <x v="84"/>
    <n v="9498"/>
    <s v="USA"/>
    <x v="310"/>
    <x v="36"/>
    <x v="2"/>
    <n v="100000"/>
    <x v="3"/>
    <s v="M"/>
    <x v="27"/>
    <x v="0"/>
  </r>
  <r>
    <n v="691913"/>
    <n v="1566"/>
    <s v="USA"/>
    <d v="2023-02-12T01:08:00"/>
    <x v="1"/>
    <x v="18"/>
    <n v="6689"/>
    <s v="USA"/>
    <x v="199"/>
    <x v="37"/>
    <x v="2"/>
    <n v="100000"/>
    <x v="5"/>
    <s v="M"/>
    <x v="71"/>
    <x v="1"/>
  </r>
  <r>
    <n v="691946"/>
    <n v="455"/>
    <s v="Germany"/>
    <d v="2023-02-03T23:46:00"/>
    <x v="1"/>
    <x v="69"/>
    <n v="1893"/>
    <s v="Germany"/>
    <x v="151"/>
    <x v="9"/>
    <x v="4"/>
    <n v="150000"/>
    <x v="25"/>
    <s v="F"/>
    <x v="44"/>
    <x v="2"/>
  </r>
  <r>
    <n v="692440"/>
    <n v="159"/>
    <s v="USA"/>
    <d v="2023-07-19T23:42:00"/>
    <x v="0"/>
    <x v="0"/>
    <n v="7041"/>
    <s v="USA"/>
    <x v="316"/>
    <x v="38"/>
    <x v="0"/>
    <n v="200000"/>
    <x v="0"/>
    <s v="M"/>
    <x v="5"/>
    <x v="2"/>
  </r>
  <r>
    <n v="692808"/>
    <n v="1797"/>
    <s v="USA"/>
    <d v="2023-08-08T00:28:00"/>
    <x v="0"/>
    <x v="85"/>
    <n v="7362"/>
    <s v="USA"/>
    <x v="98"/>
    <x v="39"/>
    <x v="2"/>
    <n v="150000"/>
    <x v="21"/>
    <s v="M"/>
    <x v="23"/>
    <x v="1"/>
  </r>
  <r>
    <n v="692957"/>
    <n v="941"/>
    <s v="USA"/>
    <d v="2023-12-02T23:46:00"/>
    <x v="2"/>
    <x v="15"/>
    <n v="8917"/>
    <s v="USA"/>
    <x v="180"/>
    <x v="9"/>
    <x v="0"/>
    <n v="150000"/>
    <x v="14"/>
    <s v="M"/>
    <x v="49"/>
    <x v="0"/>
  </r>
  <r>
    <n v="692962"/>
    <n v="442"/>
    <s v="USA"/>
    <d v="2023-07-17T00:31:00"/>
    <x v="2"/>
    <x v="68"/>
    <n v="1328"/>
    <s v="USA"/>
    <x v="212"/>
    <x v="3"/>
    <x v="1"/>
    <n v="150000"/>
    <x v="26"/>
    <s v="M"/>
    <x v="14"/>
    <x v="2"/>
  </r>
  <r>
    <n v="694715"/>
    <n v="519"/>
    <s v="France"/>
    <d v="2023-08-01T23:07:00"/>
    <x v="0"/>
    <x v="31"/>
    <n v="6870"/>
    <s v="France"/>
    <x v="238"/>
    <x v="40"/>
    <x v="2"/>
    <n v="100000"/>
    <x v="22"/>
    <s v="M"/>
    <x v="41"/>
    <x v="0"/>
  </r>
  <r>
    <n v="695237"/>
    <n v="520"/>
    <s v="Spain"/>
    <d v="2023-01-11T23:40:00"/>
    <x v="2"/>
    <x v="21"/>
    <n v="1232"/>
    <s v="Spain"/>
    <x v="156"/>
    <x v="1"/>
    <x v="0"/>
    <n v="100000"/>
    <x v="4"/>
    <s v="M"/>
    <x v="49"/>
    <x v="0"/>
  </r>
  <r>
    <n v="695670"/>
    <n v="58"/>
    <s v="Germany"/>
    <d v="2023-06-13T02:22:00"/>
    <x v="1"/>
    <x v="11"/>
    <n v="8331"/>
    <s v="Germany"/>
    <x v="252"/>
    <x v="41"/>
    <x v="1"/>
    <n v="150000"/>
    <x v="1"/>
    <s v="M"/>
    <x v="3"/>
    <x v="2"/>
  </r>
  <r>
    <n v="696736"/>
    <n v="899"/>
    <s v="USA"/>
    <d v="2023-11-19T00:57:00"/>
    <x v="3"/>
    <x v="45"/>
    <n v="2627"/>
    <s v="USA"/>
    <x v="249"/>
    <x v="42"/>
    <x v="4"/>
    <n v="100000"/>
    <x v="25"/>
    <s v="F"/>
    <x v="21"/>
    <x v="0"/>
  </r>
  <r>
    <n v="696792"/>
    <n v="1651"/>
    <s v="Australia"/>
    <d v="2023-06-06T23:49:00"/>
    <x v="2"/>
    <x v="24"/>
    <n v="9568"/>
    <s v="Australia"/>
    <x v="174"/>
    <x v="43"/>
    <x v="1"/>
    <n v="100000"/>
    <x v="18"/>
    <s v="M"/>
    <x v="62"/>
    <x v="1"/>
  </r>
  <r>
    <n v="696860"/>
    <n v="270"/>
    <s v="Australia"/>
    <d v="2023-03-11T00:55:00"/>
    <x v="0"/>
    <x v="10"/>
    <n v="4174"/>
    <s v="Australia"/>
    <x v="250"/>
    <x v="44"/>
    <x v="0"/>
    <n v="250000"/>
    <x v="10"/>
    <s v="F"/>
    <x v="8"/>
    <x v="2"/>
  </r>
  <r>
    <n v="697123"/>
    <n v="1959"/>
    <s v="Germany"/>
    <d v="2023-11-11T01:50:00"/>
    <x v="3"/>
    <x v="74"/>
    <n v="6636"/>
    <s v="Germany"/>
    <x v="68"/>
    <x v="45"/>
    <x v="1"/>
    <n v="200000"/>
    <x v="18"/>
    <s v="M"/>
    <x v="9"/>
    <x v="1"/>
  </r>
  <r>
    <n v="698048"/>
    <n v="175"/>
    <s v="USA"/>
    <d v="2023-11-04T01:48:00"/>
    <x v="0"/>
    <x v="23"/>
    <n v="731"/>
    <s v="USA"/>
    <x v="244"/>
    <x v="46"/>
    <x v="0"/>
    <n v="1000000"/>
    <x v="12"/>
    <s v="M"/>
    <x v="41"/>
    <x v="2"/>
  </r>
  <r>
    <n v="698175"/>
    <n v="1372"/>
    <s v="France"/>
    <d v="2023-06-17T01:33:00"/>
    <x v="2"/>
    <x v="90"/>
    <n v="6322"/>
    <s v="France"/>
    <x v="234"/>
    <x v="47"/>
    <x v="1"/>
    <n v="50000"/>
    <x v="18"/>
    <s v="M"/>
    <x v="9"/>
    <x v="3"/>
  </r>
  <r>
    <n v="698222"/>
    <n v="1836"/>
    <s v="France"/>
    <d v="2023-03-22T00:05:00"/>
    <x v="2"/>
    <x v="42"/>
    <n v="1804"/>
    <s v="France"/>
    <x v="296"/>
    <x v="48"/>
    <x v="0"/>
    <n v="200000"/>
    <x v="14"/>
    <s v="M"/>
    <x v="40"/>
    <x v="1"/>
  </r>
  <r>
    <n v="699766"/>
    <n v="202"/>
    <s v="USA"/>
    <d v="2023-12-29T01:28:00"/>
    <x v="3"/>
    <x v="16"/>
    <n v="2379"/>
    <s v="USA"/>
    <x v="277"/>
    <x v="49"/>
    <x v="4"/>
    <n v="150000"/>
    <x v="15"/>
    <s v="M"/>
    <x v="46"/>
    <x v="2"/>
  </r>
  <r>
    <n v="700751"/>
    <n v="1082"/>
    <s v="India"/>
    <d v="2023-04-07T00:29:00"/>
    <x v="1"/>
    <x v="23"/>
    <n v="1547"/>
    <s v="India"/>
    <x v="194"/>
    <x v="50"/>
    <x v="0"/>
    <n v="1000000"/>
    <x v="12"/>
    <s v="M"/>
    <x v="41"/>
    <x v="3"/>
  </r>
  <r>
    <n v="701790"/>
    <n v="1704"/>
    <s v="USA"/>
    <d v="2023-02-22T00:40:00"/>
    <x v="1"/>
    <x v="23"/>
    <n v="4202"/>
    <s v="USA"/>
    <x v="184"/>
    <x v="51"/>
    <x v="0"/>
    <n v="1000000"/>
    <x v="12"/>
    <s v="M"/>
    <x v="25"/>
    <x v="1"/>
  </r>
  <r>
    <n v="701802"/>
    <n v="151"/>
    <s v="Germany"/>
    <d v="2023-04-04T01:12:00"/>
    <x v="0"/>
    <x v="83"/>
    <n v="927"/>
    <s v="Germany"/>
    <x v="127"/>
    <x v="52"/>
    <x v="2"/>
    <n v="100000"/>
    <x v="19"/>
    <s v="M"/>
    <x v="15"/>
    <x v="2"/>
  </r>
  <r>
    <n v="702331"/>
    <n v="1848"/>
    <s v="USA"/>
    <d v="2023-08-28T00:33:00"/>
    <x v="3"/>
    <x v="23"/>
    <n v="5015"/>
    <s v="USA"/>
    <x v="207"/>
    <x v="53"/>
    <x v="0"/>
    <n v="1000000"/>
    <x v="12"/>
    <s v="M"/>
    <x v="42"/>
    <x v="1"/>
  </r>
  <r>
    <n v="703166"/>
    <n v="1228"/>
    <s v="USA"/>
    <d v="2023-11-03T00:22:00"/>
    <x v="1"/>
    <x v="19"/>
    <n v="2916"/>
    <s v="USA"/>
    <x v="9"/>
    <x v="54"/>
    <x v="0"/>
    <n v="150000"/>
    <x v="16"/>
    <s v="M"/>
    <x v="27"/>
    <x v="3"/>
  </r>
  <r>
    <n v="704734"/>
    <n v="1243"/>
    <s v="Spain"/>
    <d v="2023-09-25T22:35:00"/>
    <x v="2"/>
    <x v="14"/>
    <n v="9313"/>
    <s v="Spain"/>
    <x v="43"/>
    <x v="55"/>
    <x v="3"/>
    <n v="200000"/>
    <x v="13"/>
    <s v="M"/>
    <x v="32"/>
    <x v="3"/>
  </r>
  <r>
    <n v="705322"/>
    <n v="1718"/>
    <s v="USA"/>
    <d v="2023-05-03T23:24:00"/>
    <x v="1"/>
    <x v="48"/>
    <n v="1519"/>
    <s v="USA"/>
    <x v="141"/>
    <x v="56"/>
    <x v="1"/>
    <n v="100000"/>
    <x v="9"/>
    <s v="M"/>
    <x v="47"/>
    <x v="1"/>
  </r>
  <r>
    <n v="705612"/>
    <n v="1886"/>
    <s v="Australia"/>
    <d v="2023-04-29T23:31:00"/>
    <x v="1"/>
    <x v="26"/>
    <n v="2657"/>
    <s v="Australia"/>
    <x v="1"/>
    <x v="57"/>
    <x v="2"/>
    <n v="200000"/>
    <x v="19"/>
    <s v="F"/>
    <x v="9"/>
    <x v="1"/>
  </r>
  <r>
    <n v="706153"/>
    <n v="1053"/>
    <s v="India"/>
    <d v="2023-03-22T00:32:00"/>
    <x v="3"/>
    <x v="23"/>
    <n v="777"/>
    <s v="India"/>
    <x v="296"/>
    <x v="58"/>
    <x v="0"/>
    <n v="1000000"/>
    <x v="12"/>
    <s v="F"/>
    <x v="25"/>
    <x v="3"/>
  </r>
  <r>
    <n v="706669"/>
    <n v="1153"/>
    <s v="Italy"/>
    <d v="2023-05-06T01:45:00"/>
    <x v="2"/>
    <x v="39"/>
    <n v="4666"/>
    <s v="Italy"/>
    <x v="288"/>
    <x v="59"/>
    <x v="3"/>
    <n v="1000000"/>
    <x v="6"/>
    <s v="F"/>
    <x v="36"/>
    <x v="3"/>
  </r>
  <r>
    <n v="706696"/>
    <n v="606"/>
    <s v="USA"/>
    <d v="2023-07-09T00:41:00"/>
    <x v="0"/>
    <x v="23"/>
    <n v="3500"/>
    <s v="USA"/>
    <x v="63"/>
    <x v="60"/>
    <x v="0"/>
    <n v="1000000"/>
    <x v="12"/>
    <s v="M"/>
    <x v="65"/>
    <x v="0"/>
  </r>
  <r>
    <n v="706725"/>
    <n v="1812"/>
    <s v="Spain"/>
    <d v="2023-02-25T00:16:00"/>
    <x v="2"/>
    <x v="26"/>
    <n v="7569"/>
    <s v="Spain"/>
    <x v="84"/>
    <x v="61"/>
    <x v="2"/>
    <n v="200000"/>
    <x v="19"/>
    <s v="M"/>
    <x v="22"/>
    <x v="1"/>
  </r>
  <r>
    <n v="708480"/>
    <n v="1060"/>
    <s v="India"/>
    <d v="2023-10-19T23:33:00"/>
    <x v="3"/>
    <x v="76"/>
    <n v="2493"/>
    <s v="India"/>
    <x v="16"/>
    <x v="62"/>
    <x v="4"/>
    <n v="50000"/>
    <x v="15"/>
    <s v="F"/>
    <x v="14"/>
    <x v="3"/>
  </r>
  <r>
    <n v="708846"/>
    <n v="1644"/>
    <s v="Australia"/>
    <d v="2023-10-07T00:33:00"/>
    <x v="3"/>
    <x v="50"/>
    <n v="3069"/>
    <s v="Australia"/>
    <x v="286"/>
    <x v="53"/>
    <x v="2"/>
    <n v="100000"/>
    <x v="27"/>
    <s v="F"/>
    <x v="5"/>
    <x v="1"/>
  </r>
  <r>
    <n v="709317"/>
    <n v="253"/>
    <s v="France"/>
    <d v="2023-09-06T00:01:00"/>
    <x v="1"/>
    <x v="34"/>
    <n v="9441"/>
    <s v="France"/>
    <x v="339"/>
    <x v="63"/>
    <x v="1"/>
    <n v="100000"/>
    <x v="24"/>
    <s v="F"/>
    <x v="25"/>
    <x v="2"/>
  </r>
  <r>
    <n v="710669"/>
    <n v="1366"/>
    <s v="USA"/>
    <d v="2023-12-15T00:04:00"/>
    <x v="2"/>
    <x v="30"/>
    <n v="5405"/>
    <s v="USA"/>
    <x v="0"/>
    <x v="64"/>
    <x v="2"/>
    <n v="150000"/>
    <x v="21"/>
    <s v="M"/>
    <x v="60"/>
    <x v="3"/>
  </r>
  <r>
    <n v="710673"/>
    <n v="1229"/>
    <s v="Australia"/>
    <d v="2023-06-13T01:26:00"/>
    <x v="3"/>
    <x v="56"/>
    <n v="6405"/>
    <s v="Australia"/>
    <x v="252"/>
    <x v="65"/>
    <x v="4"/>
    <n v="100000"/>
    <x v="28"/>
    <s v="F"/>
    <x v="25"/>
    <x v="3"/>
  </r>
  <r>
    <n v="711277"/>
    <n v="933"/>
    <s v="USA"/>
    <d v="2023-08-11T23:08:00"/>
    <x v="1"/>
    <x v="59"/>
    <n v="2857"/>
    <s v="USA"/>
    <x v="340"/>
    <x v="66"/>
    <x v="1"/>
    <n v="100000"/>
    <x v="1"/>
    <s v="F"/>
    <x v="32"/>
    <x v="0"/>
  </r>
  <r>
    <n v="711681"/>
    <n v="1344"/>
    <s v="Spain"/>
    <d v="2023-05-22T00:35:00"/>
    <x v="2"/>
    <x v="0"/>
    <n v="3885"/>
    <s v="Spain"/>
    <x v="310"/>
    <x v="67"/>
    <x v="0"/>
    <n v="200000"/>
    <x v="0"/>
    <s v="M"/>
    <x v="28"/>
    <x v="3"/>
  </r>
  <r>
    <n v="712741"/>
    <n v="1001"/>
    <s v="USA"/>
    <d v="2023-12-20T00:20:00"/>
    <x v="0"/>
    <x v="56"/>
    <n v="1475"/>
    <s v="USA"/>
    <x v="341"/>
    <x v="68"/>
    <x v="4"/>
    <n v="100000"/>
    <x v="28"/>
    <s v="F"/>
    <x v="10"/>
    <x v="3"/>
  </r>
  <r>
    <n v="713425"/>
    <n v="1254"/>
    <s v="France"/>
    <d v="2023-11-28T00:55:00"/>
    <x v="0"/>
    <x v="39"/>
    <n v="918"/>
    <s v="France"/>
    <x v="3"/>
    <x v="44"/>
    <x v="3"/>
    <n v="1000000"/>
    <x v="6"/>
    <s v="M"/>
    <x v="37"/>
    <x v="3"/>
  </r>
  <r>
    <n v="716091"/>
    <n v="1691"/>
    <s v="USA"/>
    <d v="2023-06-12T01:28:00"/>
    <x v="3"/>
    <x v="36"/>
    <n v="6454"/>
    <s v="USA"/>
    <x v="342"/>
    <x v="49"/>
    <x v="0"/>
    <n v="150000"/>
    <x v="10"/>
    <s v="M"/>
    <x v="64"/>
    <x v="1"/>
  </r>
  <r>
    <n v="717493"/>
    <n v="180"/>
    <s v="USA"/>
    <d v="2023-02-21T00:53:00"/>
    <x v="0"/>
    <x v="77"/>
    <n v="1788"/>
    <s v="USA"/>
    <x v="338"/>
    <x v="36"/>
    <x v="1"/>
    <n v="250000"/>
    <x v="24"/>
    <s v="F"/>
    <x v="49"/>
    <x v="2"/>
  </r>
  <r>
    <n v="718344"/>
    <n v="375"/>
    <s v="Australia"/>
    <d v="2023-03-30T23:21:00"/>
    <x v="1"/>
    <x v="78"/>
    <n v="1580"/>
    <s v="Australia"/>
    <x v="101"/>
    <x v="69"/>
    <x v="0"/>
    <n v="100000"/>
    <x v="12"/>
    <s v="F"/>
    <x v="23"/>
    <x v="2"/>
  </r>
  <r>
    <n v="719496"/>
    <n v="958"/>
    <s v="USA"/>
    <d v="2023-04-05T23:14:00"/>
    <x v="3"/>
    <x v="24"/>
    <n v="8062"/>
    <s v="USA"/>
    <x v="95"/>
    <x v="70"/>
    <x v="1"/>
    <n v="100000"/>
    <x v="18"/>
    <s v="M"/>
    <x v="20"/>
    <x v="0"/>
  </r>
  <r>
    <n v="719899"/>
    <n v="748"/>
    <s v="USA"/>
    <d v="2023-03-08T23:29:00"/>
    <x v="3"/>
    <x v="62"/>
    <n v="2445"/>
    <s v="USA"/>
    <x v="5"/>
    <x v="71"/>
    <x v="2"/>
    <n v="150000"/>
    <x v="27"/>
    <s v="F"/>
    <x v="28"/>
    <x v="0"/>
  </r>
  <r>
    <n v="720311"/>
    <n v="425"/>
    <s v="India"/>
    <d v="2023-02-27T00:22:00"/>
    <x v="2"/>
    <x v="23"/>
    <n v="4868"/>
    <s v="India"/>
    <x v="298"/>
    <x v="54"/>
    <x v="0"/>
    <n v="1000000"/>
    <x v="12"/>
    <s v="M"/>
    <x v="66"/>
    <x v="2"/>
  </r>
  <r>
    <n v="721053"/>
    <n v="579"/>
    <s v="USA"/>
    <d v="2023-04-23T00:03:00"/>
    <x v="0"/>
    <x v="35"/>
    <n v="5093"/>
    <s v="USA"/>
    <x v="218"/>
    <x v="72"/>
    <x v="4"/>
    <n v="100000"/>
    <x v="15"/>
    <s v="F"/>
    <x v="14"/>
    <x v="0"/>
  </r>
  <r>
    <n v="721298"/>
    <n v="1717"/>
    <s v="Australia"/>
    <d v="2023-03-28T00:54:00"/>
    <x v="1"/>
    <x v="23"/>
    <n v="3875"/>
    <s v="Australia"/>
    <x v="83"/>
    <x v="73"/>
    <x v="0"/>
    <n v="1000000"/>
    <x v="12"/>
    <s v="M"/>
    <x v="19"/>
    <x v="1"/>
  </r>
  <r>
    <n v="721384"/>
    <n v="922"/>
    <s v="Switzerland"/>
    <d v="2023-03-17T00:04:00"/>
    <x v="1"/>
    <x v="39"/>
    <n v="1833"/>
    <s v="Switzerland"/>
    <x v="19"/>
    <x v="64"/>
    <x v="3"/>
    <n v="1000000"/>
    <x v="6"/>
    <s v="F"/>
    <x v="34"/>
    <x v="0"/>
  </r>
  <r>
    <n v="722572"/>
    <n v="1948"/>
    <s v="USA"/>
    <d v="2023-01-28T23:35:00"/>
    <x v="0"/>
    <x v="58"/>
    <n v="1207"/>
    <s v="USA"/>
    <x v="323"/>
    <x v="74"/>
    <x v="3"/>
    <n v="100000"/>
    <x v="20"/>
    <s v="F"/>
    <x v="33"/>
    <x v="1"/>
  </r>
  <r>
    <n v="723244"/>
    <n v="1347"/>
    <s v="France"/>
    <d v="2023-08-23T00:11:00"/>
    <x v="1"/>
    <x v="66"/>
    <n v="6759"/>
    <s v="France"/>
    <x v="333"/>
    <x v="10"/>
    <x v="1"/>
    <n v="100000"/>
    <x v="8"/>
    <s v="M"/>
    <x v="39"/>
    <x v="3"/>
  </r>
  <r>
    <n v="723357"/>
    <n v="1297"/>
    <s v="USA"/>
    <d v="2023-03-04T01:05:00"/>
    <x v="2"/>
    <x v="67"/>
    <n v="4674"/>
    <s v="USA"/>
    <x v="272"/>
    <x v="12"/>
    <x v="3"/>
    <n v="150000"/>
    <x v="29"/>
    <s v="F"/>
    <x v="46"/>
    <x v="3"/>
  </r>
  <r>
    <n v="723458"/>
    <n v="1716"/>
    <s v="USA"/>
    <d v="2023-04-13T00:07:00"/>
    <x v="1"/>
    <x v="39"/>
    <n v="946"/>
    <s v="USA"/>
    <x v="260"/>
    <x v="34"/>
    <x v="3"/>
    <n v="1000000"/>
    <x v="6"/>
    <s v="F"/>
    <x v="65"/>
    <x v="1"/>
  </r>
  <r>
    <n v="723480"/>
    <n v="1961"/>
    <s v="Germany"/>
    <d v="2023-02-24T00:47:00"/>
    <x v="3"/>
    <x v="41"/>
    <n v="8332"/>
    <s v="Germany"/>
    <x v="160"/>
    <x v="75"/>
    <x v="0"/>
    <n v="100000"/>
    <x v="0"/>
    <s v="M"/>
    <x v="27"/>
    <x v="1"/>
  </r>
  <r>
    <n v="723551"/>
    <n v="1849"/>
    <s v="Denmark"/>
    <d v="2023-04-23T01:40:00"/>
    <x v="3"/>
    <x v="4"/>
    <n v="6416"/>
    <s v="Denmark"/>
    <x v="218"/>
    <x v="76"/>
    <x v="0"/>
    <n v="200000"/>
    <x v="4"/>
    <s v="M"/>
    <x v="31"/>
    <x v="1"/>
  </r>
  <r>
    <n v="723623"/>
    <n v="1818"/>
    <s v="USA"/>
    <d v="2023-07-03T00:46:00"/>
    <x v="1"/>
    <x v="42"/>
    <n v="9468"/>
    <s v="USA"/>
    <x v="32"/>
    <x v="77"/>
    <x v="0"/>
    <n v="200000"/>
    <x v="14"/>
    <s v="M"/>
    <x v="1"/>
    <x v="1"/>
  </r>
  <r>
    <n v="725071"/>
    <n v="1825"/>
    <s v="Australia"/>
    <d v="2023-02-15T00:32:00"/>
    <x v="1"/>
    <x v="7"/>
    <n v="8859"/>
    <s v="Australia"/>
    <x v="146"/>
    <x v="58"/>
    <x v="1"/>
    <n v="150000"/>
    <x v="7"/>
    <s v="F"/>
    <x v="13"/>
    <x v="1"/>
  </r>
  <r>
    <n v="725371"/>
    <n v="634"/>
    <s v="USA"/>
    <d v="2023-01-02T23:37:00"/>
    <x v="2"/>
    <x v="68"/>
    <n v="7071"/>
    <s v="USA"/>
    <x v="80"/>
    <x v="78"/>
    <x v="1"/>
    <n v="150000"/>
    <x v="26"/>
    <s v="M"/>
    <x v="14"/>
    <x v="0"/>
  </r>
  <r>
    <n v="725482"/>
    <n v="1874"/>
    <s v="USA"/>
    <d v="2023-07-11T23:27:00"/>
    <x v="2"/>
    <x v="23"/>
    <n v="6488"/>
    <s v="USA"/>
    <x v="149"/>
    <x v="79"/>
    <x v="0"/>
    <n v="1000000"/>
    <x v="12"/>
    <s v="M"/>
    <x v="66"/>
    <x v="1"/>
  </r>
  <r>
    <n v="726616"/>
    <n v="1290"/>
    <s v="USA"/>
    <d v="2023-08-06T23:38:00"/>
    <x v="1"/>
    <x v="9"/>
    <n v="6697"/>
    <s v="USA"/>
    <x v="187"/>
    <x v="80"/>
    <x v="1"/>
    <n v="150000"/>
    <x v="9"/>
    <s v="M"/>
    <x v="34"/>
    <x v="3"/>
  </r>
  <r>
    <n v="728697"/>
    <n v="1913"/>
    <s v="Italy"/>
    <d v="2023-08-25T00:11:00"/>
    <x v="3"/>
    <x v="69"/>
    <n v="6226"/>
    <s v="Italy"/>
    <x v="332"/>
    <x v="10"/>
    <x v="4"/>
    <n v="150000"/>
    <x v="25"/>
    <s v="F"/>
    <x v="66"/>
    <x v="1"/>
  </r>
  <r>
    <n v="730295"/>
    <n v="134"/>
    <s v="Australia"/>
    <d v="2023-08-06T00:04:00"/>
    <x v="1"/>
    <x v="48"/>
    <n v="4721"/>
    <s v="Australia"/>
    <x v="187"/>
    <x v="64"/>
    <x v="1"/>
    <n v="100000"/>
    <x v="9"/>
    <s v="M"/>
    <x v="43"/>
    <x v="2"/>
  </r>
  <r>
    <n v="730976"/>
    <n v="1908"/>
    <s v="USA"/>
    <d v="2023-11-01T00:58:00"/>
    <x v="3"/>
    <x v="9"/>
    <n v="4073"/>
    <s v="USA"/>
    <x v="172"/>
    <x v="28"/>
    <x v="1"/>
    <n v="150000"/>
    <x v="9"/>
    <s v="M"/>
    <x v="1"/>
    <x v="1"/>
  </r>
  <r>
    <n v="731161"/>
    <n v="1367"/>
    <s v="Italy"/>
    <d v="2023-06-02T00:09:00"/>
    <x v="0"/>
    <x v="87"/>
    <n v="3548"/>
    <s v="Italy"/>
    <x v="266"/>
    <x v="81"/>
    <x v="0"/>
    <n v="100000"/>
    <x v="16"/>
    <s v="F"/>
    <x v="5"/>
    <x v="3"/>
  </r>
  <r>
    <n v="731345"/>
    <n v="1365"/>
    <s v="USA"/>
    <d v="2023-03-28T22:59:00"/>
    <x v="2"/>
    <x v="71"/>
    <n v="5198"/>
    <s v="USA"/>
    <x v="83"/>
    <x v="25"/>
    <x v="1"/>
    <n v="50000"/>
    <x v="8"/>
    <s v="F"/>
    <x v="62"/>
    <x v="3"/>
  </r>
  <r>
    <n v="732301"/>
    <n v="250"/>
    <s v="India"/>
    <d v="2023-11-01T00:05:00"/>
    <x v="1"/>
    <x v="69"/>
    <n v="4048"/>
    <s v="India"/>
    <x v="172"/>
    <x v="48"/>
    <x v="4"/>
    <n v="150000"/>
    <x v="25"/>
    <s v="F"/>
    <x v="66"/>
    <x v="2"/>
  </r>
  <r>
    <n v="732319"/>
    <n v="1802"/>
    <s v="France"/>
    <d v="2023-04-24T00:07:00"/>
    <x v="0"/>
    <x v="72"/>
    <n v="3911"/>
    <s v="France"/>
    <x v="290"/>
    <x v="34"/>
    <x v="0"/>
    <n v="80000"/>
    <x v="4"/>
    <s v="F"/>
    <x v="57"/>
    <x v="1"/>
  </r>
  <r>
    <n v="733263"/>
    <n v="881"/>
    <s v="France"/>
    <d v="2023-10-25T00:34:00"/>
    <x v="1"/>
    <x v="68"/>
    <n v="9697"/>
    <s v="France"/>
    <x v="343"/>
    <x v="21"/>
    <x v="1"/>
    <n v="150000"/>
    <x v="26"/>
    <s v="M"/>
    <x v="25"/>
    <x v="0"/>
  </r>
  <r>
    <n v="734449"/>
    <n v="1061"/>
    <s v="Finland"/>
    <d v="2023-10-26T02:12:00"/>
    <x v="1"/>
    <x v="79"/>
    <n v="8005"/>
    <s v="Finland"/>
    <x v="4"/>
    <x v="82"/>
    <x v="1"/>
    <n v="200000"/>
    <x v="9"/>
    <s v="F"/>
    <x v="57"/>
    <x v="3"/>
  </r>
  <r>
    <n v="734468"/>
    <n v="83"/>
    <s v="Italy"/>
    <d v="2023-02-15T00:55:00"/>
    <x v="2"/>
    <x v="0"/>
    <n v="5705"/>
    <s v="Italy"/>
    <x v="146"/>
    <x v="44"/>
    <x v="0"/>
    <n v="200000"/>
    <x v="0"/>
    <s v="F"/>
    <x v="34"/>
    <x v="2"/>
  </r>
  <r>
    <n v="734939"/>
    <n v="1797"/>
    <s v="USA"/>
    <d v="2023-02-27T01:23:00"/>
    <x v="2"/>
    <x v="10"/>
    <n v="5602"/>
    <s v="USA"/>
    <x v="298"/>
    <x v="83"/>
    <x v="0"/>
    <n v="250000"/>
    <x v="10"/>
    <s v="M"/>
    <x v="23"/>
    <x v="1"/>
  </r>
  <r>
    <n v="735675"/>
    <n v="412"/>
    <s v="India"/>
    <d v="2023-11-21T01:16:00"/>
    <x v="0"/>
    <x v="73"/>
    <n v="2472"/>
    <s v="India"/>
    <x v="185"/>
    <x v="84"/>
    <x v="4"/>
    <n v="100000"/>
    <x v="25"/>
    <s v="F"/>
    <x v="10"/>
    <x v="2"/>
  </r>
  <r>
    <n v="737059"/>
    <n v="849"/>
    <s v="France"/>
    <d v="2023-10-08T00:44:00"/>
    <x v="3"/>
    <x v="23"/>
    <n v="8652"/>
    <s v="France"/>
    <x v="319"/>
    <x v="85"/>
    <x v="0"/>
    <n v="1000000"/>
    <x v="12"/>
    <s v="M"/>
    <x v="11"/>
    <x v="0"/>
  </r>
  <r>
    <n v="737066"/>
    <n v="744"/>
    <s v="Finland"/>
    <d v="2023-02-21T00:20:00"/>
    <x v="0"/>
    <x v="39"/>
    <n v="9597"/>
    <s v="Finland"/>
    <x v="338"/>
    <x v="68"/>
    <x v="3"/>
    <n v="1000000"/>
    <x v="6"/>
    <s v="M"/>
    <x v="19"/>
    <x v="0"/>
  </r>
  <r>
    <n v="737790"/>
    <n v="1646"/>
    <s v="Spain"/>
    <d v="2023-06-10T01:41:00"/>
    <x v="3"/>
    <x v="17"/>
    <n v="7589"/>
    <s v="Spain"/>
    <x v="117"/>
    <x v="86"/>
    <x v="0"/>
    <n v="150000"/>
    <x v="14"/>
    <s v="F"/>
    <x v="66"/>
    <x v="1"/>
  </r>
  <r>
    <n v="739012"/>
    <n v="1708"/>
    <s v="France"/>
    <d v="2023-12-18T00:47:00"/>
    <x v="0"/>
    <x v="8"/>
    <n v="265"/>
    <s v="France"/>
    <x v="11"/>
    <x v="75"/>
    <x v="1"/>
    <n v="150000"/>
    <x v="8"/>
    <s v="M"/>
    <x v="27"/>
    <x v="1"/>
  </r>
  <r>
    <n v="740082"/>
    <n v="736"/>
    <s v="USA"/>
    <d v="2023-04-10T23:51:00"/>
    <x v="3"/>
    <x v="25"/>
    <n v="2994"/>
    <s v="USA"/>
    <x v="162"/>
    <x v="87"/>
    <x v="1"/>
    <n v="150000"/>
    <x v="17"/>
    <s v="M"/>
    <x v="63"/>
    <x v="0"/>
  </r>
  <r>
    <n v="740564"/>
    <n v="569"/>
    <s v="USA"/>
    <d v="2023-02-13T00:48:00"/>
    <x v="1"/>
    <x v="20"/>
    <n v="1398"/>
    <s v="USA"/>
    <x v="301"/>
    <x v="88"/>
    <x v="1"/>
    <n v="200000"/>
    <x v="17"/>
    <s v="M"/>
    <x v="14"/>
    <x v="0"/>
  </r>
  <r>
    <n v="741193"/>
    <n v="879"/>
    <s v="USA"/>
    <d v="2023-06-20T00:02:00"/>
    <x v="3"/>
    <x v="82"/>
    <n v="4307"/>
    <s v="USA"/>
    <x v="168"/>
    <x v="89"/>
    <x v="2"/>
    <n v="100000"/>
    <x v="19"/>
    <s v="F"/>
    <x v="41"/>
    <x v="0"/>
  </r>
  <r>
    <n v="742561"/>
    <n v="1509"/>
    <s v="USA"/>
    <d v="2023-01-20T22:39:00"/>
    <x v="1"/>
    <x v="27"/>
    <n v="1879"/>
    <s v="USA"/>
    <x v="163"/>
    <x v="90"/>
    <x v="1"/>
    <n v="80000"/>
    <x v="7"/>
    <s v="M"/>
    <x v="34"/>
    <x v="1"/>
  </r>
  <r>
    <n v="742778"/>
    <n v="982"/>
    <s v="USA"/>
    <d v="2023-07-14T23:32:00"/>
    <x v="1"/>
    <x v="86"/>
    <n v="8688"/>
    <s v="USA"/>
    <x v="344"/>
    <x v="91"/>
    <x v="0"/>
    <n v="150000"/>
    <x v="11"/>
    <s v="F"/>
    <x v="31"/>
    <x v="0"/>
  </r>
  <r>
    <n v="743589"/>
    <n v="1559"/>
    <s v="Spain"/>
    <d v="2023-12-26T01:09:00"/>
    <x v="1"/>
    <x v="39"/>
    <n v="2636"/>
    <s v="Spain"/>
    <x v="81"/>
    <x v="92"/>
    <x v="3"/>
    <n v="1000000"/>
    <x v="6"/>
    <s v="F"/>
    <x v="17"/>
    <x v="1"/>
  </r>
  <r>
    <n v="743932"/>
    <n v="543"/>
    <s v="France"/>
    <d v="2023-08-26T00:28:00"/>
    <x v="0"/>
    <x v="87"/>
    <n v="5966"/>
    <s v="France"/>
    <x v="230"/>
    <x v="39"/>
    <x v="0"/>
    <n v="100000"/>
    <x v="16"/>
    <s v="F"/>
    <x v="16"/>
    <x v="0"/>
  </r>
  <r>
    <n v="743961"/>
    <n v="98"/>
    <s v="Denmark"/>
    <d v="2023-09-07T00:39:00"/>
    <x v="0"/>
    <x v="31"/>
    <n v="2467"/>
    <s v="Denmark"/>
    <x v="196"/>
    <x v="11"/>
    <x v="2"/>
    <n v="100000"/>
    <x v="22"/>
    <s v="M"/>
    <x v="31"/>
    <x v="2"/>
  </r>
  <r>
    <n v="745795"/>
    <n v="919"/>
    <s v="Denmark"/>
    <d v="2023-03-01T00:51:00"/>
    <x v="0"/>
    <x v="32"/>
    <n v="8983"/>
    <s v="Denmark"/>
    <x v="130"/>
    <x v="93"/>
    <x v="4"/>
    <n v="100000"/>
    <x v="23"/>
    <s v="M"/>
    <x v="18"/>
    <x v="0"/>
  </r>
  <r>
    <n v="746060"/>
    <n v="1477"/>
    <s v="Spain"/>
    <d v="2023-03-31T23:52:00"/>
    <x v="3"/>
    <x v="30"/>
    <n v="1387"/>
    <s v="Spain"/>
    <x v="60"/>
    <x v="94"/>
    <x v="2"/>
    <n v="150000"/>
    <x v="21"/>
    <s v="F"/>
    <x v="38"/>
    <x v="3"/>
  </r>
  <r>
    <n v="746275"/>
    <n v="1020"/>
    <s v="Australia"/>
    <d v="2023-05-13T01:19:00"/>
    <x v="3"/>
    <x v="23"/>
    <n v="3551"/>
    <s v="Australia"/>
    <x v="99"/>
    <x v="95"/>
    <x v="0"/>
    <n v="1000000"/>
    <x v="12"/>
    <s v="F"/>
    <x v="46"/>
    <x v="3"/>
  </r>
  <r>
    <n v="748106"/>
    <n v="1295"/>
    <s v="Finland"/>
    <d v="2023-10-27T23:58:00"/>
    <x v="2"/>
    <x v="61"/>
    <n v="5025"/>
    <s v="Finland"/>
    <x v="34"/>
    <x v="96"/>
    <x v="4"/>
    <n v="200000"/>
    <x v="28"/>
    <s v="F"/>
    <x v="46"/>
    <x v="3"/>
  </r>
  <r>
    <n v="748762"/>
    <n v="946"/>
    <s v="India"/>
    <d v="2023-09-11T00:40:00"/>
    <x v="2"/>
    <x v="36"/>
    <n v="9843"/>
    <s v="India"/>
    <x v="241"/>
    <x v="51"/>
    <x v="0"/>
    <n v="150000"/>
    <x v="10"/>
    <s v="M"/>
    <x v="18"/>
    <x v="0"/>
  </r>
  <r>
    <n v="748997"/>
    <n v="1277"/>
    <s v="Switzerland"/>
    <d v="2023-06-14T00:13:00"/>
    <x v="0"/>
    <x v="91"/>
    <n v="9873"/>
    <s v="Switzerland"/>
    <x v="124"/>
    <x v="97"/>
    <x v="1"/>
    <n v="30000"/>
    <x v="24"/>
    <s v="F"/>
    <x v="38"/>
    <x v="3"/>
  </r>
  <r>
    <n v="749692"/>
    <n v="184"/>
    <s v="Singapore"/>
    <d v="2023-03-27T01:08:00"/>
    <x v="2"/>
    <x v="38"/>
    <n v="6601"/>
    <s v="Singapore"/>
    <x v="202"/>
    <x v="37"/>
    <x v="2"/>
    <n v="100000"/>
    <x v="22"/>
    <s v="M"/>
    <x v="33"/>
    <x v="2"/>
  </r>
  <r>
    <n v="749782"/>
    <n v="1506"/>
    <s v="USA"/>
    <d v="2023-06-18T02:16:00"/>
    <x v="3"/>
    <x v="39"/>
    <n v="8021"/>
    <s v="USA"/>
    <x v="345"/>
    <x v="98"/>
    <x v="3"/>
    <n v="1000000"/>
    <x v="6"/>
    <s v="M"/>
    <x v="65"/>
    <x v="1"/>
  </r>
  <r>
    <n v="750732"/>
    <n v="194"/>
    <s v="India"/>
    <d v="2023-11-17T23:34:00"/>
    <x v="3"/>
    <x v="72"/>
    <n v="8355"/>
    <s v="India"/>
    <x v="169"/>
    <x v="99"/>
    <x v="0"/>
    <n v="80000"/>
    <x v="4"/>
    <s v="F"/>
    <x v="71"/>
    <x v="2"/>
  </r>
  <r>
    <n v="750814"/>
    <n v="862"/>
    <s v="USA"/>
    <d v="2023-04-23T23:47:00"/>
    <x v="0"/>
    <x v="8"/>
    <n v="1843"/>
    <s v="USA"/>
    <x v="218"/>
    <x v="100"/>
    <x v="1"/>
    <n v="150000"/>
    <x v="8"/>
    <s v="F"/>
    <x v="17"/>
    <x v="0"/>
  </r>
  <r>
    <n v="750826"/>
    <n v="451"/>
    <s v="Norway"/>
    <d v="2023-04-13T23:39:00"/>
    <x v="2"/>
    <x v="10"/>
    <n v="9467"/>
    <s v="Norway"/>
    <x v="260"/>
    <x v="101"/>
    <x v="0"/>
    <n v="250000"/>
    <x v="10"/>
    <s v="M"/>
    <x v="8"/>
    <x v="2"/>
  </r>
  <r>
    <n v="751811"/>
    <n v="1745"/>
    <s v="USA"/>
    <d v="2023-11-27T01:53:00"/>
    <x v="1"/>
    <x v="39"/>
    <n v="2348"/>
    <s v="USA"/>
    <x v="13"/>
    <x v="102"/>
    <x v="3"/>
    <n v="1000000"/>
    <x v="6"/>
    <s v="F"/>
    <x v="26"/>
    <x v="1"/>
  </r>
  <r>
    <n v="751921"/>
    <n v="928"/>
    <s v="Austria"/>
    <d v="2023-06-22T01:29:00"/>
    <x v="2"/>
    <x v="41"/>
    <n v="9633"/>
    <s v="Austria"/>
    <x v="82"/>
    <x v="103"/>
    <x v="0"/>
    <n v="100000"/>
    <x v="0"/>
    <s v="F"/>
    <x v="72"/>
    <x v="0"/>
  </r>
  <r>
    <n v="752092"/>
    <n v="62"/>
    <s v="USA"/>
    <d v="2023-01-23T01:07:00"/>
    <x v="3"/>
    <x v="39"/>
    <n v="9268"/>
    <s v="USA"/>
    <x v="21"/>
    <x v="31"/>
    <x v="3"/>
    <n v="1000000"/>
    <x v="6"/>
    <s v="F"/>
    <x v="53"/>
    <x v="2"/>
  </r>
  <r>
    <n v="752814"/>
    <n v="1661"/>
    <s v="France"/>
    <d v="2023-11-23T23:40:00"/>
    <x v="1"/>
    <x v="63"/>
    <n v="7540"/>
    <s v="France"/>
    <x v="7"/>
    <x v="1"/>
    <x v="0"/>
    <n v="100000"/>
    <x v="16"/>
    <s v="F"/>
    <x v="19"/>
    <x v="1"/>
  </r>
  <r>
    <n v="754290"/>
    <n v="977"/>
    <s v="India"/>
    <d v="2023-03-05T01:51:00"/>
    <x v="3"/>
    <x v="56"/>
    <n v="7063"/>
    <s v="India"/>
    <x v="346"/>
    <x v="104"/>
    <x v="4"/>
    <n v="100000"/>
    <x v="28"/>
    <s v="M"/>
    <x v="34"/>
    <x v="0"/>
  </r>
  <r>
    <n v="754402"/>
    <n v="164"/>
    <s v="USA"/>
    <d v="2023-06-26T01:26:00"/>
    <x v="1"/>
    <x v="66"/>
    <n v="136"/>
    <s v="USA"/>
    <x v="314"/>
    <x v="65"/>
    <x v="1"/>
    <n v="100000"/>
    <x v="8"/>
    <s v="M"/>
    <x v="40"/>
    <x v="2"/>
  </r>
  <r>
    <n v="754474"/>
    <n v="48"/>
    <s v="USA"/>
    <d v="2023-03-19T22:54:00"/>
    <x v="1"/>
    <x v="67"/>
    <n v="5288"/>
    <s v="USA"/>
    <x v="140"/>
    <x v="105"/>
    <x v="3"/>
    <n v="150000"/>
    <x v="29"/>
    <s v="F"/>
    <x v="50"/>
    <x v="2"/>
  </r>
  <r>
    <n v="756887"/>
    <n v="1676"/>
    <s v="Austria"/>
    <d v="2023-04-20T00:49:00"/>
    <x v="1"/>
    <x v="39"/>
    <n v="5656"/>
    <s v="Austria"/>
    <x v="165"/>
    <x v="35"/>
    <x v="3"/>
    <n v="1000000"/>
    <x v="6"/>
    <s v="M"/>
    <x v="5"/>
    <x v="1"/>
  </r>
  <r>
    <n v="757855"/>
    <n v="1479"/>
    <s v="USA"/>
    <d v="2023-11-12T22:36:00"/>
    <x v="0"/>
    <x v="41"/>
    <n v="5528"/>
    <s v="USA"/>
    <x v="109"/>
    <x v="106"/>
    <x v="0"/>
    <n v="100000"/>
    <x v="0"/>
    <s v="F"/>
    <x v="27"/>
    <x v="3"/>
  </r>
  <r>
    <n v="758496"/>
    <n v="1974"/>
    <s v="USA"/>
    <d v="2023-10-09T00:40:00"/>
    <x v="2"/>
    <x v="4"/>
    <n v="2202"/>
    <s v="USA"/>
    <x v="208"/>
    <x v="51"/>
    <x v="0"/>
    <n v="200000"/>
    <x v="4"/>
    <s v="F"/>
    <x v="8"/>
    <x v="1"/>
  </r>
  <r>
    <n v="758962"/>
    <n v="1988"/>
    <s v="USA"/>
    <d v="2023-05-12T00:51:00"/>
    <x v="2"/>
    <x v="42"/>
    <n v="6385"/>
    <s v="USA"/>
    <x v="57"/>
    <x v="93"/>
    <x v="0"/>
    <n v="200000"/>
    <x v="14"/>
    <s v="M"/>
    <x v="50"/>
    <x v="1"/>
  </r>
  <r>
    <n v="759664"/>
    <n v="494"/>
    <s v="France"/>
    <d v="2023-07-18T23:40:00"/>
    <x v="1"/>
    <x v="7"/>
    <n v="8605"/>
    <s v="France"/>
    <x v="334"/>
    <x v="1"/>
    <x v="1"/>
    <n v="150000"/>
    <x v="7"/>
    <s v="M"/>
    <x v="11"/>
    <x v="2"/>
  </r>
  <r>
    <n v="759796"/>
    <n v="92"/>
    <s v="Denmark"/>
    <d v="2023-10-28T00:10:00"/>
    <x v="0"/>
    <x v="68"/>
    <n v="545"/>
    <s v="Denmark"/>
    <x v="65"/>
    <x v="107"/>
    <x v="1"/>
    <n v="150000"/>
    <x v="26"/>
    <s v="M"/>
    <x v="21"/>
    <x v="2"/>
  </r>
  <r>
    <n v="760774"/>
    <n v="63"/>
    <s v="Norway"/>
    <d v="2023-04-03T00:10:00"/>
    <x v="2"/>
    <x v="23"/>
    <n v="2846"/>
    <s v="Norway"/>
    <x v="129"/>
    <x v="107"/>
    <x v="0"/>
    <n v="1000000"/>
    <x v="12"/>
    <s v="M"/>
    <x v="12"/>
    <x v="2"/>
  </r>
  <r>
    <n v="761079"/>
    <n v="1813"/>
    <s v="USA"/>
    <d v="2023-08-11T00:13:00"/>
    <x v="2"/>
    <x v="9"/>
    <n v="8446"/>
    <s v="USA"/>
    <x v="340"/>
    <x v="97"/>
    <x v="1"/>
    <n v="150000"/>
    <x v="9"/>
    <s v="M"/>
    <x v="29"/>
    <x v="1"/>
  </r>
  <r>
    <n v="761261"/>
    <n v="930"/>
    <s v="Australia"/>
    <d v="2023-06-18T23:31:00"/>
    <x v="0"/>
    <x v="69"/>
    <n v="2321"/>
    <s v="Australia"/>
    <x v="345"/>
    <x v="57"/>
    <x v="4"/>
    <n v="150000"/>
    <x v="25"/>
    <s v="M"/>
    <x v="29"/>
    <x v="0"/>
  </r>
  <r>
    <n v="762584"/>
    <n v="226"/>
    <s v="USA"/>
    <d v="2023-04-02T01:12:00"/>
    <x v="1"/>
    <x v="48"/>
    <n v="6342"/>
    <s v="USA"/>
    <x v="67"/>
    <x v="52"/>
    <x v="1"/>
    <n v="100000"/>
    <x v="9"/>
    <s v="M"/>
    <x v="34"/>
    <x v="2"/>
  </r>
  <r>
    <n v="763962"/>
    <n v="1590"/>
    <s v="Singapore"/>
    <d v="2023-01-16T00:27:00"/>
    <x v="2"/>
    <x v="9"/>
    <n v="4623"/>
    <s v="Singapore"/>
    <x v="181"/>
    <x v="108"/>
    <x v="1"/>
    <n v="150000"/>
    <x v="9"/>
    <s v="M"/>
    <x v="45"/>
    <x v="1"/>
  </r>
  <r>
    <n v="764467"/>
    <n v="1998"/>
    <s v="Australia"/>
    <d v="2023-03-16T01:37:00"/>
    <x v="1"/>
    <x v="87"/>
    <n v="7362"/>
    <s v="Australia"/>
    <x v="29"/>
    <x v="109"/>
    <x v="0"/>
    <n v="100000"/>
    <x v="16"/>
    <s v="M"/>
    <x v="43"/>
    <x v="1"/>
  </r>
  <r>
    <n v="765043"/>
    <n v="273"/>
    <s v="USA"/>
    <d v="2023-10-23T23:19:00"/>
    <x v="1"/>
    <x v="71"/>
    <n v="7579"/>
    <s v="USA"/>
    <x v="235"/>
    <x v="24"/>
    <x v="1"/>
    <n v="50000"/>
    <x v="8"/>
    <s v="M"/>
    <x v="6"/>
    <x v="2"/>
  </r>
  <r>
    <n v="765994"/>
    <n v="220"/>
    <s v="Australia"/>
    <d v="2023-05-10T00:23:00"/>
    <x v="2"/>
    <x v="69"/>
    <n v="5250"/>
    <s v="Australia"/>
    <x v="51"/>
    <x v="6"/>
    <x v="4"/>
    <n v="150000"/>
    <x v="25"/>
    <s v="M"/>
    <x v="37"/>
    <x v="2"/>
  </r>
  <r>
    <n v="767130"/>
    <n v="1627"/>
    <s v="Australia"/>
    <d v="2023-06-19T22:57:00"/>
    <x v="1"/>
    <x v="72"/>
    <n v="4936"/>
    <s v="Australia"/>
    <x v="337"/>
    <x v="110"/>
    <x v="0"/>
    <n v="80000"/>
    <x v="4"/>
    <s v="F"/>
    <x v="57"/>
    <x v="1"/>
  </r>
  <r>
    <n v="767512"/>
    <n v="1219"/>
    <s v="USA"/>
    <d v="2023-12-30T00:35:00"/>
    <x v="3"/>
    <x v="68"/>
    <n v="4002"/>
    <s v="USA"/>
    <x v="2"/>
    <x v="67"/>
    <x v="1"/>
    <n v="150000"/>
    <x v="26"/>
    <s v="M"/>
    <x v="11"/>
    <x v="3"/>
  </r>
  <r>
    <n v="767976"/>
    <n v="1079"/>
    <s v="India"/>
    <d v="2023-10-14T00:45:00"/>
    <x v="3"/>
    <x v="24"/>
    <n v="4080"/>
    <s v="India"/>
    <x v="256"/>
    <x v="29"/>
    <x v="1"/>
    <n v="100000"/>
    <x v="18"/>
    <s v="F"/>
    <x v="3"/>
    <x v="3"/>
  </r>
  <r>
    <n v="768093"/>
    <n v="680"/>
    <s v="USA"/>
    <d v="2023-03-01T00:30:00"/>
    <x v="0"/>
    <x v="66"/>
    <n v="8126"/>
    <s v="USA"/>
    <x v="130"/>
    <x v="111"/>
    <x v="1"/>
    <n v="100000"/>
    <x v="8"/>
    <s v="M"/>
    <x v="49"/>
    <x v="0"/>
  </r>
  <r>
    <n v="768435"/>
    <n v="1878"/>
    <s v="Spain"/>
    <d v="2023-06-15T00:43:00"/>
    <x v="2"/>
    <x v="10"/>
    <n v="1281"/>
    <s v="Spain"/>
    <x v="123"/>
    <x v="112"/>
    <x v="0"/>
    <n v="250000"/>
    <x v="10"/>
    <s v="M"/>
    <x v="32"/>
    <x v="1"/>
  </r>
  <r>
    <n v="769005"/>
    <n v="1308"/>
    <s v="Spain"/>
    <d v="2023-12-31T01:51:00"/>
    <x v="0"/>
    <x v="23"/>
    <n v="6183"/>
    <s v="Spain"/>
    <x v="279"/>
    <x v="104"/>
    <x v="0"/>
    <n v="1000000"/>
    <x v="12"/>
    <s v="F"/>
    <x v="72"/>
    <x v="3"/>
  </r>
  <r>
    <n v="769009"/>
    <n v="541"/>
    <s v="USA"/>
    <d v="2023-10-07T22:59:00"/>
    <x v="1"/>
    <x v="73"/>
    <n v="2143"/>
    <s v="USA"/>
    <x v="286"/>
    <x v="25"/>
    <x v="4"/>
    <n v="100000"/>
    <x v="25"/>
    <s v="M"/>
    <x v="67"/>
    <x v="0"/>
  </r>
  <r>
    <n v="769050"/>
    <n v="1934"/>
    <s v="Spain"/>
    <d v="2023-03-25T00:01:00"/>
    <x v="3"/>
    <x v="23"/>
    <n v="1290"/>
    <s v="Spain"/>
    <x v="118"/>
    <x v="63"/>
    <x v="0"/>
    <n v="1000000"/>
    <x v="12"/>
    <s v="M"/>
    <x v="5"/>
    <x v="1"/>
  </r>
  <r>
    <n v="770892"/>
    <n v="824"/>
    <s v="USA"/>
    <d v="2023-08-02T02:26:00"/>
    <x v="2"/>
    <x v="39"/>
    <n v="8032"/>
    <s v="USA"/>
    <x v="159"/>
    <x v="113"/>
    <x v="3"/>
    <n v="1000000"/>
    <x v="6"/>
    <s v="F"/>
    <x v="31"/>
    <x v="0"/>
  </r>
  <r>
    <n v="772693"/>
    <n v="1191"/>
    <s v="Australia"/>
    <d v="2023-05-01T23:29:00"/>
    <x v="3"/>
    <x v="45"/>
    <n v="8999"/>
    <s v="Australia"/>
    <x v="291"/>
    <x v="71"/>
    <x v="4"/>
    <n v="100000"/>
    <x v="25"/>
    <s v="M"/>
    <x v="68"/>
    <x v="3"/>
  </r>
  <r>
    <n v="772763"/>
    <n v="452"/>
    <s v="Spain"/>
    <d v="2023-03-22T00:10:00"/>
    <x v="1"/>
    <x v="46"/>
    <n v="5141"/>
    <s v="Spain"/>
    <x v="296"/>
    <x v="107"/>
    <x v="1"/>
    <n v="30000"/>
    <x v="26"/>
    <s v="M"/>
    <x v="21"/>
    <x v="2"/>
  </r>
  <r>
    <n v="774603"/>
    <n v="101"/>
    <s v="USA"/>
    <d v="2023-05-03T00:55:00"/>
    <x v="0"/>
    <x v="1"/>
    <n v="1913"/>
    <s v="USA"/>
    <x v="141"/>
    <x v="44"/>
    <x v="1"/>
    <n v="200000"/>
    <x v="1"/>
    <s v="F"/>
    <x v="42"/>
    <x v="2"/>
  </r>
  <r>
    <n v="775306"/>
    <n v="655"/>
    <s v="USA"/>
    <d v="2023-06-24T23:02:00"/>
    <x v="2"/>
    <x v="42"/>
    <n v="7346"/>
    <s v="USA"/>
    <x v="53"/>
    <x v="114"/>
    <x v="0"/>
    <n v="200000"/>
    <x v="14"/>
    <s v="M"/>
    <x v="13"/>
    <x v="0"/>
  </r>
  <r>
    <n v="775387"/>
    <n v="945"/>
    <s v="France"/>
    <d v="2023-09-16T23:07:00"/>
    <x v="1"/>
    <x v="78"/>
    <n v="8620"/>
    <s v="France"/>
    <x v="254"/>
    <x v="40"/>
    <x v="0"/>
    <n v="100000"/>
    <x v="12"/>
    <s v="M"/>
    <x v="6"/>
    <x v="0"/>
  </r>
  <r>
    <n v="775856"/>
    <n v="146"/>
    <s v="Norway"/>
    <d v="2023-10-15T00:24:00"/>
    <x v="3"/>
    <x v="13"/>
    <n v="5780"/>
    <s v="Norway"/>
    <x v="59"/>
    <x v="115"/>
    <x v="0"/>
    <n v="100000"/>
    <x v="12"/>
    <s v="M"/>
    <x v="67"/>
    <x v="2"/>
  </r>
  <r>
    <n v="778907"/>
    <n v="915"/>
    <s v="France"/>
    <d v="2023-11-08T00:09:00"/>
    <x v="0"/>
    <x v="7"/>
    <n v="8273"/>
    <s v="France"/>
    <x v="27"/>
    <x v="81"/>
    <x v="1"/>
    <n v="150000"/>
    <x v="7"/>
    <s v="M"/>
    <x v="36"/>
    <x v="0"/>
  </r>
  <r>
    <n v="779276"/>
    <n v="1162"/>
    <s v="USA"/>
    <d v="2023-06-10T23:57:00"/>
    <x v="2"/>
    <x v="40"/>
    <n v="4738"/>
    <s v="USA"/>
    <x v="117"/>
    <x v="116"/>
    <x v="2"/>
    <n v="150000"/>
    <x v="2"/>
    <s v="F"/>
    <x v="27"/>
    <x v="3"/>
  </r>
  <r>
    <n v="780193"/>
    <n v="1979"/>
    <s v="Finland"/>
    <d v="2023-08-05T01:48:00"/>
    <x v="0"/>
    <x v="74"/>
    <n v="1562"/>
    <s v="Finland"/>
    <x v="188"/>
    <x v="46"/>
    <x v="1"/>
    <n v="200000"/>
    <x v="18"/>
    <s v="F"/>
    <x v="29"/>
    <x v="1"/>
  </r>
  <r>
    <n v="780651"/>
    <n v="1630"/>
    <s v="France"/>
    <d v="2023-07-23T01:42:00"/>
    <x v="0"/>
    <x v="23"/>
    <n v="2596"/>
    <s v="France"/>
    <x v="205"/>
    <x v="14"/>
    <x v="0"/>
    <n v="1000000"/>
    <x v="12"/>
    <s v="F"/>
    <x v="29"/>
    <x v="1"/>
  </r>
  <r>
    <n v="780700"/>
    <n v="1677"/>
    <s v="Italy"/>
    <d v="2023-05-09T23:51:00"/>
    <x v="0"/>
    <x v="55"/>
    <n v="9948"/>
    <s v="Italy"/>
    <x v="182"/>
    <x v="87"/>
    <x v="2"/>
    <n v="80000"/>
    <x v="27"/>
    <s v="F"/>
    <x v="66"/>
    <x v="1"/>
  </r>
  <r>
    <n v="780895"/>
    <n v="1569"/>
    <s v="Spain"/>
    <d v="2023-04-30T23:52:00"/>
    <x v="2"/>
    <x v="44"/>
    <n v="5917"/>
    <s v="Spain"/>
    <x v="295"/>
    <x v="94"/>
    <x v="0"/>
    <n v="100000"/>
    <x v="12"/>
    <s v="F"/>
    <x v="1"/>
    <x v="1"/>
  </r>
  <r>
    <n v="781125"/>
    <n v="1723"/>
    <s v="Spain"/>
    <d v="2023-01-24T00:58:00"/>
    <x v="0"/>
    <x v="22"/>
    <n v="3855"/>
    <s v="Spain"/>
    <x v="275"/>
    <x v="28"/>
    <x v="3"/>
    <n v="100000"/>
    <x v="13"/>
    <s v="M"/>
    <x v="43"/>
    <x v="1"/>
  </r>
  <r>
    <n v="781195"/>
    <n v="184"/>
    <s v="Singapore"/>
    <d v="2023-11-02T00:11:00"/>
    <x v="3"/>
    <x v="70"/>
    <n v="5349"/>
    <s v="Singapore"/>
    <x v="105"/>
    <x v="10"/>
    <x v="3"/>
    <n v="150000"/>
    <x v="29"/>
    <s v="M"/>
    <x v="33"/>
    <x v="2"/>
  </r>
  <r>
    <n v="781771"/>
    <n v="1377"/>
    <s v="Germany"/>
    <d v="2023-02-12T00:10:00"/>
    <x v="0"/>
    <x v="84"/>
    <n v="9605"/>
    <s v="Germany"/>
    <x v="199"/>
    <x v="107"/>
    <x v="2"/>
    <n v="100000"/>
    <x v="3"/>
    <s v="M"/>
    <x v="19"/>
    <x v="3"/>
  </r>
  <r>
    <n v="782836"/>
    <n v="1896"/>
    <s v="France"/>
    <d v="2023-08-03T00:27:00"/>
    <x v="1"/>
    <x v="69"/>
    <n v="8153"/>
    <s v="France"/>
    <x v="135"/>
    <x v="108"/>
    <x v="4"/>
    <n v="150000"/>
    <x v="25"/>
    <s v="F"/>
    <x v="13"/>
    <x v="1"/>
  </r>
  <r>
    <n v="783763"/>
    <n v="447"/>
    <s v="USA"/>
    <d v="2023-07-20T01:32:00"/>
    <x v="3"/>
    <x v="85"/>
    <n v="3794"/>
    <s v="USA"/>
    <x v="265"/>
    <x v="117"/>
    <x v="2"/>
    <n v="150000"/>
    <x v="21"/>
    <s v="F"/>
    <x v="55"/>
    <x v="2"/>
  </r>
  <r>
    <n v="783822"/>
    <n v="221"/>
    <s v="Australia"/>
    <d v="2023-11-23T23:33:00"/>
    <x v="3"/>
    <x v="23"/>
    <n v="5404"/>
    <s v="Australia"/>
    <x v="7"/>
    <x v="62"/>
    <x v="0"/>
    <n v="1000000"/>
    <x v="12"/>
    <s v="M"/>
    <x v="71"/>
    <x v="2"/>
  </r>
  <r>
    <n v="784475"/>
    <n v="109"/>
    <s v="USA"/>
    <d v="2023-12-24T01:43:00"/>
    <x v="3"/>
    <x v="21"/>
    <n v="505"/>
    <s v="USA"/>
    <x v="231"/>
    <x v="118"/>
    <x v="0"/>
    <n v="100000"/>
    <x v="4"/>
    <s v="F"/>
    <x v="24"/>
    <x v="2"/>
  </r>
  <r>
    <n v="784839"/>
    <n v="222"/>
    <s v="Norway"/>
    <d v="2023-10-27T22:41:00"/>
    <x v="1"/>
    <x v="45"/>
    <n v="6391"/>
    <s v="Norway"/>
    <x v="34"/>
    <x v="119"/>
    <x v="4"/>
    <n v="100000"/>
    <x v="25"/>
    <s v="M"/>
    <x v="2"/>
    <x v="2"/>
  </r>
  <r>
    <n v="786170"/>
    <n v="1676"/>
    <s v="Austria"/>
    <d v="2023-09-13T00:44:00"/>
    <x v="2"/>
    <x v="1"/>
    <n v="5008"/>
    <s v="Austria"/>
    <x v="268"/>
    <x v="85"/>
    <x v="1"/>
    <n v="200000"/>
    <x v="1"/>
    <s v="M"/>
    <x v="5"/>
    <x v="1"/>
  </r>
  <r>
    <n v="787058"/>
    <n v="1587"/>
    <s v="USA"/>
    <d v="2023-05-17T00:53:00"/>
    <x v="3"/>
    <x v="3"/>
    <n v="7663"/>
    <s v="USA"/>
    <x v="46"/>
    <x v="36"/>
    <x v="2"/>
    <n v="150000"/>
    <x v="3"/>
    <s v="M"/>
    <x v="10"/>
    <x v="1"/>
  </r>
  <r>
    <n v="787848"/>
    <n v="1855"/>
    <s v="Denmark"/>
    <d v="2023-06-14T23:57:00"/>
    <x v="1"/>
    <x v="23"/>
    <n v="7298"/>
    <s v="Denmark"/>
    <x v="124"/>
    <x v="116"/>
    <x v="0"/>
    <n v="1000000"/>
    <x v="12"/>
    <s v="F"/>
    <x v="60"/>
    <x v="1"/>
  </r>
  <r>
    <n v="788037"/>
    <n v="284"/>
    <s v="USA"/>
    <d v="2023-05-20T00:36:00"/>
    <x v="1"/>
    <x v="48"/>
    <n v="4007"/>
    <s v="USA"/>
    <x v="125"/>
    <x v="120"/>
    <x v="1"/>
    <n v="100000"/>
    <x v="9"/>
    <s v="M"/>
    <x v="43"/>
    <x v="2"/>
  </r>
  <r>
    <n v="788243"/>
    <n v="1856"/>
    <s v="USA"/>
    <d v="2023-10-19T00:12:00"/>
    <x v="3"/>
    <x v="19"/>
    <n v="1117"/>
    <s v="USA"/>
    <x v="16"/>
    <x v="19"/>
    <x v="0"/>
    <n v="150000"/>
    <x v="16"/>
    <s v="F"/>
    <x v="61"/>
    <x v="1"/>
  </r>
  <r>
    <n v="788263"/>
    <n v="759"/>
    <s v="USA"/>
    <d v="2023-01-08T01:04:00"/>
    <x v="3"/>
    <x v="66"/>
    <n v="8883"/>
    <s v="USA"/>
    <x v="297"/>
    <x v="121"/>
    <x v="1"/>
    <n v="100000"/>
    <x v="8"/>
    <s v="M"/>
    <x v="11"/>
    <x v="0"/>
  </r>
  <r>
    <n v="788290"/>
    <n v="29"/>
    <s v="Spain"/>
    <d v="2023-08-29T01:11:00"/>
    <x v="3"/>
    <x v="67"/>
    <n v="9872"/>
    <s v="Spain"/>
    <x v="248"/>
    <x v="122"/>
    <x v="3"/>
    <n v="150000"/>
    <x v="29"/>
    <s v="F"/>
    <x v="11"/>
    <x v="2"/>
  </r>
  <r>
    <n v="789675"/>
    <n v="817"/>
    <s v="USA"/>
    <d v="2023-10-12T00:15:00"/>
    <x v="2"/>
    <x v="39"/>
    <n v="627"/>
    <s v="USA"/>
    <x v="303"/>
    <x v="123"/>
    <x v="3"/>
    <n v="1000000"/>
    <x v="6"/>
    <s v="M"/>
    <x v="36"/>
    <x v="0"/>
  </r>
  <r>
    <n v="794197"/>
    <n v="313"/>
    <s v="India"/>
    <d v="2023-09-01T23:47:00"/>
    <x v="0"/>
    <x v="88"/>
    <n v="4130"/>
    <s v="India"/>
    <x v="271"/>
    <x v="100"/>
    <x v="3"/>
    <n v="30000"/>
    <x v="29"/>
    <s v="F"/>
    <x v="57"/>
    <x v="2"/>
  </r>
  <r>
    <n v="794297"/>
    <n v="221"/>
    <s v="Australia"/>
    <d v="2023-07-04T00:50:00"/>
    <x v="0"/>
    <x v="4"/>
    <n v="7199"/>
    <s v="Australia"/>
    <x v="167"/>
    <x v="0"/>
    <x v="0"/>
    <n v="200000"/>
    <x v="4"/>
    <s v="M"/>
    <x v="71"/>
    <x v="2"/>
  </r>
  <r>
    <n v="794975"/>
    <n v="738"/>
    <s v="France"/>
    <d v="2023-02-22T01:24:00"/>
    <x v="3"/>
    <x v="42"/>
    <n v="1230"/>
    <s v="France"/>
    <x v="184"/>
    <x v="124"/>
    <x v="0"/>
    <n v="200000"/>
    <x v="14"/>
    <s v="M"/>
    <x v="5"/>
    <x v="0"/>
  </r>
  <r>
    <n v="795216"/>
    <n v="1588"/>
    <s v="France"/>
    <d v="2023-12-08T00:09:00"/>
    <x v="1"/>
    <x v="6"/>
    <n v="1033"/>
    <s v="France"/>
    <x v="263"/>
    <x v="81"/>
    <x v="3"/>
    <n v="150000"/>
    <x v="6"/>
    <s v="M"/>
    <x v="8"/>
    <x v="1"/>
  </r>
  <r>
    <n v="795276"/>
    <n v="836"/>
    <s v="India"/>
    <d v="2023-04-18T22:55:00"/>
    <x v="1"/>
    <x v="68"/>
    <n v="1032"/>
    <s v="India"/>
    <x v="255"/>
    <x v="125"/>
    <x v="1"/>
    <n v="150000"/>
    <x v="26"/>
    <s v="M"/>
    <x v="41"/>
    <x v="0"/>
  </r>
  <r>
    <n v="797415"/>
    <n v="842"/>
    <s v="France"/>
    <d v="2023-12-09T00:00:00"/>
    <x v="2"/>
    <x v="9"/>
    <n v="7700"/>
    <s v="France"/>
    <x v="100"/>
    <x v="126"/>
    <x v="1"/>
    <n v="150000"/>
    <x v="9"/>
    <s v="M"/>
    <x v="10"/>
    <x v="0"/>
  </r>
  <r>
    <n v="797735"/>
    <n v="1192"/>
    <s v="USA"/>
    <d v="2023-12-16T01:10:00"/>
    <x v="2"/>
    <x v="6"/>
    <n v="322"/>
    <s v="USA"/>
    <x v="257"/>
    <x v="7"/>
    <x v="3"/>
    <n v="150000"/>
    <x v="6"/>
    <s v="F"/>
    <x v="27"/>
    <x v="3"/>
  </r>
  <r>
    <n v="797824"/>
    <n v="931"/>
    <s v="USA"/>
    <d v="2023-08-26T23:38:00"/>
    <x v="0"/>
    <x v="11"/>
    <n v="7354"/>
    <s v="USA"/>
    <x v="230"/>
    <x v="80"/>
    <x v="1"/>
    <n v="150000"/>
    <x v="1"/>
    <s v="F"/>
    <x v="30"/>
    <x v="0"/>
  </r>
  <r>
    <n v="798176"/>
    <n v="1070"/>
    <s v="Singapore"/>
    <d v="2023-12-23T01:15:00"/>
    <x v="1"/>
    <x v="9"/>
    <n v="311"/>
    <s v="Singapore"/>
    <x v="8"/>
    <x v="127"/>
    <x v="1"/>
    <n v="150000"/>
    <x v="9"/>
    <s v="F"/>
    <x v="52"/>
    <x v="3"/>
  </r>
  <r>
    <n v="799277"/>
    <n v="1432"/>
    <s v="USA"/>
    <d v="2023-11-28T23:31:00"/>
    <x v="3"/>
    <x v="58"/>
    <n v="9518"/>
    <s v="USA"/>
    <x v="3"/>
    <x v="57"/>
    <x v="3"/>
    <n v="100000"/>
    <x v="20"/>
    <s v="F"/>
    <x v="35"/>
    <x v="3"/>
  </r>
  <r>
    <n v="800145"/>
    <n v="653"/>
    <s v="France"/>
    <d v="2023-04-01T00:49:00"/>
    <x v="0"/>
    <x v="71"/>
    <n v="2086"/>
    <s v="France"/>
    <x v="219"/>
    <x v="35"/>
    <x v="1"/>
    <n v="50000"/>
    <x v="8"/>
    <s v="F"/>
    <x v="17"/>
    <x v="0"/>
  </r>
  <r>
    <n v="800248"/>
    <n v="1360"/>
    <s v="Spain"/>
    <d v="2023-07-23T01:21:00"/>
    <x v="2"/>
    <x v="62"/>
    <n v="4265"/>
    <s v="Spain"/>
    <x v="205"/>
    <x v="128"/>
    <x v="2"/>
    <n v="150000"/>
    <x v="27"/>
    <s v="F"/>
    <x v="28"/>
    <x v="3"/>
  </r>
  <r>
    <n v="800421"/>
    <n v="736"/>
    <s v="USA"/>
    <d v="2023-07-26T02:00:00"/>
    <x v="3"/>
    <x v="16"/>
    <n v="3687"/>
    <s v="USA"/>
    <x v="10"/>
    <x v="23"/>
    <x v="4"/>
    <n v="150000"/>
    <x v="15"/>
    <s v="M"/>
    <x v="63"/>
    <x v="0"/>
  </r>
  <r>
    <n v="801394"/>
    <n v="1922"/>
    <s v="Spain"/>
    <d v="2023-04-01T01:46:00"/>
    <x v="0"/>
    <x v="68"/>
    <n v="5526"/>
    <s v="Spain"/>
    <x v="219"/>
    <x v="129"/>
    <x v="1"/>
    <n v="150000"/>
    <x v="26"/>
    <s v="F"/>
    <x v="0"/>
    <x v="1"/>
  </r>
  <r>
    <n v="802352"/>
    <n v="1838"/>
    <s v="USA"/>
    <d v="2023-06-09T01:03:00"/>
    <x v="2"/>
    <x v="79"/>
    <n v="7995"/>
    <s v="USA"/>
    <x v="61"/>
    <x v="130"/>
    <x v="1"/>
    <n v="200000"/>
    <x v="9"/>
    <s v="F"/>
    <x v="68"/>
    <x v="1"/>
  </r>
  <r>
    <n v="804031"/>
    <n v="1267"/>
    <s v="Italy"/>
    <d v="2023-01-02T01:19:00"/>
    <x v="0"/>
    <x v="66"/>
    <n v="9935"/>
    <s v="Italy"/>
    <x v="80"/>
    <x v="95"/>
    <x v="1"/>
    <n v="100000"/>
    <x v="8"/>
    <s v="M"/>
    <x v="14"/>
    <x v="3"/>
  </r>
  <r>
    <n v="804076"/>
    <n v="279"/>
    <s v="India"/>
    <d v="2023-08-13T00:13:00"/>
    <x v="0"/>
    <x v="10"/>
    <n v="4684"/>
    <s v="India"/>
    <x v="186"/>
    <x v="97"/>
    <x v="0"/>
    <n v="250000"/>
    <x v="10"/>
    <s v="M"/>
    <x v="16"/>
    <x v="2"/>
  </r>
  <r>
    <n v="804356"/>
    <n v="1586"/>
    <s v="France"/>
    <d v="2023-09-05T02:07:00"/>
    <x v="1"/>
    <x v="23"/>
    <n v="9054"/>
    <s v="France"/>
    <x v="86"/>
    <x v="131"/>
    <x v="0"/>
    <n v="1000000"/>
    <x v="12"/>
    <s v="F"/>
    <x v="53"/>
    <x v="1"/>
  </r>
  <r>
    <n v="805121"/>
    <n v="704"/>
    <s v="USA"/>
    <d v="2023-09-05T01:46:00"/>
    <x v="2"/>
    <x v="73"/>
    <n v="6764"/>
    <s v="USA"/>
    <x v="86"/>
    <x v="129"/>
    <x v="4"/>
    <n v="100000"/>
    <x v="25"/>
    <s v="F"/>
    <x v="15"/>
    <x v="0"/>
  </r>
  <r>
    <n v="805282"/>
    <n v="935"/>
    <s v="France"/>
    <d v="2023-08-10T00:22:00"/>
    <x v="1"/>
    <x v="23"/>
    <n v="7748"/>
    <s v="France"/>
    <x v="347"/>
    <x v="54"/>
    <x v="0"/>
    <n v="1000000"/>
    <x v="12"/>
    <s v="M"/>
    <x v="4"/>
    <x v="0"/>
  </r>
  <r>
    <n v="806906"/>
    <n v="1603"/>
    <s v="USA"/>
    <d v="2023-05-12T23:20:00"/>
    <x v="2"/>
    <x v="39"/>
    <n v="585"/>
    <s v="USA"/>
    <x v="57"/>
    <x v="27"/>
    <x v="3"/>
    <n v="1000000"/>
    <x v="6"/>
    <s v="M"/>
    <x v="38"/>
    <x v="1"/>
  </r>
  <r>
    <n v="807901"/>
    <n v="768"/>
    <s v="USA"/>
    <d v="2023-02-14T01:37:00"/>
    <x v="0"/>
    <x v="22"/>
    <n v="1538"/>
    <s v="USA"/>
    <x v="157"/>
    <x v="109"/>
    <x v="3"/>
    <n v="100000"/>
    <x v="13"/>
    <s v="F"/>
    <x v="4"/>
    <x v="0"/>
  </r>
  <r>
    <n v="808278"/>
    <n v="1796"/>
    <s v="Denmark"/>
    <d v="2023-09-25T23:39:00"/>
    <x v="2"/>
    <x v="86"/>
    <n v="1968"/>
    <s v="Denmark"/>
    <x v="43"/>
    <x v="101"/>
    <x v="0"/>
    <n v="150000"/>
    <x v="11"/>
    <s v="F"/>
    <x v="46"/>
    <x v="1"/>
  </r>
  <r>
    <n v="808789"/>
    <n v="1538"/>
    <s v="USA"/>
    <d v="2023-07-16T23:29:00"/>
    <x v="1"/>
    <x v="19"/>
    <n v="5681"/>
    <s v="USA"/>
    <x v="220"/>
    <x v="71"/>
    <x v="0"/>
    <n v="150000"/>
    <x v="16"/>
    <s v="F"/>
    <x v="29"/>
    <x v="1"/>
  </r>
  <r>
    <n v="810114"/>
    <n v="62"/>
    <s v="USA"/>
    <d v="2023-06-04T01:59:00"/>
    <x v="3"/>
    <x v="91"/>
    <n v="2084"/>
    <s v="USA"/>
    <x v="190"/>
    <x v="132"/>
    <x v="1"/>
    <n v="30000"/>
    <x v="24"/>
    <s v="F"/>
    <x v="53"/>
    <x v="2"/>
  </r>
  <r>
    <n v="812395"/>
    <n v="717"/>
    <s v="Australia"/>
    <d v="2023-08-01T23:24:00"/>
    <x v="0"/>
    <x v="50"/>
    <n v="9421"/>
    <s v="Australia"/>
    <x v="238"/>
    <x v="56"/>
    <x v="2"/>
    <n v="100000"/>
    <x v="27"/>
    <s v="M"/>
    <x v="70"/>
    <x v="0"/>
  </r>
  <r>
    <n v="812558"/>
    <n v="1160"/>
    <s v="Australia"/>
    <d v="2023-06-23T01:03:00"/>
    <x v="3"/>
    <x v="16"/>
    <n v="4185"/>
    <s v="Australia"/>
    <x v="93"/>
    <x v="130"/>
    <x v="4"/>
    <n v="150000"/>
    <x v="15"/>
    <s v="M"/>
    <x v="30"/>
    <x v="3"/>
  </r>
  <r>
    <n v="812612"/>
    <n v="509"/>
    <s v="France"/>
    <d v="2023-11-26T01:29:00"/>
    <x v="1"/>
    <x v="37"/>
    <n v="3471"/>
    <s v="France"/>
    <x v="289"/>
    <x v="103"/>
    <x v="3"/>
    <n v="150000"/>
    <x v="6"/>
    <s v="M"/>
    <x v="32"/>
    <x v="0"/>
  </r>
  <r>
    <n v="812864"/>
    <n v="1007"/>
    <s v="USA"/>
    <d v="2023-08-11T00:11:00"/>
    <x v="2"/>
    <x v="51"/>
    <n v="9730"/>
    <s v="USA"/>
    <x v="340"/>
    <x v="10"/>
    <x v="2"/>
    <n v="100000"/>
    <x v="22"/>
    <s v="F"/>
    <x v="14"/>
    <x v="3"/>
  </r>
  <r>
    <n v="813036"/>
    <n v="22"/>
    <s v="Spain"/>
    <d v="2023-11-18T22:41:00"/>
    <x v="3"/>
    <x v="52"/>
    <n v="5132"/>
    <s v="Spain"/>
    <x v="62"/>
    <x v="119"/>
    <x v="4"/>
    <n v="50000"/>
    <x v="23"/>
    <s v="F"/>
    <x v="61"/>
    <x v="2"/>
  </r>
  <r>
    <n v="813819"/>
    <n v="437"/>
    <s v="USA"/>
    <d v="2023-02-24T23:21:00"/>
    <x v="3"/>
    <x v="53"/>
    <n v="8001"/>
    <s v="USA"/>
    <x v="160"/>
    <x v="69"/>
    <x v="0"/>
    <n v="50000"/>
    <x v="11"/>
    <s v="F"/>
    <x v="13"/>
    <x v="2"/>
  </r>
  <r>
    <n v="813822"/>
    <n v="894"/>
    <s v="Australia"/>
    <d v="2023-04-14T22:50:00"/>
    <x v="1"/>
    <x v="54"/>
    <n v="3283"/>
    <s v="Australia"/>
    <x v="70"/>
    <x v="133"/>
    <x v="1"/>
    <n v="80000"/>
    <x v="17"/>
    <s v="F"/>
    <x v="2"/>
    <x v="0"/>
  </r>
  <r>
    <n v="814175"/>
    <n v="836"/>
    <s v="India"/>
    <d v="2023-03-30T00:55:00"/>
    <x v="2"/>
    <x v="55"/>
    <n v="7467"/>
    <s v="India"/>
    <x v="101"/>
    <x v="44"/>
    <x v="2"/>
    <n v="80000"/>
    <x v="27"/>
    <s v="M"/>
    <x v="41"/>
    <x v="0"/>
  </r>
  <r>
    <n v="814705"/>
    <n v="1590"/>
    <s v="Singapore"/>
    <d v="2023-04-08T00:27:00"/>
    <x v="1"/>
    <x v="33"/>
    <n v="6227"/>
    <s v="Singapore"/>
    <x v="348"/>
    <x v="108"/>
    <x v="2"/>
    <n v="100000"/>
    <x v="2"/>
    <s v="M"/>
    <x v="45"/>
    <x v="1"/>
  </r>
  <r>
    <n v="816536"/>
    <n v="1147"/>
    <s v="France"/>
    <d v="2023-09-11T23:28:00"/>
    <x v="1"/>
    <x v="23"/>
    <n v="5485"/>
    <s v="France"/>
    <x v="241"/>
    <x v="134"/>
    <x v="0"/>
    <n v="1000000"/>
    <x v="12"/>
    <s v="M"/>
    <x v="62"/>
    <x v="3"/>
  </r>
  <r>
    <n v="817610"/>
    <n v="493"/>
    <s v="USA"/>
    <d v="2023-01-04T23:36:00"/>
    <x v="2"/>
    <x v="56"/>
    <n v="4047"/>
    <s v="USA"/>
    <x v="203"/>
    <x v="135"/>
    <x v="4"/>
    <n v="100000"/>
    <x v="28"/>
    <s v="F"/>
    <x v="43"/>
    <x v="2"/>
  </r>
  <r>
    <n v="818956"/>
    <n v="857"/>
    <s v="USA"/>
    <d v="2023-07-05T00:34:00"/>
    <x v="1"/>
    <x v="57"/>
    <n v="1268"/>
    <s v="USA"/>
    <x v="324"/>
    <x v="21"/>
    <x v="0"/>
    <n v="80000"/>
    <x v="0"/>
    <s v="F"/>
    <x v="6"/>
    <x v="0"/>
  </r>
  <r>
    <n v="821575"/>
    <n v="1215"/>
    <s v="USA"/>
    <d v="2023-01-11T00:54:00"/>
    <x v="2"/>
    <x v="89"/>
    <n v="4655"/>
    <s v="USA"/>
    <x v="156"/>
    <x v="73"/>
    <x v="4"/>
    <n v="30000"/>
    <x v="23"/>
    <s v="M"/>
    <x v="19"/>
    <x v="3"/>
  </r>
  <r>
    <n v="822544"/>
    <n v="1930"/>
    <s v="USA"/>
    <d v="2023-09-04T02:00:00"/>
    <x v="0"/>
    <x v="29"/>
    <n v="708"/>
    <s v="USA"/>
    <x v="318"/>
    <x v="23"/>
    <x v="3"/>
    <n v="100000"/>
    <x v="13"/>
    <s v="F"/>
    <x v="28"/>
    <x v="1"/>
  </r>
  <r>
    <n v="822906"/>
    <n v="882"/>
    <s v="Singapore"/>
    <d v="2023-10-02T00:29:00"/>
    <x v="3"/>
    <x v="59"/>
    <n v="8093"/>
    <s v="Singapore"/>
    <x v="155"/>
    <x v="50"/>
    <x v="1"/>
    <n v="100000"/>
    <x v="1"/>
    <s v="M"/>
    <x v="1"/>
    <x v="0"/>
  </r>
  <r>
    <n v="823294"/>
    <n v="1466"/>
    <s v="Ireland"/>
    <d v="2023-12-01T23:15:00"/>
    <x v="3"/>
    <x v="86"/>
    <n v="255"/>
    <s v="Ireland"/>
    <x v="326"/>
    <x v="136"/>
    <x v="0"/>
    <n v="150000"/>
    <x v="11"/>
    <s v="F"/>
    <x v="36"/>
    <x v="3"/>
  </r>
  <r>
    <n v="823885"/>
    <n v="687"/>
    <s v="France"/>
    <d v="2023-05-08T01:04:00"/>
    <x v="1"/>
    <x v="90"/>
    <n v="5519"/>
    <s v="France"/>
    <x v="215"/>
    <x v="121"/>
    <x v="1"/>
    <n v="50000"/>
    <x v="18"/>
    <s v="F"/>
    <x v="63"/>
    <x v="0"/>
  </r>
  <r>
    <n v="823894"/>
    <n v="700"/>
    <s v="USA"/>
    <d v="2023-04-17T00:58:00"/>
    <x v="2"/>
    <x v="49"/>
    <n v="1666"/>
    <s v="USA"/>
    <x v="107"/>
    <x v="28"/>
    <x v="0"/>
    <n v="100000"/>
    <x v="10"/>
    <s v="F"/>
    <x v="62"/>
    <x v="0"/>
  </r>
  <r>
    <n v="824383"/>
    <n v="1728"/>
    <s v="France"/>
    <d v="2023-01-02T00:48:00"/>
    <x v="2"/>
    <x v="60"/>
    <n v="66"/>
    <s v="France"/>
    <x v="80"/>
    <x v="88"/>
    <x v="1"/>
    <n v="100000"/>
    <x v="26"/>
    <s v="F"/>
    <x v="18"/>
    <x v="1"/>
  </r>
  <r>
    <n v="824598"/>
    <n v="189"/>
    <s v="USA"/>
    <d v="2023-11-23T00:49:00"/>
    <x v="0"/>
    <x v="23"/>
    <n v="5989"/>
    <s v="USA"/>
    <x v="7"/>
    <x v="35"/>
    <x v="0"/>
    <n v="1000000"/>
    <x v="12"/>
    <s v="F"/>
    <x v="0"/>
    <x v="2"/>
  </r>
  <r>
    <n v="825270"/>
    <n v="926"/>
    <s v="USA"/>
    <d v="2023-01-13T23:22:00"/>
    <x v="3"/>
    <x v="1"/>
    <n v="9917"/>
    <s v="USA"/>
    <x v="78"/>
    <x v="137"/>
    <x v="1"/>
    <n v="200000"/>
    <x v="1"/>
    <s v="F"/>
    <x v="11"/>
    <x v="0"/>
  </r>
  <r>
    <n v="825424"/>
    <n v="916"/>
    <s v="France"/>
    <d v="2023-06-17T00:50:00"/>
    <x v="1"/>
    <x v="61"/>
    <n v="7143"/>
    <s v="France"/>
    <x v="234"/>
    <x v="0"/>
    <x v="4"/>
    <n v="200000"/>
    <x v="28"/>
    <s v="M"/>
    <x v="57"/>
    <x v="0"/>
  </r>
  <r>
    <n v="829148"/>
    <n v="1294"/>
    <s v="France"/>
    <d v="2023-01-17T00:34:00"/>
    <x v="1"/>
    <x v="87"/>
    <n v="2908"/>
    <s v="France"/>
    <x v="89"/>
    <x v="21"/>
    <x v="0"/>
    <n v="100000"/>
    <x v="16"/>
    <s v="F"/>
    <x v="26"/>
    <x v="3"/>
  </r>
  <r>
    <n v="829375"/>
    <n v="956"/>
    <s v="France"/>
    <d v="2023-09-14T00:16:00"/>
    <x v="0"/>
    <x v="23"/>
    <n v="1515"/>
    <s v="France"/>
    <x v="237"/>
    <x v="61"/>
    <x v="0"/>
    <n v="1000000"/>
    <x v="12"/>
    <s v="M"/>
    <x v="18"/>
    <x v="0"/>
  </r>
  <r>
    <n v="831130"/>
    <n v="315"/>
    <s v="India"/>
    <d v="2023-09-11T00:35:00"/>
    <x v="2"/>
    <x v="26"/>
    <n v="7205"/>
    <s v="India"/>
    <x v="241"/>
    <x v="67"/>
    <x v="2"/>
    <n v="200000"/>
    <x v="19"/>
    <s v="F"/>
    <x v="67"/>
    <x v="2"/>
  </r>
  <r>
    <n v="831821"/>
    <n v="609"/>
    <s v="USA"/>
    <d v="2023-05-23T00:35:00"/>
    <x v="3"/>
    <x v="74"/>
    <n v="1827"/>
    <s v="USA"/>
    <x v="349"/>
    <x v="67"/>
    <x v="1"/>
    <n v="200000"/>
    <x v="18"/>
    <s v="M"/>
    <x v="27"/>
    <x v="0"/>
  </r>
  <r>
    <n v="831974"/>
    <n v="548"/>
    <s v="USA"/>
    <d v="2023-12-26T00:54:00"/>
    <x v="2"/>
    <x v="39"/>
    <n v="6182"/>
    <s v="USA"/>
    <x v="81"/>
    <x v="73"/>
    <x v="3"/>
    <n v="1000000"/>
    <x v="6"/>
    <s v="M"/>
    <x v="68"/>
    <x v="0"/>
  </r>
  <r>
    <n v="832154"/>
    <n v="1586"/>
    <s v="France"/>
    <d v="2023-05-15T00:57:00"/>
    <x v="0"/>
    <x v="28"/>
    <n v="1928"/>
    <s v="France"/>
    <x v="116"/>
    <x v="42"/>
    <x v="3"/>
    <n v="80000"/>
    <x v="20"/>
    <s v="F"/>
    <x v="53"/>
    <x v="1"/>
  </r>
  <r>
    <n v="832361"/>
    <n v="1891"/>
    <s v="Singapore"/>
    <d v="2023-02-25T00:50:00"/>
    <x v="0"/>
    <x v="26"/>
    <n v="6245"/>
    <s v="Singapore"/>
    <x v="84"/>
    <x v="0"/>
    <x v="2"/>
    <n v="200000"/>
    <x v="19"/>
    <s v="M"/>
    <x v="26"/>
    <x v="1"/>
  </r>
  <r>
    <n v="832627"/>
    <n v="1634"/>
    <s v="Spain"/>
    <d v="2023-06-18T23:56:00"/>
    <x v="0"/>
    <x v="70"/>
    <n v="1375"/>
    <s v="Spain"/>
    <x v="345"/>
    <x v="138"/>
    <x v="3"/>
    <n v="150000"/>
    <x v="29"/>
    <s v="M"/>
    <x v="6"/>
    <x v="1"/>
  </r>
  <r>
    <n v="833286"/>
    <n v="1797"/>
    <s v="USA"/>
    <d v="2023-12-16T23:42:00"/>
    <x v="1"/>
    <x v="50"/>
    <n v="1274"/>
    <s v="USA"/>
    <x v="257"/>
    <x v="38"/>
    <x v="2"/>
    <n v="100000"/>
    <x v="27"/>
    <s v="M"/>
    <x v="23"/>
    <x v="1"/>
  </r>
  <r>
    <n v="833957"/>
    <n v="1398"/>
    <s v="Denmark"/>
    <d v="2023-12-24T00:18:00"/>
    <x v="2"/>
    <x v="34"/>
    <n v="4953"/>
    <s v="Denmark"/>
    <x v="231"/>
    <x v="139"/>
    <x v="1"/>
    <n v="100000"/>
    <x v="24"/>
    <s v="F"/>
    <x v="60"/>
    <x v="3"/>
  </r>
  <r>
    <n v="834746"/>
    <n v="1204"/>
    <s v="USA"/>
    <d v="2023-03-14T00:51:00"/>
    <x v="1"/>
    <x v="64"/>
    <n v="3237"/>
    <s v="USA"/>
    <x v="97"/>
    <x v="93"/>
    <x v="2"/>
    <n v="100000"/>
    <x v="3"/>
    <s v="F"/>
    <x v="20"/>
    <x v="3"/>
  </r>
  <r>
    <n v="835376"/>
    <n v="1936"/>
    <s v="Australia"/>
    <d v="2023-03-23T00:22:00"/>
    <x v="3"/>
    <x v="75"/>
    <n v="6418"/>
    <s v="Australia"/>
    <x v="320"/>
    <x v="54"/>
    <x v="1"/>
    <n v="50000"/>
    <x v="7"/>
    <s v="F"/>
    <x v="61"/>
    <x v="1"/>
  </r>
  <r>
    <n v="837272"/>
    <n v="924"/>
    <s v="India"/>
    <d v="2023-04-07T00:55:00"/>
    <x v="3"/>
    <x v="72"/>
    <n v="3774"/>
    <s v="India"/>
    <x v="194"/>
    <x v="44"/>
    <x v="0"/>
    <n v="80000"/>
    <x v="4"/>
    <s v="M"/>
    <x v="71"/>
    <x v="0"/>
  </r>
  <r>
    <n v="837273"/>
    <n v="226"/>
    <s v="USA"/>
    <d v="2023-12-13T23:28:00"/>
    <x v="0"/>
    <x v="73"/>
    <n v="2647"/>
    <s v="USA"/>
    <x v="88"/>
    <x v="134"/>
    <x v="4"/>
    <n v="100000"/>
    <x v="25"/>
    <s v="M"/>
    <x v="34"/>
    <x v="2"/>
  </r>
  <r>
    <n v="837435"/>
    <n v="670"/>
    <s v="Australia"/>
    <d v="2023-09-04T23:52:00"/>
    <x v="1"/>
    <x v="18"/>
    <n v="4671"/>
    <s v="Australia"/>
    <x v="318"/>
    <x v="94"/>
    <x v="2"/>
    <n v="100000"/>
    <x v="5"/>
    <s v="F"/>
    <x v="56"/>
    <x v="0"/>
  </r>
  <r>
    <n v="837592"/>
    <n v="1839"/>
    <s v="Germany"/>
    <d v="2023-01-06T01:53:00"/>
    <x v="3"/>
    <x v="39"/>
    <n v="4917"/>
    <s v="Germany"/>
    <x v="79"/>
    <x v="102"/>
    <x v="3"/>
    <n v="1000000"/>
    <x v="6"/>
    <s v="F"/>
    <x v="19"/>
    <x v="1"/>
  </r>
  <r>
    <n v="837731"/>
    <n v="783"/>
    <s v="USA"/>
    <d v="2023-08-28T23:18:00"/>
    <x v="0"/>
    <x v="0"/>
    <n v="3632"/>
    <s v="USA"/>
    <x v="207"/>
    <x v="140"/>
    <x v="0"/>
    <n v="200000"/>
    <x v="0"/>
    <s v="F"/>
    <x v="53"/>
    <x v="0"/>
  </r>
  <r>
    <n v="839161"/>
    <n v="1055"/>
    <s v="India"/>
    <d v="2023-08-22T00:44:00"/>
    <x v="3"/>
    <x v="77"/>
    <n v="9736"/>
    <s v="India"/>
    <x v="183"/>
    <x v="85"/>
    <x v="1"/>
    <n v="250000"/>
    <x v="24"/>
    <s v="M"/>
    <x v="29"/>
    <x v="3"/>
  </r>
  <r>
    <n v="840518"/>
    <n v="1150"/>
    <s v="USA"/>
    <d v="2023-09-25T23:20:00"/>
    <x v="0"/>
    <x v="78"/>
    <n v="4427"/>
    <s v="USA"/>
    <x v="43"/>
    <x v="27"/>
    <x v="0"/>
    <n v="100000"/>
    <x v="12"/>
    <s v="M"/>
    <x v="55"/>
    <x v="3"/>
  </r>
  <r>
    <n v="840743"/>
    <n v="736"/>
    <s v="USA"/>
    <d v="2023-11-01T23:25:00"/>
    <x v="2"/>
    <x v="11"/>
    <n v="3437"/>
    <s v="USA"/>
    <x v="172"/>
    <x v="141"/>
    <x v="1"/>
    <n v="150000"/>
    <x v="1"/>
    <s v="M"/>
    <x v="63"/>
    <x v="0"/>
  </r>
  <r>
    <n v="841079"/>
    <n v="1350"/>
    <s v="Spain"/>
    <d v="2023-07-03T01:22:00"/>
    <x v="0"/>
    <x v="27"/>
    <n v="9133"/>
    <s v="Spain"/>
    <x v="32"/>
    <x v="142"/>
    <x v="1"/>
    <n v="80000"/>
    <x v="7"/>
    <s v="M"/>
    <x v="66"/>
    <x v="3"/>
  </r>
  <r>
    <n v="841572"/>
    <n v="622"/>
    <s v="India"/>
    <d v="2023-02-28T22:36:00"/>
    <x v="3"/>
    <x v="74"/>
    <n v="7748"/>
    <s v="India"/>
    <x v="145"/>
    <x v="106"/>
    <x v="1"/>
    <n v="200000"/>
    <x v="18"/>
    <s v="M"/>
    <x v="37"/>
    <x v="0"/>
  </r>
  <r>
    <n v="844238"/>
    <n v="16"/>
    <s v="Norway"/>
    <d v="2023-07-24T00:40:00"/>
    <x v="3"/>
    <x v="23"/>
    <n v="4887"/>
    <s v="Norway"/>
    <x v="200"/>
    <x v="51"/>
    <x v="0"/>
    <n v="1000000"/>
    <x v="12"/>
    <s v="F"/>
    <x v="49"/>
    <x v="2"/>
  </r>
  <r>
    <n v="844243"/>
    <n v="1897"/>
    <s v="USA"/>
    <d v="2023-08-18T22:35:00"/>
    <x v="0"/>
    <x v="35"/>
    <n v="911"/>
    <s v="USA"/>
    <x v="150"/>
    <x v="55"/>
    <x v="4"/>
    <n v="100000"/>
    <x v="15"/>
    <s v="F"/>
    <x v="9"/>
    <x v="1"/>
  </r>
  <r>
    <n v="844669"/>
    <n v="1599"/>
    <s v="USA"/>
    <d v="2023-10-03T00:05:00"/>
    <x v="2"/>
    <x v="23"/>
    <n v="3252"/>
    <s v="USA"/>
    <x v="307"/>
    <x v="48"/>
    <x v="0"/>
    <n v="1000000"/>
    <x v="12"/>
    <s v="M"/>
    <x v="49"/>
    <x v="1"/>
  </r>
  <r>
    <n v="844797"/>
    <n v="1785"/>
    <s v="Singapore"/>
    <d v="2023-11-01T01:54:00"/>
    <x v="1"/>
    <x v="23"/>
    <n v="4452"/>
    <s v="Singapore"/>
    <x v="172"/>
    <x v="143"/>
    <x v="0"/>
    <n v="1000000"/>
    <x v="12"/>
    <s v="F"/>
    <x v="53"/>
    <x v="1"/>
  </r>
  <r>
    <n v="844829"/>
    <n v="1597"/>
    <s v="Denmark"/>
    <d v="2023-02-06T00:33:00"/>
    <x v="2"/>
    <x v="13"/>
    <n v="6954"/>
    <s v="Denmark"/>
    <x v="49"/>
    <x v="53"/>
    <x v="0"/>
    <n v="100000"/>
    <x v="12"/>
    <s v="F"/>
    <x v="60"/>
    <x v="1"/>
  </r>
  <r>
    <n v="845718"/>
    <n v="90"/>
    <s v="USA"/>
    <d v="2023-02-15T23:01:00"/>
    <x v="0"/>
    <x v="40"/>
    <n v="1208"/>
    <s v="USA"/>
    <x v="146"/>
    <x v="144"/>
    <x v="2"/>
    <n v="150000"/>
    <x v="2"/>
    <s v="F"/>
    <x v="68"/>
    <x v="2"/>
  </r>
  <r>
    <n v="845773"/>
    <n v="509"/>
    <s v="France"/>
    <d v="2023-10-20T00:35:00"/>
    <x v="0"/>
    <x v="77"/>
    <n v="1906"/>
    <s v="France"/>
    <x v="55"/>
    <x v="67"/>
    <x v="1"/>
    <n v="250000"/>
    <x v="24"/>
    <s v="M"/>
    <x v="32"/>
    <x v="0"/>
  </r>
  <r>
    <n v="846161"/>
    <n v="458"/>
    <s v="Finland"/>
    <d v="2023-07-17T00:03:00"/>
    <x v="1"/>
    <x v="84"/>
    <n v="2523"/>
    <s v="Finland"/>
    <x v="212"/>
    <x v="72"/>
    <x v="2"/>
    <n v="100000"/>
    <x v="3"/>
    <s v="M"/>
    <x v="52"/>
    <x v="2"/>
  </r>
  <r>
    <n v="846198"/>
    <n v="312"/>
    <s v="Italy"/>
    <d v="2023-11-05T23:02:00"/>
    <x v="0"/>
    <x v="42"/>
    <n v="9762"/>
    <s v="Italy"/>
    <x v="36"/>
    <x v="114"/>
    <x v="0"/>
    <n v="200000"/>
    <x v="14"/>
    <s v="M"/>
    <x v="4"/>
    <x v="2"/>
  </r>
  <r>
    <n v="846209"/>
    <n v="1271"/>
    <s v="France"/>
    <d v="2023-02-20T00:58:00"/>
    <x v="2"/>
    <x v="4"/>
    <n v="9945"/>
    <s v="France"/>
    <x v="31"/>
    <x v="28"/>
    <x v="0"/>
    <n v="200000"/>
    <x v="4"/>
    <s v="F"/>
    <x v="64"/>
    <x v="3"/>
  </r>
  <r>
    <n v="846419"/>
    <n v="1731"/>
    <s v="Spain"/>
    <d v="2023-06-03T22:40:00"/>
    <x v="3"/>
    <x v="86"/>
    <n v="3664"/>
    <s v="Spain"/>
    <x v="24"/>
    <x v="145"/>
    <x v="0"/>
    <n v="150000"/>
    <x v="11"/>
    <s v="M"/>
    <x v="48"/>
    <x v="1"/>
  </r>
  <r>
    <n v="846919"/>
    <n v="338"/>
    <s v="India"/>
    <d v="2023-08-20T02:07:00"/>
    <x v="2"/>
    <x v="39"/>
    <n v="2100"/>
    <s v="India"/>
    <x v="251"/>
    <x v="131"/>
    <x v="3"/>
    <n v="1000000"/>
    <x v="6"/>
    <s v="F"/>
    <x v="66"/>
    <x v="2"/>
  </r>
  <r>
    <n v="847595"/>
    <n v="558"/>
    <s v="India"/>
    <d v="2023-07-08T01:22:00"/>
    <x v="0"/>
    <x v="87"/>
    <n v="7327"/>
    <s v="India"/>
    <x v="210"/>
    <x v="142"/>
    <x v="0"/>
    <n v="100000"/>
    <x v="16"/>
    <s v="F"/>
    <x v="54"/>
    <x v="0"/>
  </r>
  <r>
    <n v="848551"/>
    <n v="330"/>
    <s v="India"/>
    <d v="2023-01-25T00:12:00"/>
    <x v="1"/>
    <x v="74"/>
    <n v="6624"/>
    <s v="India"/>
    <x v="308"/>
    <x v="19"/>
    <x v="1"/>
    <n v="200000"/>
    <x v="18"/>
    <s v="F"/>
    <x v="64"/>
    <x v="2"/>
  </r>
  <r>
    <n v="848868"/>
    <n v="1010"/>
    <s v="Spain"/>
    <d v="2023-07-25T23:44:00"/>
    <x v="3"/>
    <x v="52"/>
    <n v="7710"/>
    <s v="Spain"/>
    <x v="331"/>
    <x v="146"/>
    <x v="4"/>
    <n v="50000"/>
    <x v="23"/>
    <s v="F"/>
    <x v="9"/>
    <x v="3"/>
  </r>
  <r>
    <n v="849992"/>
    <n v="445"/>
    <s v="USA"/>
    <d v="2023-01-14T23:01:00"/>
    <x v="1"/>
    <x v="30"/>
    <n v="4522"/>
    <s v="USA"/>
    <x v="170"/>
    <x v="144"/>
    <x v="2"/>
    <n v="150000"/>
    <x v="21"/>
    <s v="F"/>
    <x v="59"/>
    <x v="2"/>
  </r>
  <r>
    <n v="850051"/>
    <n v="1914"/>
    <s v="Australia"/>
    <d v="2023-10-31T23:40:00"/>
    <x v="3"/>
    <x v="83"/>
    <n v="6638"/>
    <s v="Australia"/>
    <x v="287"/>
    <x v="1"/>
    <x v="2"/>
    <n v="100000"/>
    <x v="19"/>
    <s v="M"/>
    <x v="6"/>
    <x v="1"/>
  </r>
  <r>
    <n v="850122"/>
    <n v="1112"/>
    <s v="Spain"/>
    <d v="2023-06-19T01:43:00"/>
    <x v="2"/>
    <x v="36"/>
    <n v="8887"/>
    <s v="Spain"/>
    <x v="337"/>
    <x v="118"/>
    <x v="0"/>
    <n v="150000"/>
    <x v="10"/>
    <s v="F"/>
    <x v="35"/>
    <x v="3"/>
  </r>
  <r>
    <n v="850897"/>
    <n v="297"/>
    <s v="India"/>
    <d v="2023-05-10T00:40:00"/>
    <x v="1"/>
    <x v="65"/>
    <n v="975"/>
    <s v="India"/>
    <x v="51"/>
    <x v="51"/>
    <x v="4"/>
    <n v="250000"/>
    <x v="28"/>
    <s v="M"/>
    <x v="5"/>
    <x v="2"/>
  </r>
  <r>
    <n v="854481"/>
    <n v="712"/>
    <s v="USA"/>
    <d v="2023-12-18T22:44:00"/>
    <x v="0"/>
    <x v="22"/>
    <n v="1745"/>
    <s v="USA"/>
    <x v="11"/>
    <x v="147"/>
    <x v="3"/>
    <n v="100000"/>
    <x v="13"/>
    <s v="M"/>
    <x v="70"/>
    <x v="0"/>
  </r>
  <r>
    <n v="857496"/>
    <n v="597"/>
    <s v="France"/>
    <d v="2023-03-12T01:04:00"/>
    <x v="2"/>
    <x v="23"/>
    <n v="4933"/>
    <s v="France"/>
    <x v="242"/>
    <x v="121"/>
    <x v="0"/>
    <n v="1000000"/>
    <x v="12"/>
    <s v="F"/>
    <x v="64"/>
    <x v="0"/>
  </r>
  <r>
    <n v="858083"/>
    <n v="569"/>
    <s v="USA"/>
    <d v="2023-03-19T00:25:00"/>
    <x v="2"/>
    <x v="77"/>
    <n v="5575"/>
    <s v="USA"/>
    <x v="140"/>
    <x v="148"/>
    <x v="1"/>
    <n v="250000"/>
    <x v="24"/>
    <s v="M"/>
    <x v="14"/>
    <x v="0"/>
  </r>
  <r>
    <n v="858912"/>
    <n v="1105"/>
    <s v="France"/>
    <d v="2023-06-09T00:08:00"/>
    <x v="0"/>
    <x v="67"/>
    <n v="4421"/>
    <s v="France"/>
    <x v="61"/>
    <x v="149"/>
    <x v="3"/>
    <n v="150000"/>
    <x v="29"/>
    <s v="F"/>
    <x v="33"/>
    <x v="3"/>
  </r>
  <r>
    <n v="859166"/>
    <n v="982"/>
    <s v="USA"/>
    <d v="2023-06-26T01:09:00"/>
    <x v="3"/>
    <x v="3"/>
    <n v="34"/>
    <s v="USA"/>
    <x v="314"/>
    <x v="92"/>
    <x v="2"/>
    <n v="150000"/>
    <x v="3"/>
    <s v="F"/>
    <x v="31"/>
    <x v="0"/>
  </r>
  <r>
    <n v="860417"/>
    <n v="1546"/>
    <s v="Austria"/>
    <d v="2023-12-20T01:13:00"/>
    <x v="2"/>
    <x v="23"/>
    <n v="2332"/>
    <s v="Austria"/>
    <x v="341"/>
    <x v="32"/>
    <x v="0"/>
    <n v="1000000"/>
    <x v="12"/>
    <s v="F"/>
    <x v="19"/>
    <x v="1"/>
  </r>
  <r>
    <n v="860659"/>
    <n v="1635"/>
    <s v="USA"/>
    <d v="2023-11-17T00:56:00"/>
    <x v="3"/>
    <x v="61"/>
    <n v="9192"/>
    <s v="USA"/>
    <x v="169"/>
    <x v="150"/>
    <x v="4"/>
    <n v="200000"/>
    <x v="28"/>
    <s v="M"/>
    <x v="10"/>
    <x v="1"/>
  </r>
  <r>
    <n v="861120"/>
    <n v="1274"/>
    <s v="USA"/>
    <d v="2023-06-23T00:26:00"/>
    <x v="1"/>
    <x v="20"/>
    <n v="6826"/>
    <s v="USA"/>
    <x v="93"/>
    <x v="151"/>
    <x v="1"/>
    <n v="200000"/>
    <x v="17"/>
    <s v="F"/>
    <x v="61"/>
    <x v="3"/>
  </r>
  <r>
    <n v="861875"/>
    <n v="1398"/>
    <s v="Denmark"/>
    <d v="2023-05-12T00:44:00"/>
    <x v="1"/>
    <x v="48"/>
    <n v="3774"/>
    <s v="Denmark"/>
    <x v="57"/>
    <x v="85"/>
    <x v="1"/>
    <n v="100000"/>
    <x v="9"/>
    <s v="F"/>
    <x v="60"/>
    <x v="3"/>
  </r>
  <r>
    <n v="862127"/>
    <n v="1388"/>
    <s v="Singapore"/>
    <d v="2023-08-02T01:23:00"/>
    <x v="1"/>
    <x v="26"/>
    <n v="891"/>
    <s v="Singapore"/>
    <x v="159"/>
    <x v="83"/>
    <x v="2"/>
    <n v="200000"/>
    <x v="19"/>
    <s v="F"/>
    <x v="48"/>
    <x v="3"/>
  </r>
  <r>
    <n v="862595"/>
    <n v="1734"/>
    <s v="USA"/>
    <d v="2023-06-24T00:46:00"/>
    <x v="0"/>
    <x v="23"/>
    <n v="2309"/>
    <s v="USA"/>
    <x v="53"/>
    <x v="77"/>
    <x v="0"/>
    <n v="1000000"/>
    <x v="12"/>
    <s v="M"/>
    <x v="14"/>
    <x v="1"/>
  </r>
  <r>
    <n v="862868"/>
    <n v="872"/>
    <s v="France"/>
    <d v="2023-06-17T23:20:00"/>
    <x v="3"/>
    <x v="39"/>
    <n v="735"/>
    <s v="France"/>
    <x v="234"/>
    <x v="27"/>
    <x v="3"/>
    <n v="1000000"/>
    <x v="6"/>
    <s v="F"/>
    <x v="1"/>
    <x v="0"/>
  </r>
  <r>
    <n v="863202"/>
    <n v="1103"/>
    <s v="India"/>
    <d v="2023-08-21T01:24:00"/>
    <x v="1"/>
    <x v="23"/>
    <n v="5136"/>
    <s v="India"/>
    <x v="233"/>
    <x v="124"/>
    <x v="0"/>
    <n v="1000000"/>
    <x v="12"/>
    <s v="F"/>
    <x v="24"/>
    <x v="3"/>
  </r>
  <r>
    <n v="863877"/>
    <n v="1217"/>
    <s v="USA"/>
    <d v="2023-12-15T00:55:00"/>
    <x v="2"/>
    <x v="21"/>
    <n v="509"/>
    <s v="USA"/>
    <x v="0"/>
    <x v="44"/>
    <x v="0"/>
    <n v="100000"/>
    <x v="4"/>
    <s v="F"/>
    <x v="17"/>
    <x v="3"/>
  </r>
  <r>
    <n v="864174"/>
    <n v="1442"/>
    <s v="USA"/>
    <d v="2023-04-11T01:45:00"/>
    <x v="2"/>
    <x v="76"/>
    <n v="1523"/>
    <s v="USA"/>
    <x v="147"/>
    <x v="59"/>
    <x v="4"/>
    <n v="50000"/>
    <x v="15"/>
    <s v="M"/>
    <x v="43"/>
    <x v="3"/>
  </r>
  <r>
    <n v="864744"/>
    <n v="709"/>
    <s v="France"/>
    <d v="2023-01-29T23:39:00"/>
    <x v="0"/>
    <x v="50"/>
    <n v="2914"/>
    <s v="France"/>
    <x v="66"/>
    <x v="101"/>
    <x v="2"/>
    <n v="100000"/>
    <x v="27"/>
    <s v="F"/>
    <x v="30"/>
    <x v="0"/>
  </r>
  <r>
    <n v="864760"/>
    <n v="1777"/>
    <s v="USA"/>
    <d v="2023-09-26T01:13:00"/>
    <x v="3"/>
    <x v="53"/>
    <n v="1621"/>
    <s v="USA"/>
    <x v="239"/>
    <x v="32"/>
    <x v="0"/>
    <n v="50000"/>
    <x v="11"/>
    <s v="F"/>
    <x v="30"/>
    <x v="1"/>
  </r>
  <r>
    <n v="865712"/>
    <n v="599"/>
    <s v="Australia"/>
    <d v="2023-09-05T01:39:00"/>
    <x v="2"/>
    <x v="30"/>
    <n v="8680"/>
    <s v="Australia"/>
    <x v="86"/>
    <x v="152"/>
    <x v="2"/>
    <n v="150000"/>
    <x v="21"/>
    <s v="F"/>
    <x v="24"/>
    <x v="0"/>
  </r>
  <r>
    <n v="866403"/>
    <n v="417"/>
    <s v="France"/>
    <d v="2023-07-02T23:48:00"/>
    <x v="2"/>
    <x v="56"/>
    <n v="122"/>
    <s v="France"/>
    <x v="143"/>
    <x v="153"/>
    <x v="4"/>
    <n v="100000"/>
    <x v="28"/>
    <s v="M"/>
    <x v="62"/>
    <x v="2"/>
  </r>
  <r>
    <n v="867012"/>
    <n v="557"/>
    <s v="Germany"/>
    <d v="2023-02-26T00:16:00"/>
    <x v="3"/>
    <x v="59"/>
    <n v="7900"/>
    <s v="Germany"/>
    <x v="269"/>
    <x v="61"/>
    <x v="1"/>
    <n v="100000"/>
    <x v="1"/>
    <s v="M"/>
    <x v="58"/>
    <x v="0"/>
  </r>
  <r>
    <n v="867108"/>
    <n v="1310"/>
    <s v="Spain"/>
    <d v="2023-08-09T01:16:00"/>
    <x v="0"/>
    <x v="0"/>
    <n v="9531"/>
    <s v="Spain"/>
    <x v="282"/>
    <x v="84"/>
    <x v="0"/>
    <n v="200000"/>
    <x v="0"/>
    <s v="M"/>
    <x v="41"/>
    <x v="3"/>
  </r>
  <r>
    <n v="867276"/>
    <n v="360"/>
    <s v="India"/>
    <d v="2023-01-12T01:03:00"/>
    <x v="3"/>
    <x v="43"/>
    <n v="6820"/>
    <s v="India"/>
    <x v="76"/>
    <x v="130"/>
    <x v="2"/>
    <n v="100000"/>
    <x v="21"/>
    <s v="M"/>
    <x v="24"/>
    <x v="2"/>
  </r>
  <r>
    <n v="867382"/>
    <n v="1007"/>
    <s v="USA"/>
    <d v="2023-01-28T00:35:00"/>
    <x v="2"/>
    <x v="56"/>
    <n v="2855"/>
    <s v="USA"/>
    <x v="323"/>
    <x v="67"/>
    <x v="4"/>
    <n v="100000"/>
    <x v="28"/>
    <s v="F"/>
    <x v="14"/>
    <x v="3"/>
  </r>
  <r>
    <n v="869884"/>
    <n v="1701"/>
    <s v="USA"/>
    <d v="2023-11-26T00:49:00"/>
    <x v="1"/>
    <x v="57"/>
    <n v="4256"/>
    <s v="USA"/>
    <x v="289"/>
    <x v="35"/>
    <x v="0"/>
    <n v="80000"/>
    <x v="0"/>
    <s v="F"/>
    <x v="10"/>
    <x v="1"/>
  </r>
  <r>
    <n v="869899"/>
    <n v="623"/>
    <s v="India"/>
    <d v="2023-06-20T01:37:00"/>
    <x v="3"/>
    <x v="36"/>
    <n v="7143"/>
    <s v="India"/>
    <x v="168"/>
    <x v="109"/>
    <x v="0"/>
    <n v="150000"/>
    <x v="10"/>
    <s v="F"/>
    <x v="16"/>
    <x v="0"/>
  </r>
  <r>
    <n v="870081"/>
    <n v="1667"/>
    <s v="France"/>
    <d v="2023-06-22T00:57:00"/>
    <x v="2"/>
    <x v="77"/>
    <n v="1176"/>
    <s v="France"/>
    <x v="82"/>
    <x v="42"/>
    <x v="1"/>
    <n v="250000"/>
    <x v="24"/>
    <s v="F"/>
    <x v="38"/>
    <x v="1"/>
  </r>
  <r>
    <n v="870973"/>
    <n v="429"/>
    <s v="Germany"/>
    <d v="2023-10-26T23:23:00"/>
    <x v="3"/>
    <x v="14"/>
    <n v="2728"/>
    <s v="Germany"/>
    <x v="4"/>
    <x v="154"/>
    <x v="3"/>
    <n v="200000"/>
    <x v="13"/>
    <s v="F"/>
    <x v="30"/>
    <x v="2"/>
  </r>
  <r>
    <n v="871057"/>
    <n v="52"/>
    <s v="USA"/>
    <d v="2023-11-10T00:28:00"/>
    <x v="2"/>
    <x v="24"/>
    <n v="6246"/>
    <s v="USA"/>
    <x v="283"/>
    <x v="39"/>
    <x v="1"/>
    <n v="100000"/>
    <x v="18"/>
    <s v="F"/>
    <x v="21"/>
    <x v="2"/>
  </r>
  <r>
    <n v="871258"/>
    <n v="461"/>
    <s v="Australia"/>
    <d v="2023-05-26T00:34:00"/>
    <x v="3"/>
    <x v="27"/>
    <n v="2564"/>
    <s v="Australia"/>
    <x v="221"/>
    <x v="21"/>
    <x v="1"/>
    <n v="80000"/>
    <x v="7"/>
    <s v="M"/>
    <x v="55"/>
    <x v="2"/>
  </r>
  <r>
    <n v="872066"/>
    <n v="510"/>
    <s v="USA"/>
    <d v="2023-10-04T23:49:00"/>
    <x v="3"/>
    <x v="23"/>
    <n v="7354"/>
    <s v="USA"/>
    <x v="14"/>
    <x v="43"/>
    <x v="0"/>
    <n v="1000000"/>
    <x v="12"/>
    <s v="F"/>
    <x v="36"/>
    <x v="0"/>
  </r>
  <r>
    <n v="874091"/>
    <n v="1236"/>
    <s v="USA"/>
    <d v="2023-07-14T23:18:00"/>
    <x v="2"/>
    <x v="35"/>
    <n v="54"/>
    <s v="USA"/>
    <x v="344"/>
    <x v="140"/>
    <x v="4"/>
    <n v="100000"/>
    <x v="15"/>
    <s v="M"/>
    <x v="59"/>
    <x v="3"/>
  </r>
  <r>
    <n v="875005"/>
    <n v="1859"/>
    <s v="Spain"/>
    <d v="2023-06-23T23:41:00"/>
    <x v="2"/>
    <x v="23"/>
    <n v="538"/>
    <s v="Spain"/>
    <x v="93"/>
    <x v="155"/>
    <x v="0"/>
    <n v="1000000"/>
    <x v="12"/>
    <s v="F"/>
    <x v="71"/>
    <x v="1"/>
  </r>
  <r>
    <n v="875015"/>
    <n v="849"/>
    <s v="France"/>
    <d v="2023-08-24T00:25:00"/>
    <x v="1"/>
    <x v="39"/>
    <n v="235"/>
    <s v="France"/>
    <x v="15"/>
    <x v="148"/>
    <x v="3"/>
    <n v="1000000"/>
    <x v="6"/>
    <s v="M"/>
    <x v="11"/>
    <x v="0"/>
  </r>
  <r>
    <n v="875813"/>
    <n v="1088"/>
    <s v="India"/>
    <d v="2023-04-30T00:11:00"/>
    <x v="1"/>
    <x v="58"/>
    <n v="1198"/>
    <s v="India"/>
    <x v="295"/>
    <x v="10"/>
    <x v="3"/>
    <n v="100000"/>
    <x v="20"/>
    <s v="F"/>
    <x v="54"/>
    <x v="3"/>
  </r>
  <r>
    <n v="875981"/>
    <n v="991"/>
    <s v="USA"/>
    <d v="2023-09-05T01:14:00"/>
    <x v="2"/>
    <x v="17"/>
    <n v="6567"/>
    <s v="USA"/>
    <x v="86"/>
    <x v="156"/>
    <x v="0"/>
    <n v="150000"/>
    <x v="14"/>
    <s v="F"/>
    <x v="39"/>
    <x v="0"/>
  </r>
  <r>
    <n v="876685"/>
    <n v="1061"/>
    <s v="Finland"/>
    <d v="2023-01-24T23:39:00"/>
    <x v="2"/>
    <x v="62"/>
    <n v="3507"/>
    <s v="Finland"/>
    <x v="275"/>
    <x v="101"/>
    <x v="2"/>
    <n v="150000"/>
    <x v="27"/>
    <s v="F"/>
    <x v="57"/>
    <x v="3"/>
  </r>
  <r>
    <n v="877616"/>
    <n v="1685"/>
    <s v="USA"/>
    <d v="2023-12-19T00:00:00"/>
    <x v="3"/>
    <x v="25"/>
    <n v="6662"/>
    <s v="USA"/>
    <x v="350"/>
    <x v="126"/>
    <x v="1"/>
    <n v="150000"/>
    <x v="17"/>
    <s v="F"/>
    <x v="8"/>
    <x v="1"/>
  </r>
  <r>
    <n v="877681"/>
    <n v="166"/>
    <s v="France"/>
    <d v="2023-12-24T01:53:00"/>
    <x v="0"/>
    <x v="5"/>
    <n v="2796"/>
    <s v="France"/>
    <x v="231"/>
    <x v="102"/>
    <x v="2"/>
    <n v="150000"/>
    <x v="5"/>
    <s v="M"/>
    <x v="18"/>
    <x v="2"/>
  </r>
  <r>
    <n v="877784"/>
    <n v="422"/>
    <s v="India"/>
    <d v="2023-02-27T22:50:00"/>
    <x v="0"/>
    <x v="26"/>
    <n v="9049"/>
    <s v="India"/>
    <x v="298"/>
    <x v="133"/>
    <x v="2"/>
    <n v="200000"/>
    <x v="19"/>
    <s v="F"/>
    <x v="71"/>
    <x v="2"/>
  </r>
  <r>
    <n v="878611"/>
    <n v="1668"/>
    <s v="USA"/>
    <d v="2023-11-24T00:53:00"/>
    <x v="1"/>
    <x v="63"/>
    <n v="3591"/>
    <s v="USA"/>
    <x v="126"/>
    <x v="36"/>
    <x v="0"/>
    <n v="100000"/>
    <x v="16"/>
    <s v="F"/>
    <x v="17"/>
    <x v="1"/>
  </r>
  <r>
    <n v="878658"/>
    <n v="780"/>
    <s v="India"/>
    <d v="2023-10-18T01:28:00"/>
    <x v="0"/>
    <x v="49"/>
    <n v="3114"/>
    <s v="India"/>
    <x v="47"/>
    <x v="49"/>
    <x v="0"/>
    <n v="100000"/>
    <x v="10"/>
    <s v="M"/>
    <x v="64"/>
    <x v="0"/>
  </r>
  <r>
    <n v="878771"/>
    <n v="194"/>
    <s v="India"/>
    <d v="2023-07-21T01:58:00"/>
    <x v="1"/>
    <x v="29"/>
    <n v="7705"/>
    <s v="India"/>
    <x v="77"/>
    <x v="157"/>
    <x v="3"/>
    <n v="100000"/>
    <x v="13"/>
    <s v="F"/>
    <x v="71"/>
    <x v="2"/>
  </r>
  <r>
    <n v="879541"/>
    <n v="907"/>
    <s v="Denmark"/>
    <d v="2023-08-26T22:58:00"/>
    <x v="1"/>
    <x v="30"/>
    <n v="1465"/>
    <s v="Denmark"/>
    <x v="230"/>
    <x v="158"/>
    <x v="2"/>
    <n v="150000"/>
    <x v="21"/>
    <s v="M"/>
    <x v="39"/>
    <x v="0"/>
  </r>
  <r>
    <n v="879819"/>
    <n v="286"/>
    <s v="USA"/>
    <d v="2023-06-08T00:51:00"/>
    <x v="0"/>
    <x v="64"/>
    <n v="6894"/>
    <s v="USA"/>
    <x v="267"/>
    <x v="93"/>
    <x v="2"/>
    <n v="100000"/>
    <x v="3"/>
    <s v="M"/>
    <x v="33"/>
    <x v="2"/>
  </r>
  <r>
    <n v="881346"/>
    <n v="327"/>
    <s v="India"/>
    <d v="2023-12-19T23:40:00"/>
    <x v="0"/>
    <x v="65"/>
    <n v="8816"/>
    <s v="India"/>
    <x v="350"/>
    <x v="1"/>
    <x v="4"/>
    <n v="250000"/>
    <x v="28"/>
    <s v="F"/>
    <x v="24"/>
    <x v="2"/>
  </r>
  <r>
    <n v="882347"/>
    <n v="1938"/>
    <s v="USA"/>
    <d v="2023-09-18T22:35:00"/>
    <x v="3"/>
    <x v="39"/>
    <n v="3811"/>
    <s v="USA"/>
    <x v="121"/>
    <x v="55"/>
    <x v="3"/>
    <n v="1000000"/>
    <x v="6"/>
    <s v="M"/>
    <x v="41"/>
    <x v="1"/>
  </r>
  <r>
    <n v="883228"/>
    <n v="1251"/>
    <s v="USA"/>
    <d v="2023-04-19T01:24:00"/>
    <x v="0"/>
    <x v="34"/>
    <n v="381"/>
    <s v="USA"/>
    <x v="108"/>
    <x v="124"/>
    <x v="1"/>
    <n v="100000"/>
    <x v="24"/>
    <s v="M"/>
    <x v="34"/>
    <x v="3"/>
  </r>
  <r>
    <n v="883461"/>
    <n v="1023"/>
    <s v="Germany"/>
    <d v="2023-11-05T23:05:00"/>
    <x v="1"/>
    <x v="65"/>
    <n v="7192"/>
    <s v="Germany"/>
    <x v="36"/>
    <x v="159"/>
    <x v="4"/>
    <n v="250000"/>
    <x v="28"/>
    <s v="M"/>
    <x v="44"/>
    <x v="3"/>
  </r>
  <r>
    <n v="883497"/>
    <n v="954"/>
    <s v="India"/>
    <d v="2023-08-03T00:58:00"/>
    <x v="2"/>
    <x v="20"/>
    <n v="1216"/>
    <s v="India"/>
    <x v="135"/>
    <x v="28"/>
    <x v="1"/>
    <n v="200000"/>
    <x v="17"/>
    <s v="M"/>
    <x v="31"/>
    <x v="0"/>
  </r>
  <r>
    <n v="884628"/>
    <n v="464"/>
    <s v="Italy"/>
    <d v="2023-12-06T00:01:00"/>
    <x v="2"/>
    <x v="18"/>
    <n v="7177"/>
    <s v="Italy"/>
    <x v="136"/>
    <x v="63"/>
    <x v="2"/>
    <n v="100000"/>
    <x v="5"/>
    <s v="F"/>
    <x v="47"/>
    <x v="2"/>
  </r>
  <r>
    <n v="885377"/>
    <n v="1622"/>
    <s v="France"/>
    <d v="2023-02-11T00:54:00"/>
    <x v="0"/>
    <x v="37"/>
    <n v="7139"/>
    <s v="France"/>
    <x v="104"/>
    <x v="73"/>
    <x v="3"/>
    <n v="150000"/>
    <x v="6"/>
    <s v="F"/>
    <x v="27"/>
    <x v="1"/>
  </r>
  <r>
    <n v="885750"/>
    <n v="1837"/>
    <s v="Switzerland"/>
    <d v="2023-12-07T00:57:00"/>
    <x v="3"/>
    <x v="15"/>
    <n v="1520"/>
    <s v="Switzerland"/>
    <x v="226"/>
    <x v="42"/>
    <x v="0"/>
    <n v="150000"/>
    <x v="14"/>
    <s v="F"/>
    <x v="27"/>
    <x v="1"/>
  </r>
  <r>
    <n v="885987"/>
    <n v="1601"/>
    <s v="France"/>
    <d v="2023-10-27T00:23:00"/>
    <x v="3"/>
    <x v="31"/>
    <n v="8973"/>
    <s v="France"/>
    <x v="34"/>
    <x v="6"/>
    <x v="2"/>
    <n v="100000"/>
    <x v="22"/>
    <s v="F"/>
    <x v="13"/>
    <x v="1"/>
  </r>
  <r>
    <n v="886188"/>
    <n v="581"/>
    <s v="USA"/>
    <d v="2023-10-03T01:12:00"/>
    <x v="2"/>
    <x v="72"/>
    <n v="5000"/>
    <s v="USA"/>
    <x v="307"/>
    <x v="52"/>
    <x v="0"/>
    <n v="80000"/>
    <x v="4"/>
    <s v="M"/>
    <x v="62"/>
    <x v="0"/>
  </r>
  <r>
    <n v="887239"/>
    <n v="1157"/>
    <s v="Singapore"/>
    <d v="2023-06-24T02:05:00"/>
    <x v="2"/>
    <x v="24"/>
    <n v="9005"/>
    <s v="Singapore"/>
    <x v="53"/>
    <x v="160"/>
    <x v="1"/>
    <n v="100000"/>
    <x v="18"/>
    <s v="F"/>
    <x v="41"/>
    <x v="3"/>
  </r>
  <r>
    <n v="888702"/>
    <n v="746"/>
    <s v="USA"/>
    <d v="2023-09-19T00:52:00"/>
    <x v="3"/>
    <x v="10"/>
    <n v="98"/>
    <s v="USA"/>
    <x v="274"/>
    <x v="30"/>
    <x v="0"/>
    <n v="250000"/>
    <x v="10"/>
    <s v="F"/>
    <x v="21"/>
    <x v="0"/>
  </r>
  <r>
    <n v="888938"/>
    <n v="1606"/>
    <s v="France"/>
    <d v="2023-09-01T01:34:00"/>
    <x v="0"/>
    <x v="39"/>
    <n v="1061"/>
    <s v="France"/>
    <x v="271"/>
    <x v="161"/>
    <x v="3"/>
    <n v="1000000"/>
    <x v="6"/>
    <s v="M"/>
    <x v="12"/>
    <x v="1"/>
  </r>
  <r>
    <n v="889356"/>
    <n v="1246"/>
    <s v="France"/>
    <d v="2023-03-17T00:39:00"/>
    <x v="0"/>
    <x v="42"/>
    <n v="2670"/>
    <s v="France"/>
    <x v="19"/>
    <x v="11"/>
    <x v="0"/>
    <n v="200000"/>
    <x v="14"/>
    <s v="M"/>
    <x v="67"/>
    <x v="3"/>
  </r>
  <r>
    <n v="890131"/>
    <n v="879"/>
    <s v="USA"/>
    <d v="2023-09-28T01:51:00"/>
    <x v="2"/>
    <x v="39"/>
    <n v="3832"/>
    <s v="USA"/>
    <x v="270"/>
    <x v="104"/>
    <x v="3"/>
    <n v="1000000"/>
    <x v="6"/>
    <s v="F"/>
    <x v="41"/>
    <x v="0"/>
  </r>
  <r>
    <n v="890922"/>
    <n v="1077"/>
    <s v="India"/>
    <d v="2023-08-01T23:22:00"/>
    <x v="1"/>
    <x v="43"/>
    <n v="2256"/>
    <s v="India"/>
    <x v="238"/>
    <x v="137"/>
    <x v="2"/>
    <n v="100000"/>
    <x v="21"/>
    <s v="M"/>
    <x v="32"/>
    <x v="3"/>
  </r>
  <r>
    <n v="892608"/>
    <n v="417"/>
    <s v="France"/>
    <d v="2023-12-10T00:16:00"/>
    <x v="0"/>
    <x v="14"/>
    <n v="9919"/>
    <s v="France"/>
    <x v="309"/>
    <x v="61"/>
    <x v="3"/>
    <n v="200000"/>
    <x v="13"/>
    <s v="M"/>
    <x v="62"/>
    <x v="2"/>
  </r>
  <r>
    <n v="892773"/>
    <n v="1804"/>
    <s v="Australia"/>
    <d v="2023-12-15T23:13:00"/>
    <x v="0"/>
    <x v="17"/>
    <n v="999"/>
    <s v="Australia"/>
    <x v="0"/>
    <x v="15"/>
    <x v="0"/>
    <n v="150000"/>
    <x v="14"/>
    <s v="F"/>
    <x v="49"/>
    <x v="1"/>
  </r>
  <r>
    <n v="893103"/>
    <n v="1877"/>
    <s v="Spain"/>
    <d v="2023-02-08T23:33:00"/>
    <x v="0"/>
    <x v="39"/>
    <n v="1604"/>
    <s v="Spain"/>
    <x v="131"/>
    <x v="62"/>
    <x v="3"/>
    <n v="1000000"/>
    <x v="6"/>
    <s v="M"/>
    <x v="13"/>
    <x v="1"/>
  </r>
  <r>
    <n v="893771"/>
    <n v="416"/>
    <s v="India"/>
    <d v="2023-09-01T00:34:00"/>
    <x v="1"/>
    <x v="25"/>
    <n v="1398"/>
    <s v="India"/>
    <x v="271"/>
    <x v="21"/>
    <x v="1"/>
    <n v="150000"/>
    <x v="17"/>
    <s v="F"/>
    <x v="71"/>
    <x v="2"/>
  </r>
  <r>
    <n v="894762"/>
    <n v="393"/>
    <s v="India"/>
    <d v="2023-08-03T00:40:00"/>
    <x v="3"/>
    <x v="5"/>
    <n v="4907"/>
    <s v="India"/>
    <x v="135"/>
    <x v="51"/>
    <x v="2"/>
    <n v="150000"/>
    <x v="5"/>
    <s v="F"/>
    <x v="11"/>
    <x v="2"/>
  </r>
  <r>
    <n v="894938"/>
    <n v="1376"/>
    <s v="USA"/>
    <d v="2023-01-19T23:29:00"/>
    <x v="3"/>
    <x v="26"/>
    <n v="7358"/>
    <s v="USA"/>
    <x v="18"/>
    <x v="71"/>
    <x v="2"/>
    <n v="200000"/>
    <x v="19"/>
    <s v="F"/>
    <x v="8"/>
    <x v="3"/>
  </r>
  <r>
    <n v="895383"/>
    <n v="854"/>
    <s v="USA"/>
    <d v="2023-06-13T01:42:00"/>
    <x v="0"/>
    <x v="63"/>
    <n v="7452"/>
    <s v="USA"/>
    <x v="252"/>
    <x v="14"/>
    <x v="0"/>
    <n v="100000"/>
    <x v="16"/>
    <s v="F"/>
    <x v="57"/>
    <x v="0"/>
  </r>
  <r>
    <n v="895436"/>
    <n v="346"/>
    <s v="Spain"/>
    <d v="2023-09-08T00:38:00"/>
    <x v="0"/>
    <x v="28"/>
    <n v="6750"/>
    <s v="Spain"/>
    <x v="315"/>
    <x v="162"/>
    <x v="3"/>
    <n v="80000"/>
    <x v="20"/>
    <s v="F"/>
    <x v="18"/>
    <x v="2"/>
  </r>
  <r>
    <n v="896228"/>
    <n v="741"/>
    <s v="USA"/>
    <d v="2023-11-05T00:12:00"/>
    <x v="1"/>
    <x v="29"/>
    <n v="3208"/>
    <s v="USA"/>
    <x v="36"/>
    <x v="19"/>
    <x v="3"/>
    <n v="100000"/>
    <x v="13"/>
    <s v="F"/>
    <x v="5"/>
    <x v="0"/>
  </r>
  <r>
    <n v="897460"/>
    <n v="711"/>
    <s v="USA"/>
    <d v="2023-09-24T23:05:00"/>
    <x v="3"/>
    <x v="30"/>
    <n v="3851"/>
    <s v="USA"/>
    <x v="56"/>
    <x v="159"/>
    <x v="2"/>
    <n v="150000"/>
    <x v="21"/>
    <s v="M"/>
    <x v="72"/>
    <x v="0"/>
  </r>
  <r>
    <n v="897997"/>
    <n v="1884"/>
    <s v="USA"/>
    <d v="2023-04-08T23:06:00"/>
    <x v="3"/>
    <x v="31"/>
    <n v="1149"/>
    <s v="USA"/>
    <x v="348"/>
    <x v="163"/>
    <x v="2"/>
    <n v="100000"/>
    <x v="22"/>
    <s v="F"/>
    <x v="34"/>
    <x v="1"/>
  </r>
  <r>
    <n v="899461"/>
    <n v="1382"/>
    <s v="Spain"/>
    <d v="2023-03-21T00:18:00"/>
    <x v="3"/>
    <x v="32"/>
    <n v="6071"/>
    <s v="Spain"/>
    <x v="28"/>
    <x v="139"/>
    <x v="4"/>
    <n v="100000"/>
    <x v="23"/>
    <s v="M"/>
    <x v="45"/>
    <x v="3"/>
  </r>
  <r>
    <n v="899739"/>
    <n v="842"/>
    <s v="France"/>
    <d v="2023-01-06T00:48:00"/>
    <x v="3"/>
    <x v="39"/>
    <n v="3937"/>
    <s v="France"/>
    <x v="79"/>
    <x v="88"/>
    <x v="3"/>
    <n v="1000000"/>
    <x v="6"/>
    <s v="M"/>
    <x v="10"/>
    <x v="0"/>
  </r>
  <r>
    <n v="899991"/>
    <n v="980"/>
    <s v="USA"/>
    <d v="2023-01-09T23:45:00"/>
    <x v="3"/>
    <x v="34"/>
    <n v="4447"/>
    <s v="USA"/>
    <x v="313"/>
    <x v="164"/>
    <x v="1"/>
    <n v="100000"/>
    <x v="24"/>
    <s v="F"/>
    <x v="34"/>
    <x v="0"/>
  </r>
  <r>
    <n v="901917"/>
    <n v="195"/>
    <s v="USA"/>
    <d v="2023-07-17T01:39:00"/>
    <x v="0"/>
    <x v="35"/>
    <n v="1318"/>
    <s v="USA"/>
    <x v="212"/>
    <x v="152"/>
    <x v="4"/>
    <n v="100000"/>
    <x v="15"/>
    <s v="F"/>
    <x v="66"/>
    <x v="2"/>
  </r>
  <r>
    <n v="903650"/>
    <n v="1971"/>
    <s v="Spain"/>
    <d v="2023-03-14T23:46:00"/>
    <x v="1"/>
    <x v="20"/>
    <n v="8993"/>
    <s v="Spain"/>
    <x v="97"/>
    <x v="9"/>
    <x v="1"/>
    <n v="200000"/>
    <x v="17"/>
    <s v="F"/>
    <x v="60"/>
    <x v="1"/>
  </r>
  <r>
    <n v="904533"/>
    <n v="223"/>
    <s v="India"/>
    <d v="2023-06-06T01:23:00"/>
    <x v="3"/>
    <x v="18"/>
    <n v="6781"/>
    <s v="India"/>
    <x v="174"/>
    <x v="83"/>
    <x v="2"/>
    <n v="100000"/>
    <x v="5"/>
    <s v="M"/>
    <x v="10"/>
    <x v="2"/>
  </r>
  <r>
    <n v="904997"/>
    <n v="909"/>
    <s v="India"/>
    <d v="2023-11-07T22:47:00"/>
    <x v="2"/>
    <x v="37"/>
    <n v="9811"/>
    <s v="India"/>
    <x v="91"/>
    <x v="165"/>
    <x v="3"/>
    <n v="150000"/>
    <x v="6"/>
    <s v="M"/>
    <x v="37"/>
    <x v="0"/>
  </r>
  <r>
    <n v="906886"/>
    <n v="373"/>
    <s v="India"/>
    <d v="2023-03-09T00:47:00"/>
    <x v="0"/>
    <x v="38"/>
    <n v="7915"/>
    <s v="India"/>
    <x v="351"/>
    <x v="75"/>
    <x v="2"/>
    <n v="100000"/>
    <x v="22"/>
    <s v="F"/>
    <x v="20"/>
    <x v="2"/>
  </r>
  <r>
    <n v="908364"/>
    <n v="617"/>
    <s v="USA"/>
    <d v="2023-06-01T23:55:00"/>
    <x v="0"/>
    <x v="39"/>
    <n v="5116"/>
    <s v="USA"/>
    <x v="228"/>
    <x v="166"/>
    <x v="3"/>
    <n v="1000000"/>
    <x v="6"/>
    <s v="F"/>
    <x v="23"/>
    <x v="0"/>
  </r>
  <r>
    <n v="908702"/>
    <n v="1392"/>
    <s v="Ireland"/>
    <d v="2023-09-14T23:18:00"/>
    <x v="2"/>
    <x v="11"/>
    <n v="8379"/>
    <s v="Ireland"/>
    <x v="237"/>
    <x v="140"/>
    <x v="1"/>
    <n v="150000"/>
    <x v="1"/>
    <s v="F"/>
    <x v="49"/>
    <x v="3"/>
  </r>
  <r>
    <n v="909180"/>
    <n v="667"/>
    <s v="France"/>
    <d v="2023-06-01T00:48:00"/>
    <x v="1"/>
    <x v="8"/>
    <n v="1650"/>
    <s v="France"/>
    <x v="228"/>
    <x v="88"/>
    <x v="1"/>
    <n v="150000"/>
    <x v="8"/>
    <s v="M"/>
    <x v="71"/>
    <x v="0"/>
  </r>
  <r>
    <n v="910034"/>
    <n v="1798"/>
    <s v="USA"/>
    <d v="2023-09-08T23:31:00"/>
    <x v="2"/>
    <x v="25"/>
    <n v="3805"/>
    <s v="USA"/>
    <x v="315"/>
    <x v="57"/>
    <x v="1"/>
    <n v="150000"/>
    <x v="17"/>
    <s v="M"/>
    <x v="34"/>
    <x v="1"/>
  </r>
  <r>
    <n v="910121"/>
    <n v="549"/>
    <s v="USA"/>
    <d v="2023-08-16T00:19:00"/>
    <x v="3"/>
    <x v="23"/>
    <n v="767"/>
    <s v="USA"/>
    <x v="280"/>
    <x v="167"/>
    <x v="0"/>
    <n v="1000000"/>
    <x v="12"/>
    <s v="M"/>
    <x v="41"/>
    <x v="0"/>
  </r>
  <r>
    <n v="911307"/>
    <n v="1606"/>
    <s v="France"/>
    <d v="2023-08-27T23:32:00"/>
    <x v="1"/>
    <x v="42"/>
    <n v="8205"/>
    <s v="France"/>
    <x v="352"/>
    <x v="91"/>
    <x v="0"/>
    <n v="200000"/>
    <x v="14"/>
    <s v="M"/>
    <x v="12"/>
    <x v="1"/>
  </r>
  <r>
    <n v="911597"/>
    <n v="844"/>
    <s v="Italy"/>
    <d v="2023-01-15T22:54:00"/>
    <x v="2"/>
    <x v="39"/>
    <n v="5409"/>
    <s v="Italy"/>
    <x v="161"/>
    <x v="105"/>
    <x v="3"/>
    <n v="1000000"/>
    <x v="6"/>
    <s v="M"/>
    <x v="70"/>
    <x v="0"/>
  </r>
  <r>
    <n v="912904"/>
    <n v="349"/>
    <s v="Denmark"/>
    <d v="2023-12-06T23:51:00"/>
    <x v="0"/>
    <x v="43"/>
    <n v="2520"/>
    <s v="Denmark"/>
    <x v="136"/>
    <x v="87"/>
    <x v="2"/>
    <n v="100000"/>
    <x v="21"/>
    <s v="F"/>
    <x v="39"/>
    <x v="2"/>
  </r>
  <r>
    <n v="912973"/>
    <n v="646"/>
    <s v="Singapore"/>
    <d v="2023-12-20T23:25:00"/>
    <x v="1"/>
    <x v="23"/>
    <n v="816"/>
    <s v="Singapore"/>
    <x v="341"/>
    <x v="141"/>
    <x v="0"/>
    <n v="1000000"/>
    <x v="12"/>
    <s v="F"/>
    <x v="45"/>
    <x v="0"/>
  </r>
  <r>
    <n v="914101"/>
    <n v="1839"/>
    <s v="Germany"/>
    <d v="2023-08-14T00:15:00"/>
    <x v="2"/>
    <x v="66"/>
    <n v="8372"/>
    <s v="Germany"/>
    <x v="192"/>
    <x v="123"/>
    <x v="1"/>
    <n v="100000"/>
    <x v="8"/>
    <s v="F"/>
    <x v="19"/>
    <x v="1"/>
  </r>
  <r>
    <n v="914288"/>
    <n v="1090"/>
    <s v="France"/>
    <d v="2023-05-29T00:52:00"/>
    <x v="3"/>
    <x v="67"/>
    <n v="1968"/>
    <s v="France"/>
    <x v="42"/>
    <x v="30"/>
    <x v="3"/>
    <n v="150000"/>
    <x v="29"/>
    <s v="F"/>
    <x v="11"/>
    <x v="3"/>
  </r>
  <r>
    <n v="914311"/>
    <n v="1127"/>
    <s v="Norway"/>
    <d v="2023-04-05T00:17:00"/>
    <x v="1"/>
    <x v="39"/>
    <n v="6090"/>
    <s v="Norway"/>
    <x v="95"/>
    <x v="20"/>
    <x v="3"/>
    <n v="1000000"/>
    <x v="6"/>
    <s v="F"/>
    <x v="69"/>
    <x v="3"/>
  </r>
  <r>
    <n v="914647"/>
    <n v="1671"/>
    <s v="USA"/>
    <d v="2023-03-25T01:58:00"/>
    <x v="2"/>
    <x v="88"/>
    <n v="7025"/>
    <s v="USA"/>
    <x v="118"/>
    <x v="157"/>
    <x v="3"/>
    <n v="30000"/>
    <x v="29"/>
    <s v="M"/>
    <x v="72"/>
    <x v="1"/>
  </r>
  <r>
    <n v="914814"/>
    <n v="1729"/>
    <s v="Australia"/>
    <d v="2023-11-05T23:32:00"/>
    <x v="1"/>
    <x v="4"/>
    <n v="6744"/>
    <s v="Australia"/>
    <x v="36"/>
    <x v="91"/>
    <x v="0"/>
    <n v="200000"/>
    <x v="4"/>
    <s v="M"/>
    <x v="54"/>
    <x v="1"/>
  </r>
  <r>
    <n v="915353"/>
    <n v="48"/>
    <s v="USA"/>
    <d v="2023-07-24T01:33:00"/>
    <x v="1"/>
    <x v="42"/>
    <n v="2128"/>
    <s v="USA"/>
    <x v="200"/>
    <x v="47"/>
    <x v="0"/>
    <n v="200000"/>
    <x v="14"/>
    <s v="F"/>
    <x v="50"/>
    <x v="2"/>
  </r>
  <r>
    <n v="916383"/>
    <n v="1746"/>
    <s v="Italy"/>
    <d v="2023-12-27T01:00:00"/>
    <x v="1"/>
    <x v="6"/>
    <n v="3491"/>
    <s v="Italy"/>
    <x v="292"/>
    <x v="168"/>
    <x v="3"/>
    <n v="150000"/>
    <x v="6"/>
    <s v="M"/>
    <x v="50"/>
    <x v="1"/>
  </r>
  <r>
    <n v="917785"/>
    <n v="789"/>
    <s v="France"/>
    <d v="2023-05-07T00:02:00"/>
    <x v="1"/>
    <x v="68"/>
    <n v="9379"/>
    <s v="France"/>
    <x v="37"/>
    <x v="89"/>
    <x v="1"/>
    <n v="150000"/>
    <x v="26"/>
    <s v="M"/>
    <x v="14"/>
    <x v="0"/>
  </r>
  <r>
    <n v="918151"/>
    <n v="981"/>
    <s v="USA"/>
    <d v="2023-04-27T01:16:00"/>
    <x v="3"/>
    <x v="9"/>
    <n v="1322"/>
    <s v="USA"/>
    <x v="321"/>
    <x v="84"/>
    <x v="1"/>
    <n v="150000"/>
    <x v="9"/>
    <s v="F"/>
    <x v="61"/>
    <x v="0"/>
  </r>
  <r>
    <n v="918183"/>
    <n v="1795"/>
    <s v="France"/>
    <d v="2023-09-27T01:08:00"/>
    <x v="2"/>
    <x v="69"/>
    <n v="4196"/>
    <s v="France"/>
    <x v="299"/>
    <x v="37"/>
    <x v="4"/>
    <n v="150000"/>
    <x v="25"/>
    <s v="M"/>
    <x v="62"/>
    <x v="1"/>
  </r>
  <r>
    <n v="918347"/>
    <n v="449"/>
    <s v="USA"/>
    <d v="2023-08-02T23:47:00"/>
    <x v="2"/>
    <x v="48"/>
    <n v="1241"/>
    <s v="USA"/>
    <x v="159"/>
    <x v="100"/>
    <x v="1"/>
    <n v="100000"/>
    <x v="9"/>
    <s v="M"/>
    <x v="62"/>
    <x v="2"/>
  </r>
  <r>
    <n v="919424"/>
    <n v="1079"/>
    <s v="India"/>
    <d v="2023-06-12T23:43:00"/>
    <x v="3"/>
    <x v="9"/>
    <n v="9932"/>
    <s v="India"/>
    <x v="342"/>
    <x v="169"/>
    <x v="1"/>
    <n v="150000"/>
    <x v="9"/>
    <s v="F"/>
    <x v="3"/>
    <x v="3"/>
  </r>
  <r>
    <n v="920294"/>
    <n v="474"/>
    <s v="Finland"/>
    <d v="2023-10-05T01:21:00"/>
    <x v="1"/>
    <x v="58"/>
    <n v="6177"/>
    <s v="Finland"/>
    <x v="75"/>
    <x v="128"/>
    <x v="3"/>
    <n v="100000"/>
    <x v="20"/>
    <s v="M"/>
    <x v="8"/>
    <x v="2"/>
  </r>
  <r>
    <n v="920645"/>
    <n v="1851"/>
    <s v="Spain"/>
    <d v="2023-03-05T00:58:00"/>
    <x v="2"/>
    <x v="71"/>
    <n v="620"/>
    <s v="Spain"/>
    <x v="346"/>
    <x v="28"/>
    <x v="1"/>
    <n v="50000"/>
    <x v="8"/>
    <s v="F"/>
    <x v="15"/>
    <x v="1"/>
  </r>
  <r>
    <n v="921540"/>
    <n v="499"/>
    <s v="Australia"/>
    <d v="2023-12-20T23:51:00"/>
    <x v="3"/>
    <x v="69"/>
    <n v="2164"/>
    <s v="Australia"/>
    <x v="341"/>
    <x v="87"/>
    <x v="4"/>
    <n v="150000"/>
    <x v="25"/>
    <s v="M"/>
    <x v="20"/>
    <x v="2"/>
  </r>
  <r>
    <n v="921826"/>
    <n v="1677"/>
    <s v="Italy"/>
    <d v="2023-04-11T23:58:00"/>
    <x v="0"/>
    <x v="16"/>
    <n v="1726"/>
    <s v="Italy"/>
    <x v="147"/>
    <x v="96"/>
    <x v="4"/>
    <n v="150000"/>
    <x v="15"/>
    <s v="F"/>
    <x v="66"/>
    <x v="1"/>
  </r>
  <r>
    <n v="922883"/>
    <n v="243"/>
    <s v="USA"/>
    <d v="2023-12-18T01:29:00"/>
    <x v="1"/>
    <x v="68"/>
    <n v="4141"/>
    <s v="USA"/>
    <x v="11"/>
    <x v="103"/>
    <x v="1"/>
    <n v="150000"/>
    <x v="26"/>
    <s v="M"/>
    <x v="65"/>
    <x v="2"/>
  </r>
  <r>
    <n v="923178"/>
    <n v="1561"/>
    <s v="Switzerland"/>
    <d v="2023-10-26T23:58:00"/>
    <x v="0"/>
    <x v="79"/>
    <n v="6590"/>
    <s v="Switzerland"/>
    <x v="4"/>
    <x v="96"/>
    <x v="1"/>
    <n v="200000"/>
    <x v="9"/>
    <s v="F"/>
    <x v="9"/>
    <x v="1"/>
  </r>
  <r>
    <n v="924191"/>
    <n v="1970"/>
    <s v="France"/>
    <d v="2023-10-15T01:05:00"/>
    <x v="0"/>
    <x v="66"/>
    <n v="925"/>
    <s v="France"/>
    <x v="59"/>
    <x v="12"/>
    <x v="1"/>
    <n v="100000"/>
    <x v="8"/>
    <s v="M"/>
    <x v="33"/>
    <x v="1"/>
  </r>
  <r>
    <n v="924407"/>
    <n v="1824"/>
    <s v="USA"/>
    <d v="2023-09-08T22:32:00"/>
    <x v="2"/>
    <x v="10"/>
    <n v="2760"/>
    <s v="USA"/>
    <x v="315"/>
    <x v="170"/>
    <x v="0"/>
    <n v="250000"/>
    <x v="10"/>
    <s v="F"/>
    <x v="31"/>
    <x v="1"/>
  </r>
  <r>
    <n v="924612"/>
    <n v="549"/>
    <s v="USA"/>
    <d v="2023-03-16T00:54:00"/>
    <x v="3"/>
    <x v="23"/>
    <n v="7323"/>
    <s v="USA"/>
    <x v="29"/>
    <x v="73"/>
    <x v="0"/>
    <n v="1000000"/>
    <x v="12"/>
    <s v="M"/>
    <x v="41"/>
    <x v="0"/>
  </r>
  <r>
    <n v="926206"/>
    <n v="41"/>
    <s v="Australia"/>
    <d v="2023-02-25T23:00:00"/>
    <x v="3"/>
    <x v="73"/>
    <n v="3952"/>
    <s v="Australia"/>
    <x v="84"/>
    <x v="171"/>
    <x v="4"/>
    <n v="100000"/>
    <x v="25"/>
    <s v="F"/>
    <x v="53"/>
    <x v="2"/>
  </r>
  <r>
    <n v="926690"/>
    <n v="1286"/>
    <s v="USA"/>
    <d v="2023-05-12T00:04:00"/>
    <x v="2"/>
    <x v="23"/>
    <n v="197"/>
    <s v="USA"/>
    <x v="57"/>
    <x v="64"/>
    <x v="0"/>
    <n v="1000000"/>
    <x v="12"/>
    <s v="M"/>
    <x v="57"/>
    <x v="3"/>
  </r>
  <r>
    <n v="929955"/>
    <n v="349"/>
    <s v="Denmark"/>
    <d v="2023-01-21T23:42:00"/>
    <x v="2"/>
    <x v="39"/>
    <n v="3242"/>
    <s v="Denmark"/>
    <x v="325"/>
    <x v="38"/>
    <x v="3"/>
    <n v="1000000"/>
    <x v="6"/>
    <s v="F"/>
    <x v="39"/>
    <x v="2"/>
  </r>
  <r>
    <n v="930116"/>
    <n v="918"/>
    <s v="Australia"/>
    <d v="2023-08-18T23:37:00"/>
    <x v="3"/>
    <x v="77"/>
    <n v="4873"/>
    <s v="Australia"/>
    <x v="150"/>
    <x v="78"/>
    <x v="1"/>
    <n v="250000"/>
    <x v="24"/>
    <s v="M"/>
    <x v="21"/>
    <x v="0"/>
  </r>
  <r>
    <n v="930552"/>
    <n v="1605"/>
    <s v="Spain"/>
    <d v="2023-04-05T00:14:00"/>
    <x v="0"/>
    <x v="84"/>
    <n v="6840"/>
    <s v="Spain"/>
    <x v="95"/>
    <x v="172"/>
    <x v="2"/>
    <n v="100000"/>
    <x v="3"/>
    <s v="F"/>
    <x v="23"/>
    <x v="1"/>
  </r>
  <r>
    <n v="930811"/>
    <n v="1778"/>
    <s v="USA"/>
    <d v="2023-01-09T23:51:00"/>
    <x v="0"/>
    <x v="42"/>
    <n v="3666"/>
    <s v="USA"/>
    <x v="313"/>
    <x v="87"/>
    <x v="0"/>
    <n v="200000"/>
    <x v="14"/>
    <s v="M"/>
    <x v="1"/>
    <x v="1"/>
  </r>
  <r>
    <n v="930878"/>
    <n v="1606"/>
    <s v="France"/>
    <d v="2023-07-06T01:58:00"/>
    <x v="2"/>
    <x v="78"/>
    <n v="3069"/>
    <s v="France"/>
    <x v="191"/>
    <x v="157"/>
    <x v="0"/>
    <n v="100000"/>
    <x v="12"/>
    <s v="M"/>
    <x v="12"/>
    <x v="1"/>
  </r>
  <r>
    <n v="931367"/>
    <n v="981"/>
    <s v="USA"/>
    <d v="2023-06-12T01:53:00"/>
    <x v="2"/>
    <x v="86"/>
    <n v="2393"/>
    <s v="USA"/>
    <x v="342"/>
    <x v="102"/>
    <x v="0"/>
    <n v="150000"/>
    <x v="11"/>
    <s v="F"/>
    <x v="61"/>
    <x v="0"/>
  </r>
  <r>
    <n v="931763"/>
    <n v="1355"/>
    <s v="Spain"/>
    <d v="2023-05-26T00:12:00"/>
    <x v="0"/>
    <x v="39"/>
    <n v="2372"/>
    <s v="Spain"/>
    <x v="221"/>
    <x v="19"/>
    <x v="3"/>
    <n v="1000000"/>
    <x v="6"/>
    <s v="M"/>
    <x v="69"/>
    <x v="3"/>
  </r>
  <r>
    <n v="933463"/>
    <n v="1401"/>
    <s v="Finland"/>
    <d v="2023-07-08T23:52:00"/>
    <x v="2"/>
    <x v="87"/>
    <n v="7754"/>
    <s v="Finland"/>
    <x v="210"/>
    <x v="94"/>
    <x v="0"/>
    <n v="100000"/>
    <x v="16"/>
    <s v="M"/>
    <x v="62"/>
    <x v="3"/>
  </r>
  <r>
    <n v="935343"/>
    <n v="1143"/>
    <s v="Italy"/>
    <d v="2023-09-27T23:28:00"/>
    <x v="2"/>
    <x v="74"/>
    <n v="1325"/>
    <s v="Italy"/>
    <x v="299"/>
    <x v="134"/>
    <x v="1"/>
    <n v="200000"/>
    <x v="18"/>
    <s v="M"/>
    <x v="0"/>
    <x v="3"/>
  </r>
  <r>
    <n v="935551"/>
    <n v="712"/>
    <s v="USA"/>
    <d v="2023-12-14T01:36:00"/>
    <x v="1"/>
    <x v="52"/>
    <n v="6779"/>
    <s v="USA"/>
    <x v="94"/>
    <x v="173"/>
    <x v="4"/>
    <n v="50000"/>
    <x v="23"/>
    <s v="M"/>
    <x v="70"/>
    <x v="0"/>
  </r>
  <r>
    <n v="935674"/>
    <n v="442"/>
    <s v="USA"/>
    <d v="2023-08-04T00:54:00"/>
    <x v="0"/>
    <x v="30"/>
    <n v="5395"/>
    <s v="USA"/>
    <x v="353"/>
    <x v="73"/>
    <x v="2"/>
    <n v="150000"/>
    <x v="21"/>
    <s v="M"/>
    <x v="14"/>
    <x v="2"/>
  </r>
  <r>
    <n v="935947"/>
    <n v="1267"/>
    <s v="Italy"/>
    <d v="2023-07-09T01:19:00"/>
    <x v="3"/>
    <x v="83"/>
    <n v="5054"/>
    <s v="Italy"/>
    <x v="63"/>
    <x v="95"/>
    <x v="2"/>
    <n v="100000"/>
    <x v="19"/>
    <s v="M"/>
    <x v="14"/>
    <x v="3"/>
  </r>
  <r>
    <n v="935965"/>
    <n v="1578"/>
    <s v="Italy"/>
    <d v="2023-07-30T23:57:00"/>
    <x v="3"/>
    <x v="74"/>
    <n v="4078"/>
    <s v="Italy"/>
    <x v="113"/>
    <x v="116"/>
    <x v="1"/>
    <n v="200000"/>
    <x v="18"/>
    <s v="M"/>
    <x v="32"/>
    <x v="1"/>
  </r>
  <r>
    <n v="936199"/>
    <n v="734"/>
    <s v="Italy"/>
    <d v="2023-06-07T00:23:00"/>
    <x v="2"/>
    <x v="23"/>
    <n v="6734"/>
    <s v="Italy"/>
    <x v="69"/>
    <x v="6"/>
    <x v="0"/>
    <n v="1000000"/>
    <x v="12"/>
    <s v="F"/>
    <x v="21"/>
    <x v="0"/>
  </r>
  <r>
    <n v="936455"/>
    <n v="452"/>
    <s v="Spain"/>
    <d v="2023-01-14T00:46:00"/>
    <x v="1"/>
    <x v="65"/>
    <n v="9527"/>
    <s v="Spain"/>
    <x v="170"/>
    <x v="77"/>
    <x v="4"/>
    <n v="250000"/>
    <x v="28"/>
    <s v="M"/>
    <x v="21"/>
    <x v="2"/>
  </r>
  <r>
    <n v="937222"/>
    <n v="1095"/>
    <s v="India"/>
    <d v="2023-01-27T01:04:00"/>
    <x v="0"/>
    <x v="22"/>
    <n v="2890"/>
    <s v="India"/>
    <x v="128"/>
    <x v="121"/>
    <x v="3"/>
    <n v="100000"/>
    <x v="13"/>
    <s v="M"/>
    <x v="30"/>
    <x v="3"/>
  </r>
  <r>
    <n v="937462"/>
    <n v="1858"/>
    <s v="USA"/>
    <d v="2023-10-20T23:54:00"/>
    <x v="3"/>
    <x v="23"/>
    <n v="2327"/>
    <s v="USA"/>
    <x v="55"/>
    <x v="174"/>
    <x v="0"/>
    <n v="1000000"/>
    <x v="12"/>
    <s v="F"/>
    <x v="0"/>
    <x v="1"/>
  </r>
  <r>
    <n v="938620"/>
    <n v="1556"/>
    <s v="Australia"/>
    <d v="2023-04-04T01:54:00"/>
    <x v="2"/>
    <x v="77"/>
    <n v="1142"/>
    <s v="Australia"/>
    <x v="127"/>
    <x v="143"/>
    <x v="1"/>
    <n v="250000"/>
    <x v="24"/>
    <s v="F"/>
    <x v="15"/>
    <x v="1"/>
  </r>
  <r>
    <n v="940084"/>
    <n v="239"/>
    <s v="India"/>
    <d v="2023-09-19T00:05:00"/>
    <x v="1"/>
    <x v="67"/>
    <n v="2257"/>
    <s v="India"/>
    <x v="274"/>
    <x v="48"/>
    <x v="3"/>
    <n v="150000"/>
    <x v="29"/>
    <s v="F"/>
    <x v="55"/>
    <x v="2"/>
  </r>
  <r>
    <n v="941028"/>
    <n v="1311"/>
    <s v="USA"/>
    <d v="2023-09-19T23:27:00"/>
    <x v="3"/>
    <x v="3"/>
    <n v="9422"/>
    <s v="USA"/>
    <x v="274"/>
    <x v="79"/>
    <x v="2"/>
    <n v="150000"/>
    <x v="3"/>
    <s v="M"/>
    <x v="1"/>
    <x v="3"/>
  </r>
  <r>
    <n v="941315"/>
    <n v="1856"/>
    <s v="USA"/>
    <d v="2023-04-07T00:11:00"/>
    <x v="3"/>
    <x v="23"/>
    <n v="6848"/>
    <s v="USA"/>
    <x v="194"/>
    <x v="10"/>
    <x v="0"/>
    <n v="1000000"/>
    <x v="12"/>
    <s v="F"/>
    <x v="61"/>
    <x v="1"/>
  </r>
  <r>
    <n v="942316"/>
    <n v="608"/>
    <s v="Denmark"/>
    <d v="2023-01-04T00:48:00"/>
    <x v="1"/>
    <x v="61"/>
    <n v="455"/>
    <s v="Denmark"/>
    <x v="203"/>
    <x v="88"/>
    <x v="4"/>
    <n v="200000"/>
    <x v="28"/>
    <s v="M"/>
    <x v="56"/>
    <x v="0"/>
  </r>
  <r>
    <n v="942544"/>
    <n v="233"/>
    <s v="Italy"/>
    <d v="2023-06-29T23:09:00"/>
    <x v="0"/>
    <x v="20"/>
    <n v="5264"/>
    <s v="Italy"/>
    <x v="305"/>
    <x v="175"/>
    <x v="1"/>
    <n v="200000"/>
    <x v="17"/>
    <s v="F"/>
    <x v="35"/>
    <x v="2"/>
  </r>
  <r>
    <n v="942561"/>
    <n v="1263"/>
    <s v="USA"/>
    <d v="2023-10-13T23:52:00"/>
    <x v="0"/>
    <x v="77"/>
    <n v="1046"/>
    <s v="USA"/>
    <x v="17"/>
    <x v="94"/>
    <x v="1"/>
    <n v="250000"/>
    <x v="24"/>
    <s v="F"/>
    <x v="61"/>
    <x v="3"/>
  </r>
  <r>
    <n v="943149"/>
    <n v="640"/>
    <s v="France"/>
    <d v="2023-09-24T22:47:00"/>
    <x v="1"/>
    <x v="84"/>
    <n v="6730"/>
    <s v="France"/>
    <x v="56"/>
    <x v="165"/>
    <x v="2"/>
    <n v="100000"/>
    <x v="3"/>
    <s v="F"/>
    <x v="66"/>
    <x v="0"/>
  </r>
  <r>
    <n v="943915"/>
    <n v="778"/>
    <s v="France"/>
    <d v="2023-03-04T01:32:00"/>
    <x v="0"/>
    <x v="42"/>
    <n v="8064"/>
    <s v="France"/>
    <x v="272"/>
    <x v="117"/>
    <x v="0"/>
    <n v="200000"/>
    <x v="14"/>
    <s v="F"/>
    <x v="47"/>
    <x v="0"/>
  </r>
  <r>
    <n v="944561"/>
    <n v="1343"/>
    <s v="USA"/>
    <d v="2023-02-24T23:00:00"/>
    <x v="3"/>
    <x v="78"/>
    <n v="439"/>
    <s v="USA"/>
    <x v="160"/>
    <x v="171"/>
    <x v="0"/>
    <n v="100000"/>
    <x v="12"/>
    <s v="F"/>
    <x v="24"/>
    <x v="3"/>
  </r>
  <r>
    <n v="946141"/>
    <n v="1208"/>
    <s v="USA"/>
    <d v="2023-04-20T01:26:00"/>
    <x v="0"/>
    <x v="13"/>
    <n v="6931"/>
    <s v="USA"/>
    <x v="165"/>
    <x v="65"/>
    <x v="0"/>
    <n v="100000"/>
    <x v="12"/>
    <s v="M"/>
    <x v="38"/>
    <x v="3"/>
  </r>
  <r>
    <n v="946167"/>
    <n v="1512"/>
    <s v="Denmark"/>
    <d v="2023-12-04T23:54:00"/>
    <x v="2"/>
    <x v="39"/>
    <n v="236"/>
    <s v="Denmark"/>
    <x v="354"/>
    <x v="174"/>
    <x v="3"/>
    <n v="1000000"/>
    <x v="6"/>
    <s v="F"/>
    <x v="9"/>
    <x v="1"/>
  </r>
  <r>
    <n v="946580"/>
    <n v="91"/>
    <s v="Spain"/>
    <d v="2023-11-27T23:02:00"/>
    <x v="3"/>
    <x v="40"/>
    <n v="8726"/>
    <s v="Spain"/>
    <x v="13"/>
    <x v="114"/>
    <x v="2"/>
    <n v="150000"/>
    <x v="2"/>
    <s v="M"/>
    <x v="57"/>
    <x v="2"/>
  </r>
  <r>
    <n v="946964"/>
    <n v="281"/>
    <s v="USA"/>
    <d v="2023-02-24T00:44:00"/>
    <x v="2"/>
    <x v="74"/>
    <n v="6535"/>
    <s v="USA"/>
    <x v="160"/>
    <x v="85"/>
    <x v="1"/>
    <n v="200000"/>
    <x v="18"/>
    <s v="M"/>
    <x v="21"/>
    <x v="2"/>
  </r>
  <r>
    <n v="947335"/>
    <n v="1539"/>
    <s v="USA"/>
    <d v="2023-08-16T00:17:00"/>
    <x v="2"/>
    <x v="23"/>
    <n v="4146"/>
    <s v="USA"/>
    <x v="280"/>
    <x v="20"/>
    <x v="0"/>
    <n v="1000000"/>
    <x v="12"/>
    <s v="F"/>
    <x v="38"/>
    <x v="1"/>
  </r>
  <r>
    <n v="947369"/>
    <n v="1510"/>
    <s v="Norway"/>
    <d v="2023-07-10T00:20:00"/>
    <x v="3"/>
    <x v="55"/>
    <n v="5208"/>
    <s v="Norway"/>
    <x v="311"/>
    <x v="68"/>
    <x v="2"/>
    <n v="80000"/>
    <x v="27"/>
    <s v="M"/>
    <x v="12"/>
    <x v="1"/>
  </r>
  <r>
    <n v="950100"/>
    <n v="567"/>
    <s v="Australia"/>
    <d v="2023-12-07T23:10:00"/>
    <x v="2"/>
    <x v="83"/>
    <n v="4903"/>
    <s v="Australia"/>
    <x v="226"/>
    <x v="176"/>
    <x v="2"/>
    <n v="100000"/>
    <x v="19"/>
    <s v="M"/>
    <x v="2"/>
    <x v="0"/>
  </r>
  <r>
    <n v="950345"/>
    <n v="608"/>
    <s v="Denmark"/>
    <d v="2023-02-13T02:00:00"/>
    <x v="0"/>
    <x v="74"/>
    <n v="4841"/>
    <s v="Denmark"/>
    <x v="301"/>
    <x v="23"/>
    <x v="1"/>
    <n v="200000"/>
    <x v="18"/>
    <s v="M"/>
    <x v="56"/>
    <x v="0"/>
  </r>
  <r>
    <n v="951047"/>
    <n v="753"/>
    <s v="USA"/>
    <d v="2023-01-12T23:45:00"/>
    <x v="1"/>
    <x v="23"/>
    <n v="1714"/>
    <s v="USA"/>
    <x v="76"/>
    <x v="164"/>
    <x v="0"/>
    <n v="1000000"/>
    <x v="12"/>
    <s v="M"/>
    <x v="65"/>
    <x v="0"/>
  </r>
  <r>
    <n v="951353"/>
    <n v="1243"/>
    <s v="Spain"/>
    <d v="2023-07-10T00:29:00"/>
    <x v="3"/>
    <x v="65"/>
    <n v="9524"/>
    <s v="Spain"/>
    <x v="311"/>
    <x v="50"/>
    <x v="4"/>
    <n v="250000"/>
    <x v="28"/>
    <s v="M"/>
    <x v="32"/>
    <x v="3"/>
  </r>
  <r>
    <n v="951780"/>
    <n v="1945"/>
    <s v="USA"/>
    <d v="2023-07-24T00:35:00"/>
    <x v="1"/>
    <x v="85"/>
    <n v="6963"/>
    <s v="USA"/>
    <x v="200"/>
    <x v="67"/>
    <x v="2"/>
    <n v="150000"/>
    <x v="21"/>
    <s v="M"/>
    <x v="14"/>
    <x v="1"/>
  </r>
  <r>
    <n v="952497"/>
    <n v="1649"/>
    <s v="USA"/>
    <d v="2023-10-16T23:33:00"/>
    <x v="0"/>
    <x v="23"/>
    <n v="1132"/>
    <s v="USA"/>
    <x v="114"/>
    <x v="62"/>
    <x v="0"/>
    <n v="1000000"/>
    <x v="12"/>
    <s v="M"/>
    <x v="18"/>
    <x v="1"/>
  </r>
  <r>
    <n v="952618"/>
    <n v="1539"/>
    <s v="USA"/>
    <d v="2023-04-07T01:09:00"/>
    <x v="0"/>
    <x v="21"/>
    <n v="1048"/>
    <s v="USA"/>
    <x v="194"/>
    <x v="92"/>
    <x v="0"/>
    <n v="100000"/>
    <x v="4"/>
    <s v="F"/>
    <x v="38"/>
    <x v="1"/>
  </r>
  <r>
    <n v="953006"/>
    <n v="1500"/>
    <s v="USA"/>
    <d v="2023-11-16T00:34:00"/>
    <x v="2"/>
    <x v="77"/>
    <n v="9376"/>
    <s v="USA"/>
    <x v="40"/>
    <x v="21"/>
    <x v="1"/>
    <n v="250000"/>
    <x v="24"/>
    <s v="M"/>
    <x v="11"/>
    <x v="3"/>
  </r>
  <r>
    <n v="953922"/>
    <n v="1112"/>
    <s v="Spain"/>
    <d v="2023-10-07T00:04:00"/>
    <x v="2"/>
    <x v="67"/>
    <n v="4161"/>
    <s v="Spain"/>
    <x v="286"/>
    <x v="64"/>
    <x v="3"/>
    <n v="150000"/>
    <x v="29"/>
    <s v="F"/>
    <x v="35"/>
    <x v="3"/>
  </r>
  <r>
    <n v="953981"/>
    <n v="1513"/>
    <s v="USA"/>
    <d v="2023-10-05T00:28:00"/>
    <x v="0"/>
    <x v="3"/>
    <n v="9670"/>
    <s v="USA"/>
    <x v="75"/>
    <x v="39"/>
    <x v="2"/>
    <n v="150000"/>
    <x v="3"/>
    <s v="F"/>
    <x v="15"/>
    <x v="1"/>
  </r>
  <r>
    <n v="954429"/>
    <n v="1544"/>
    <s v="USA"/>
    <d v="2023-11-24T23:47:00"/>
    <x v="3"/>
    <x v="23"/>
    <n v="4753"/>
    <s v="USA"/>
    <x v="126"/>
    <x v="100"/>
    <x v="0"/>
    <n v="1000000"/>
    <x v="12"/>
    <s v="M"/>
    <x v="55"/>
    <x v="1"/>
  </r>
  <r>
    <n v="954631"/>
    <n v="1868"/>
    <s v="France"/>
    <d v="2023-03-03T00:28:00"/>
    <x v="0"/>
    <x v="61"/>
    <n v="8020"/>
    <s v="France"/>
    <x v="30"/>
    <x v="39"/>
    <x v="4"/>
    <n v="200000"/>
    <x v="28"/>
    <s v="M"/>
    <x v="22"/>
    <x v="1"/>
  </r>
  <r>
    <n v="957373"/>
    <n v="580"/>
    <s v="USA"/>
    <d v="2023-06-16T23:05:00"/>
    <x v="0"/>
    <x v="20"/>
    <n v="4659"/>
    <s v="USA"/>
    <x v="58"/>
    <x v="159"/>
    <x v="1"/>
    <n v="200000"/>
    <x v="17"/>
    <s v="F"/>
    <x v="32"/>
    <x v="0"/>
  </r>
  <r>
    <n v="957446"/>
    <n v="49"/>
    <s v="France"/>
    <d v="2023-09-18T00:17:00"/>
    <x v="0"/>
    <x v="23"/>
    <n v="5585"/>
    <s v="France"/>
    <x v="121"/>
    <x v="20"/>
    <x v="0"/>
    <n v="1000000"/>
    <x v="12"/>
    <s v="F"/>
    <x v="35"/>
    <x v="2"/>
  </r>
  <r>
    <n v="958196"/>
    <n v="1922"/>
    <s v="Spain"/>
    <d v="2023-01-08T00:48:00"/>
    <x v="0"/>
    <x v="27"/>
    <n v="3813"/>
    <s v="Spain"/>
    <x v="297"/>
    <x v="88"/>
    <x v="1"/>
    <n v="80000"/>
    <x v="7"/>
    <s v="F"/>
    <x v="0"/>
    <x v="1"/>
  </r>
  <r>
    <n v="959426"/>
    <n v="801"/>
    <s v="France"/>
    <d v="2023-11-06T00:09:00"/>
    <x v="3"/>
    <x v="74"/>
    <n v="6481"/>
    <s v="France"/>
    <x v="175"/>
    <x v="81"/>
    <x v="1"/>
    <n v="200000"/>
    <x v="18"/>
    <s v="M"/>
    <x v="55"/>
    <x v="0"/>
  </r>
  <r>
    <n v="959447"/>
    <n v="336"/>
    <s v="Spain"/>
    <d v="2023-04-10T01:31:00"/>
    <x v="1"/>
    <x v="73"/>
    <n v="7839"/>
    <s v="Spain"/>
    <x v="162"/>
    <x v="177"/>
    <x v="4"/>
    <n v="100000"/>
    <x v="25"/>
    <s v="F"/>
    <x v="47"/>
    <x v="2"/>
  </r>
  <r>
    <n v="960053"/>
    <n v="651"/>
    <s v="USA"/>
    <d v="2023-08-01T00:20:00"/>
    <x v="2"/>
    <x v="28"/>
    <n v="3417"/>
    <s v="USA"/>
    <x v="238"/>
    <x v="68"/>
    <x v="3"/>
    <n v="80000"/>
    <x v="20"/>
    <s v="F"/>
    <x v="57"/>
    <x v="0"/>
  </r>
  <r>
    <n v="960685"/>
    <n v="522"/>
    <s v="USA"/>
    <d v="2023-11-24T00:50:00"/>
    <x v="1"/>
    <x v="26"/>
    <n v="9772"/>
    <s v="USA"/>
    <x v="126"/>
    <x v="0"/>
    <x v="2"/>
    <n v="200000"/>
    <x v="19"/>
    <s v="F"/>
    <x v="55"/>
    <x v="0"/>
  </r>
  <r>
    <n v="961277"/>
    <n v="1721"/>
    <s v="Germany"/>
    <d v="2023-04-30T23:39:00"/>
    <x v="2"/>
    <x v="70"/>
    <n v="8615"/>
    <s v="Germany"/>
    <x v="295"/>
    <x v="101"/>
    <x v="3"/>
    <n v="150000"/>
    <x v="29"/>
    <s v="F"/>
    <x v="13"/>
    <x v="1"/>
  </r>
  <r>
    <n v="961533"/>
    <n v="424"/>
    <s v="Spain"/>
    <d v="2023-03-28T00:56:00"/>
    <x v="2"/>
    <x v="81"/>
    <n v="1084"/>
    <s v="Spain"/>
    <x v="83"/>
    <x v="150"/>
    <x v="4"/>
    <n v="100000"/>
    <x v="15"/>
    <s v="M"/>
    <x v="50"/>
    <x v="2"/>
  </r>
  <r>
    <n v="961949"/>
    <n v="1076"/>
    <s v="India"/>
    <d v="2023-10-05T00:01:00"/>
    <x v="2"/>
    <x v="47"/>
    <n v="2153"/>
    <s v="India"/>
    <x v="75"/>
    <x v="63"/>
    <x v="3"/>
    <n v="100000"/>
    <x v="20"/>
    <s v="F"/>
    <x v="65"/>
    <x v="3"/>
  </r>
  <r>
    <n v="962603"/>
    <n v="1743"/>
    <s v="USA"/>
    <d v="2023-05-07T00:20:00"/>
    <x v="2"/>
    <x v="64"/>
    <n v="6171"/>
    <s v="USA"/>
    <x v="37"/>
    <x v="68"/>
    <x v="2"/>
    <n v="100000"/>
    <x v="3"/>
    <s v="F"/>
    <x v="35"/>
    <x v="1"/>
  </r>
  <r>
    <n v="962712"/>
    <n v="340"/>
    <s v="France"/>
    <d v="2023-03-08T00:19:00"/>
    <x v="2"/>
    <x v="75"/>
    <n v="1633"/>
    <s v="France"/>
    <x v="5"/>
    <x v="167"/>
    <x v="1"/>
    <n v="50000"/>
    <x v="7"/>
    <s v="M"/>
    <x v="17"/>
    <x v="2"/>
  </r>
  <r>
    <n v="963906"/>
    <n v="1098"/>
    <s v="Singapore"/>
    <d v="2023-05-19T00:39:00"/>
    <x v="2"/>
    <x v="72"/>
    <n v="3431"/>
    <s v="Singapore"/>
    <x v="133"/>
    <x v="11"/>
    <x v="0"/>
    <n v="80000"/>
    <x v="4"/>
    <s v="M"/>
    <x v="34"/>
    <x v="3"/>
  </r>
  <r>
    <n v="964075"/>
    <n v="162"/>
    <s v="USA"/>
    <d v="2023-04-17T23:22:00"/>
    <x v="0"/>
    <x v="23"/>
    <n v="1275"/>
    <s v="USA"/>
    <x v="107"/>
    <x v="137"/>
    <x v="0"/>
    <n v="1000000"/>
    <x v="12"/>
    <s v="F"/>
    <x v="42"/>
    <x v="2"/>
  </r>
  <r>
    <n v="964231"/>
    <n v="759"/>
    <s v="USA"/>
    <d v="2023-10-27T01:14:00"/>
    <x v="2"/>
    <x v="65"/>
    <n v="6583"/>
    <s v="USA"/>
    <x v="34"/>
    <x v="156"/>
    <x v="4"/>
    <n v="250000"/>
    <x v="28"/>
    <s v="M"/>
    <x v="11"/>
    <x v="0"/>
  </r>
  <r>
    <n v="964791"/>
    <n v="1085"/>
    <s v="Spain"/>
    <d v="2023-10-27T00:04:00"/>
    <x v="1"/>
    <x v="39"/>
    <n v="4514"/>
    <s v="Spain"/>
    <x v="34"/>
    <x v="64"/>
    <x v="3"/>
    <n v="1000000"/>
    <x v="6"/>
    <s v="M"/>
    <x v="61"/>
    <x v="3"/>
  </r>
  <r>
    <n v="965923"/>
    <n v="1883"/>
    <s v="USA"/>
    <d v="2023-03-27T01:40:00"/>
    <x v="0"/>
    <x v="39"/>
    <n v="1548"/>
    <s v="USA"/>
    <x v="202"/>
    <x v="76"/>
    <x v="3"/>
    <n v="1000000"/>
    <x v="6"/>
    <s v="M"/>
    <x v="1"/>
    <x v="1"/>
  </r>
  <r>
    <n v="966739"/>
    <n v="881"/>
    <s v="France"/>
    <d v="2023-08-20T00:41:00"/>
    <x v="0"/>
    <x v="0"/>
    <n v="4693"/>
    <s v="France"/>
    <x v="251"/>
    <x v="60"/>
    <x v="0"/>
    <n v="200000"/>
    <x v="0"/>
    <s v="M"/>
    <x v="25"/>
    <x v="0"/>
  </r>
  <r>
    <n v="967619"/>
    <n v="897"/>
    <s v="USA"/>
    <d v="2023-06-27T23:21:00"/>
    <x v="3"/>
    <x v="15"/>
    <n v="3504"/>
    <s v="USA"/>
    <x v="328"/>
    <x v="69"/>
    <x v="0"/>
    <n v="150000"/>
    <x v="14"/>
    <s v="M"/>
    <x v="7"/>
    <x v="0"/>
  </r>
  <r>
    <n v="968469"/>
    <n v="711"/>
    <s v="USA"/>
    <d v="2023-09-17T00:15:00"/>
    <x v="3"/>
    <x v="78"/>
    <n v="187"/>
    <s v="USA"/>
    <x v="213"/>
    <x v="123"/>
    <x v="0"/>
    <n v="100000"/>
    <x v="12"/>
    <s v="M"/>
    <x v="72"/>
    <x v="0"/>
  </r>
  <r>
    <n v="968501"/>
    <n v="534"/>
    <s v="India"/>
    <d v="2023-09-26T00:47:00"/>
    <x v="1"/>
    <x v="11"/>
    <n v="98"/>
    <s v="India"/>
    <x v="239"/>
    <x v="75"/>
    <x v="1"/>
    <n v="150000"/>
    <x v="1"/>
    <s v="M"/>
    <x v="70"/>
    <x v="0"/>
  </r>
  <r>
    <n v="968680"/>
    <n v="362"/>
    <s v="India"/>
    <d v="2023-04-04T22:53:00"/>
    <x v="0"/>
    <x v="62"/>
    <n v="4761"/>
    <s v="India"/>
    <x v="127"/>
    <x v="178"/>
    <x v="2"/>
    <n v="150000"/>
    <x v="27"/>
    <s v="M"/>
    <x v="17"/>
    <x v="2"/>
  </r>
  <r>
    <n v="968730"/>
    <n v="407"/>
    <s v="France"/>
    <d v="2023-05-24T00:54:00"/>
    <x v="1"/>
    <x v="74"/>
    <n v="6326"/>
    <s v="France"/>
    <x v="164"/>
    <x v="73"/>
    <x v="1"/>
    <n v="200000"/>
    <x v="18"/>
    <s v="F"/>
    <x v="70"/>
    <x v="2"/>
  </r>
  <r>
    <n v="969517"/>
    <n v="1794"/>
    <s v="Australia"/>
    <d v="2023-12-28T01:14:00"/>
    <x v="2"/>
    <x v="23"/>
    <n v="7435"/>
    <s v="Australia"/>
    <x v="259"/>
    <x v="156"/>
    <x v="0"/>
    <n v="1000000"/>
    <x v="12"/>
    <s v="M"/>
    <x v="10"/>
    <x v="1"/>
  </r>
  <r>
    <n v="969765"/>
    <n v="850"/>
    <s v="USA"/>
    <d v="2023-02-16T01:46:00"/>
    <x v="3"/>
    <x v="39"/>
    <n v="3206"/>
    <s v="USA"/>
    <x v="197"/>
    <x v="129"/>
    <x v="3"/>
    <n v="1000000"/>
    <x v="6"/>
    <s v="F"/>
    <x v="44"/>
    <x v="0"/>
  </r>
  <r>
    <n v="971123"/>
    <n v="197"/>
    <s v="USA"/>
    <d v="2023-02-02T00:32:00"/>
    <x v="1"/>
    <x v="23"/>
    <n v="4194"/>
    <s v="USA"/>
    <x v="139"/>
    <x v="58"/>
    <x v="0"/>
    <n v="1000000"/>
    <x v="12"/>
    <s v="M"/>
    <x v="4"/>
    <x v="2"/>
  </r>
  <r>
    <n v="971900"/>
    <n v="1424"/>
    <s v="Spain"/>
    <d v="2023-03-19T00:16:00"/>
    <x v="1"/>
    <x v="23"/>
    <n v="4454"/>
    <s v="Spain"/>
    <x v="140"/>
    <x v="61"/>
    <x v="0"/>
    <n v="1000000"/>
    <x v="12"/>
    <s v="M"/>
    <x v="36"/>
    <x v="3"/>
  </r>
  <r>
    <n v="972030"/>
    <n v="854"/>
    <s v="USA"/>
    <d v="2023-03-31T01:46:00"/>
    <x v="1"/>
    <x v="23"/>
    <n v="6426"/>
    <s v="USA"/>
    <x v="60"/>
    <x v="129"/>
    <x v="0"/>
    <n v="1000000"/>
    <x v="12"/>
    <s v="F"/>
    <x v="57"/>
    <x v="0"/>
  </r>
  <r>
    <n v="973367"/>
    <n v="1170"/>
    <s v="Germany"/>
    <d v="2023-09-01T01:16:00"/>
    <x v="3"/>
    <x v="14"/>
    <n v="8512"/>
    <s v="Germany"/>
    <x v="271"/>
    <x v="84"/>
    <x v="3"/>
    <n v="200000"/>
    <x v="13"/>
    <s v="F"/>
    <x v="48"/>
    <x v="3"/>
  </r>
  <r>
    <n v="974557"/>
    <n v="1874"/>
    <s v="USA"/>
    <d v="2023-01-15T01:08:00"/>
    <x v="1"/>
    <x v="0"/>
    <n v="2721"/>
    <s v="USA"/>
    <x v="161"/>
    <x v="37"/>
    <x v="0"/>
    <n v="200000"/>
    <x v="0"/>
    <s v="M"/>
    <x v="66"/>
    <x v="1"/>
  </r>
  <r>
    <n v="975249"/>
    <n v="1044"/>
    <s v="India"/>
    <d v="2023-12-22T01:21:00"/>
    <x v="0"/>
    <x v="10"/>
    <n v="3988"/>
    <s v="India"/>
    <x v="217"/>
    <x v="128"/>
    <x v="0"/>
    <n v="250000"/>
    <x v="10"/>
    <s v="M"/>
    <x v="47"/>
    <x v="3"/>
  </r>
  <r>
    <n v="976000"/>
    <n v="484"/>
    <s v="USA"/>
    <d v="2023-06-12T23:43:00"/>
    <x v="3"/>
    <x v="2"/>
    <n v="6536"/>
    <s v="USA"/>
    <x v="342"/>
    <x v="169"/>
    <x v="2"/>
    <n v="100000"/>
    <x v="2"/>
    <s v="F"/>
    <x v="41"/>
    <x v="2"/>
  </r>
  <r>
    <n v="976435"/>
    <n v="704"/>
    <s v="USA"/>
    <d v="2023-09-26T01:20:00"/>
    <x v="2"/>
    <x v="3"/>
    <n v="5887"/>
    <s v="USA"/>
    <x v="239"/>
    <x v="8"/>
    <x v="2"/>
    <n v="150000"/>
    <x v="3"/>
    <s v="F"/>
    <x v="15"/>
    <x v="0"/>
  </r>
  <r>
    <n v="976870"/>
    <n v="357"/>
    <s v="Norway"/>
    <d v="2023-06-28T00:11:00"/>
    <x v="3"/>
    <x v="4"/>
    <n v="1226"/>
    <s v="Norway"/>
    <x v="285"/>
    <x v="10"/>
    <x v="0"/>
    <n v="200000"/>
    <x v="4"/>
    <s v="F"/>
    <x v="41"/>
    <x v="2"/>
  </r>
  <r>
    <n v="978487"/>
    <n v="767"/>
    <s v="USA"/>
    <d v="2023-06-20T23:31:00"/>
    <x v="0"/>
    <x v="5"/>
    <n v="8162"/>
    <s v="USA"/>
    <x v="168"/>
    <x v="57"/>
    <x v="2"/>
    <n v="150000"/>
    <x v="5"/>
    <s v="M"/>
    <x v="35"/>
    <x v="0"/>
  </r>
  <r>
    <n v="978518"/>
    <n v="1078"/>
    <s v="Australia"/>
    <d v="2023-01-01T01:04:00"/>
    <x v="2"/>
    <x v="6"/>
    <n v="448"/>
    <s v="Australia"/>
    <x v="330"/>
    <x v="121"/>
    <x v="3"/>
    <n v="150000"/>
    <x v="6"/>
    <s v="F"/>
    <x v="39"/>
    <x v="3"/>
  </r>
  <r>
    <n v="978704"/>
    <n v="307"/>
    <s v="France"/>
    <d v="2023-08-18T00:49:00"/>
    <x v="0"/>
    <x v="7"/>
    <n v="5631"/>
    <s v="France"/>
    <x v="150"/>
    <x v="35"/>
    <x v="1"/>
    <n v="150000"/>
    <x v="7"/>
    <s v="M"/>
    <x v="48"/>
    <x v="2"/>
  </r>
  <r>
    <n v="979166"/>
    <n v="995"/>
    <s v="France"/>
    <d v="2023-03-12T23:36:00"/>
    <x v="3"/>
    <x v="8"/>
    <n v="6809"/>
    <s v="France"/>
    <x v="242"/>
    <x v="135"/>
    <x v="1"/>
    <n v="150000"/>
    <x v="8"/>
    <s v="F"/>
    <x v="43"/>
    <x v="0"/>
  </r>
  <r>
    <n v="982672"/>
    <n v="1590"/>
    <s v="Singapore"/>
    <d v="2023-12-21T01:52:00"/>
    <x v="1"/>
    <x v="9"/>
    <n v="7371"/>
    <s v="Singapore"/>
    <x v="103"/>
    <x v="179"/>
    <x v="1"/>
    <n v="150000"/>
    <x v="9"/>
    <s v="M"/>
    <x v="45"/>
    <x v="1"/>
  </r>
  <r>
    <n v="982983"/>
    <n v="1842"/>
    <s v="Singapore"/>
    <d v="2023-01-12T00:34:00"/>
    <x v="3"/>
    <x v="10"/>
    <n v="6411"/>
    <s v="Singapore"/>
    <x v="76"/>
    <x v="21"/>
    <x v="0"/>
    <n v="250000"/>
    <x v="10"/>
    <s v="M"/>
    <x v="57"/>
    <x v="1"/>
  </r>
  <r>
    <n v="983456"/>
    <n v="177"/>
    <s v="India"/>
    <d v="2023-04-25T01:37:00"/>
    <x v="0"/>
    <x v="11"/>
    <n v="2938"/>
    <s v="India"/>
    <x v="134"/>
    <x v="109"/>
    <x v="1"/>
    <n v="150000"/>
    <x v="1"/>
    <s v="M"/>
    <x v="21"/>
    <x v="2"/>
  </r>
  <r>
    <n v="984155"/>
    <n v="1399"/>
    <s v="Australia"/>
    <d v="2023-10-25T00:08:00"/>
    <x v="1"/>
    <x v="12"/>
    <n v="5521"/>
    <s v="Australia"/>
    <x v="343"/>
    <x v="149"/>
    <x v="0"/>
    <n v="80000"/>
    <x v="11"/>
    <s v="F"/>
    <x v="32"/>
    <x v="3"/>
  </r>
  <r>
    <n v="985800"/>
    <n v="1225"/>
    <s v="Spain"/>
    <d v="2023-12-16T00:53:00"/>
    <x v="2"/>
    <x v="13"/>
    <n v="3508"/>
    <s v="Spain"/>
    <x v="257"/>
    <x v="36"/>
    <x v="0"/>
    <n v="100000"/>
    <x v="12"/>
    <s v="M"/>
    <x v="58"/>
    <x v="3"/>
  </r>
  <r>
    <n v="986036"/>
    <n v="1064"/>
    <s v="Austria"/>
    <d v="2023-10-30T22:33:00"/>
    <x v="3"/>
    <x v="14"/>
    <n v="855"/>
    <s v="Austria"/>
    <x v="300"/>
    <x v="17"/>
    <x v="3"/>
    <n v="200000"/>
    <x v="13"/>
    <s v="M"/>
    <x v="21"/>
    <x v="3"/>
  </r>
  <r>
    <n v="988105"/>
    <n v="1877"/>
    <s v="Spain"/>
    <d v="2023-06-25T01:16:00"/>
    <x v="3"/>
    <x v="15"/>
    <n v="9254"/>
    <s v="Spain"/>
    <x v="138"/>
    <x v="84"/>
    <x v="0"/>
    <n v="150000"/>
    <x v="14"/>
    <s v="M"/>
    <x v="13"/>
    <x v="1"/>
  </r>
  <r>
    <n v="988444"/>
    <n v="430"/>
    <s v="India"/>
    <d v="2023-08-04T01:09:00"/>
    <x v="0"/>
    <x v="16"/>
    <n v="9958"/>
    <s v="India"/>
    <x v="353"/>
    <x v="92"/>
    <x v="4"/>
    <n v="150000"/>
    <x v="15"/>
    <s v="M"/>
    <x v="43"/>
    <x v="2"/>
  </r>
  <r>
    <n v="990534"/>
    <n v="249"/>
    <s v="USA"/>
    <d v="2023-07-15T22:47:00"/>
    <x v="1"/>
    <x v="17"/>
    <n v="3459"/>
    <s v="USA"/>
    <x v="102"/>
    <x v="165"/>
    <x v="0"/>
    <n v="150000"/>
    <x v="14"/>
    <s v="M"/>
    <x v="30"/>
    <x v="2"/>
  </r>
  <r>
    <n v="990780"/>
    <n v="1068"/>
    <s v="Spain"/>
    <d v="2023-11-06T23:47:00"/>
    <x v="0"/>
    <x v="18"/>
    <n v="6407"/>
    <s v="Spain"/>
    <x v="175"/>
    <x v="100"/>
    <x v="2"/>
    <n v="100000"/>
    <x v="5"/>
    <s v="M"/>
    <x v="72"/>
    <x v="3"/>
  </r>
  <r>
    <n v="990832"/>
    <n v="9"/>
    <s v="France"/>
    <d v="2023-07-30T00:18:00"/>
    <x v="0"/>
    <x v="0"/>
    <n v="8202"/>
    <s v="France"/>
    <x v="113"/>
    <x v="139"/>
    <x v="0"/>
    <n v="200000"/>
    <x v="0"/>
    <s v="F"/>
    <x v="21"/>
    <x v="2"/>
  </r>
  <r>
    <n v="990950"/>
    <n v="1948"/>
    <s v="USA"/>
    <d v="2023-06-24T00:12:00"/>
    <x v="1"/>
    <x v="35"/>
    <n v="2414"/>
    <s v="USA"/>
    <x v="53"/>
    <x v="19"/>
    <x v="4"/>
    <n v="100000"/>
    <x v="15"/>
    <s v="F"/>
    <x v="33"/>
    <x v="1"/>
  </r>
  <r>
    <n v="991491"/>
    <n v="1789"/>
    <s v="Germany"/>
    <d v="2023-11-09T23:41:00"/>
    <x v="2"/>
    <x v="5"/>
    <n v="5990"/>
    <s v="Germany"/>
    <x v="119"/>
    <x v="155"/>
    <x v="2"/>
    <n v="150000"/>
    <x v="5"/>
    <s v="F"/>
    <x v="31"/>
    <x v="1"/>
  </r>
  <r>
    <n v="991744"/>
    <n v="303"/>
    <s v="India"/>
    <d v="2023-10-17T02:29:00"/>
    <x v="0"/>
    <x v="28"/>
    <n v="6212"/>
    <s v="India"/>
    <x v="152"/>
    <x v="180"/>
    <x v="3"/>
    <n v="80000"/>
    <x v="20"/>
    <s v="F"/>
    <x v="38"/>
    <x v="2"/>
  </r>
  <r>
    <n v="992007"/>
    <n v="576"/>
    <s v="USA"/>
    <d v="2023-08-02T23:57:00"/>
    <x v="3"/>
    <x v="37"/>
    <n v="839"/>
    <s v="USA"/>
    <x v="159"/>
    <x v="116"/>
    <x v="3"/>
    <n v="150000"/>
    <x v="6"/>
    <s v="M"/>
    <x v="59"/>
    <x v="0"/>
  </r>
  <r>
    <n v="992535"/>
    <n v="1239"/>
    <s v="Spain"/>
    <d v="2023-01-12T22:55:00"/>
    <x v="0"/>
    <x v="22"/>
    <n v="2549"/>
    <s v="Spain"/>
    <x v="76"/>
    <x v="125"/>
    <x v="3"/>
    <n v="100000"/>
    <x v="13"/>
    <s v="F"/>
    <x v="46"/>
    <x v="3"/>
  </r>
  <r>
    <n v="993121"/>
    <n v="864"/>
    <s v="USA"/>
    <d v="2023-05-08T23:56:00"/>
    <x v="0"/>
    <x v="23"/>
    <n v="4384"/>
    <s v="USA"/>
    <x v="215"/>
    <x v="138"/>
    <x v="0"/>
    <n v="1000000"/>
    <x v="12"/>
    <s v="F"/>
    <x v="61"/>
    <x v="0"/>
  </r>
  <r>
    <n v="993369"/>
    <n v="1454"/>
    <s v="Spain"/>
    <d v="2023-08-12T00:46:00"/>
    <x v="0"/>
    <x v="77"/>
    <n v="8577"/>
    <s v="Spain"/>
    <x v="166"/>
    <x v="77"/>
    <x v="1"/>
    <n v="250000"/>
    <x v="24"/>
    <s v="F"/>
    <x v="37"/>
    <x v="3"/>
  </r>
  <r>
    <n v="993889"/>
    <n v="562"/>
    <s v="Singapore"/>
    <d v="2023-03-21T23:36:00"/>
    <x v="0"/>
    <x v="46"/>
    <n v="2862"/>
    <s v="Singapore"/>
    <x v="28"/>
    <x v="135"/>
    <x v="1"/>
    <n v="30000"/>
    <x v="26"/>
    <s v="F"/>
    <x v="21"/>
    <x v="0"/>
  </r>
  <r>
    <n v="993964"/>
    <n v="1143"/>
    <s v="Italy"/>
    <d v="2023-12-28T23:59:00"/>
    <x v="1"/>
    <x v="1"/>
    <n v="8644"/>
    <s v="Italy"/>
    <x v="259"/>
    <x v="181"/>
    <x v="1"/>
    <n v="200000"/>
    <x v="1"/>
    <s v="M"/>
    <x v="0"/>
    <x v="3"/>
  </r>
  <r>
    <n v="995268"/>
    <n v="1434"/>
    <s v="USA"/>
    <d v="2023-06-03T00:29:00"/>
    <x v="2"/>
    <x v="42"/>
    <n v="3688"/>
    <s v="USA"/>
    <x v="24"/>
    <x v="50"/>
    <x v="0"/>
    <n v="200000"/>
    <x v="14"/>
    <s v="F"/>
    <x v="48"/>
    <x v="3"/>
  </r>
  <r>
    <n v="995410"/>
    <n v="1355"/>
    <s v="Spain"/>
    <d v="2023-04-29T01:00:00"/>
    <x v="2"/>
    <x v="78"/>
    <n v="114"/>
    <s v="Spain"/>
    <x v="1"/>
    <x v="168"/>
    <x v="0"/>
    <n v="100000"/>
    <x v="12"/>
    <s v="M"/>
    <x v="69"/>
    <x v="3"/>
  </r>
  <r>
    <n v="996729"/>
    <n v="1416"/>
    <s v="USA"/>
    <d v="2023-03-30T00:24:00"/>
    <x v="2"/>
    <x v="13"/>
    <n v="3726"/>
    <s v="USA"/>
    <x v="101"/>
    <x v="115"/>
    <x v="0"/>
    <n v="100000"/>
    <x v="12"/>
    <s v="F"/>
    <x v="58"/>
    <x v="3"/>
  </r>
  <r>
    <n v="996929"/>
    <n v="1209"/>
    <s v="Finland"/>
    <d v="2023-05-27T00:50:00"/>
    <x v="1"/>
    <x v="7"/>
    <n v="3144"/>
    <s v="Finland"/>
    <x v="278"/>
    <x v="0"/>
    <x v="1"/>
    <n v="150000"/>
    <x v="7"/>
    <s v="M"/>
    <x v="4"/>
    <x v="3"/>
  </r>
  <r>
    <n v="997669"/>
    <n v="475"/>
    <s v="USA"/>
    <d v="2023-01-22T23:19:00"/>
    <x v="3"/>
    <x v="40"/>
    <n v="4684"/>
    <s v="USA"/>
    <x v="304"/>
    <x v="24"/>
    <x v="2"/>
    <n v="150000"/>
    <x v="2"/>
    <s v="F"/>
    <x v="66"/>
    <x v="2"/>
  </r>
  <r>
    <n v="998784"/>
    <n v="30"/>
    <s v="France"/>
    <d v="2023-05-08T00:36:00"/>
    <x v="0"/>
    <x v="74"/>
    <n v="3801"/>
    <s v="France"/>
    <x v="215"/>
    <x v="120"/>
    <x v="1"/>
    <n v="200000"/>
    <x v="18"/>
    <s v="F"/>
    <x v="54"/>
    <x v="2"/>
  </r>
  <r>
    <n v="998926"/>
    <n v="1677"/>
    <s v="Italy"/>
    <d v="2023-08-05T01:29:00"/>
    <x v="3"/>
    <x v="23"/>
    <n v="9356"/>
    <s v="Italy"/>
    <x v="188"/>
    <x v="103"/>
    <x v="0"/>
    <n v="1000000"/>
    <x v="12"/>
    <s v="F"/>
    <x v="66"/>
    <x v="1"/>
  </r>
  <r>
    <n v="999060"/>
    <n v="773"/>
    <s v="USA"/>
    <d v="2023-05-17T00:56:00"/>
    <x v="1"/>
    <x v="55"/>
    <n v="2259"/>
    <s v="USA"/>
    <x v="46"/>
    <x v="150"/>
    <x v="2"/>
    <n v="80000"/>
    <x v="27"/>
    <s v="M"/>
    <x v="55"/>
    <x v="0"/>
  </r>
  <r>
    <n v="999352"/>
    <n v="214"/>
    <s v="USA"/>
    <d v="2023-12-07T23:48:00"/>
    <x v="2"/>
    <x v="83"/>
    <n v="8616"/>
    <s v="USA"/>
    <x v="226"/>
    <x v="153"/>
    <x v="2"/>
    <n v="100000"/>
    <x v="19"/>
    <s v="F"/>
    <x v="65"/>
    <x v="2"/>
  </r>
  <r>
    <n v="999621"/>
    <n v="1643"/>
    <s v="Australia"/>
    <d v="2023-07-31T00:23:00"/>
    <x v="2"/>
    <x v="70"/>
    <n v="4264"/>
    <s v="Australia"/>
    <x v="25"/>
    <x v="6"/>
    <x v="3"/>
    <n v="150000"/>
    <x v="29"/>
    <s v="F"/>
    <x v="3"/>
    <x v="1"/>
  </r>
  <r>
    <n v="1000209"/>
    <n v="240"/>
    <s v="USA"/>
    <d v="2023-08-22T01:00:00"/>
    <x v="3"/>
    <x v="84"/>
    <n v="3641"/>
    <s v="USA"/>
    <x v="183"/>
    <x v="168"/>
    <x v="2"/>
    <n v="100000"/>
    <x v="3"/>
    <s v="M"/>
    <x v="42"/>
    <x v="2"/>
  </r>
  <r>
    <n v="1000225"/>
    <n v="1329"/>
    <s v="USA"/>
    <d v="2023-08-25T23:04:00"/>
    <x v="2"/>
    <x v="65"/>
    <n v="3066"/>
    <s v="USA"/>
    <x v="332"/>
    <x v="182"/>
    <x v="4"/>
    <n v="250000"/>
    <x v="28"/>
    <s v="M"/>
    <x v="14"/>
    <x v="3"/>
  </r>
  <r>
    <n v="1000578"/>
    <n v="1344"/>
    <s v="Spain"/>
    <d v="2023-05-24T23:32:00"/>
    <x v="3"/>
    <x v="85"/>
    <n v="2515"/>
    <s v="Spain"/>
    <x v="164"/>
    <x v="91"/>
    <x v="2"/>
    <n v="150000"/>
    <x v="21"/>
    <s v="M"/>
    <x v="28"/>
    <x v="3"/>
  </r>
  <r>
    <n v="1000651"/>
    <n v="1883"/>
    <s v="USA"/>
    <d v="2023-03-25T22:47:00"/>
    <x v="1"/>
    <x v="23"/>
    <n v="1594"/>
    <s v="USA"/>
    <x v="118"/>
    <x v="165"/>
    <x v="0"/>
    <n v="1000000"/>
    <x v="12"/>
    <s v="M"/>
    <x v="1"/>
    <x v="1"/>
  </r>
  <r>
    <n v="1001243"/>
    <n v="318"/>
    <s v="India"/>
    <d v="2023-05-16T01:12:00"/>
    <x v="1"/>
    <x v="21"/>
    <n v="3114"/>
    <s v="India"/>
    <x v="144"/>
    <x v="52"/>
    <x v="0"/>
    <n v="100000"/>
    <x v="4"/>
    <s v="F"/>
    <x v="31"/>
    <x v="2"/>
  </r>
  <r>
    <n v="1001621"/>
    <n v="1506"/>
    <s v="USA"/>
    <d v="2023-12-08T00:45:00"/>
    <x v="3"/>
    <x v="77"/>
    <n v="9768"/>
    <s v="USA"/>
    <x v="263"/>
    <x v="29"/>
    <x v="1"/>
    <n v="250000"/>
    <x v="24"/>
    <s v="M"/>
    <x v="65"/>
    <x v="1"/>
  </r>
  <r>
    <n v="1001825"/>
    <n v="1304"/>
    <s v="Italy"/>
    <d v="2023-06-01T23:03:00"/>
    <x v="2"/>
    <x v="1"/>
    <n v="7174"/>
    <s v="Italy"/>
    <x v="228"/>
    <x v="183"/>
    <x v="1"/>
    <n v="200000"/>
    <x v="1"/>
    <s v="F"/>
    <x v="65"/>
    <x v="3"/>
  </r>
  <r>
    <n v="1003235"/>
    <n v="1435"/>
    <s v="France"/>
    <d v="2023-04-05T02:22:00"/>
    <x v="1"/>
    <x v="3"/>
    <n v="9029"/>
    <s v="France"/>
    <x v="95"/>
    <x v="41"/>
    <x v="2"/>
    <n v="150000"/>
    <x v="3"/>
    <s v="F"/>
    <x v="23"/>
    <x v="3"/>
  </r>
  <r>
    <n v="1003833"/>
    <n v="1270"/>
    <s v="USA"/>
    <d v="2023-03-14T23:37:00"/>
    <x v="3"/>
    <x v="23"/>
    <n v="5170"/>
    <s v="USA"/>
    <x v="97"/>
    <x v="78"/>
    <x v="0"/>
    <n v="1000000"/>
    <x v="12"/>
    <s v="M"/>
    <x v="68"/>
    <x v="3"/>
  </r>
  <r>
    <n v="1004136"/>
    <n v="305"/>
    <s v="Australia"/>
    <d v="2023-04-25T23:44:00"/>
    <x v="1"/>
    <x v="61"/>
    <n v="4465"/>
    <s v="Australia"/>
    <x v="134"/>
    <x v="146"/>
    <x v="4"/>
    <n v="200000"/>
    <x v="28"/>
    <s v="F"/>
    <x v="30"/>
    <x v="2"/>
  </r>
  <r>
    <n v="1004148"/>
    <n v="9"/>
    <s v="France"/>
    <d v="2023-10-01T01:03:00"/>
    <x v="1"/>
    <x v="20"/>
    <n v="9670"/>
    <s v="France"/>
    <x v="142"/>
    <x v="130"/>
    <x v="1"/>
    <n v="200000"/>
    <x v="17"/>
    <s v="F"/>
    <x v="21"/>
    <x v="2"/>
  </r>
  <r>
    <n v="1004722"/>
    <n v="1176"/>
    <s v="USA"/>
    <d v="2023-06-04T01:21:00"/>
    <x v="1"/>
    <x v="86"/>
    <n v="315"/>
    <s v="USA"/>
    <x v="190"/>
    <x v="128"/>
    <x v="0"/>
    <n v="150000"/>
    <x v="11"/>
    <s v="F"/>
    <x v="20"/>
    <x v="3"/>
  </r>
  <r>
    <n v="1004737"/>
    <n v="324"/>
    <s v="Australia"/>
    <d v="2023-08-06T02:00:00"/>
    <x v="0"/>
    <x v="10"/>
    <n v="9848"/>
    <s v="Australia"/>
    <x v="187"/>
    <x v="23"/>
    <x v="0"/>
    <n v="250000"/>
    <x v="10"/>
    <s v="F"/>
    <x v="9"/>
    <x v="2"/>
  </r>
  <r>
    <n v="1005091"/>
    <n v="750"/>
    <s v="Finland"/>
    <d v="2023-03-29T23:19:00"/>
    <x v="3"/>
    <x v="23"/>
    <n v="6680"/>
    <s v="Finland"/>
    <x v="284"/>
    <x v="24"/>
    <x v="0"/>
    <n v="1000000"/>
    <x v="12"/>
    <s v="M"/>
    <x v="28"/>
    <x v="0"/>
  </r>
  <r>
    <n v="1006791"/>
    <n v="425"/>
    <s v="India"/>
    <d v="2023-07-18T22:51:00"/>
    <x v="2"/>
    <x v="3"/>
    <n v="8280"/>
    <s v="India"/>
    <x v="334"/>
    <x v="184"/>
    <x v="2"/>
    <n v="150000"/>
    <x v="3"/>
    <s v="M"/>
    <x v="66"/>
    <x v="2"/>
  </r>
  <r>
    <n v="1007141"/>
    <n v="50"/>
    <s v="Norway"/>
    <d v="2023-12-12T22:12:00"/>
    <x v="3"/>
    <x v="5"/>
    <n v="2689"/>
    <s v="Norway"/>
    <x v="92"/>
    <x v="185"/>
    <x v="2"/>
    <n v="150000"/>
    <x v="5"/>
    <s v="F"/>
    <x v="69"/>
    <x v="2"/>
  </r>
  <r>
    <n v="1007700"/>
    <n v="841"/>
    <s v="USA"/>
    <d v="2023-09-10T23:34:00"/>
    <x v="2"/>
    <x v="44"/>
    <n v="7646"/>
    <s v="USA"/>
    <x v="22"/>
    <x v="99"/>
    <x v="0"/>
    <n v="100000"/>
    <x v="12"/>
    <s v="F"/>
    <x v="53"/>
    <x v="0"/>
  </r>
  <r>
    <n v="1008914"/>
    <n v="247"/>
    <s v="France"/>
    <d v="2023-03-14T00:38:00"/>
    <x v="2"/>
    <x v="10"/>
    <n v="1718"/>
    <s v="France"/>
    <x v="97"/>
    <x v="162"/>
    <x v="0"/>
    <n v="250000"/>
    <x v="10"/>
    <s v="M"/>
    <x v="23"/>
    <x v="2"/>
  </r>
  <r>
    <n v="1011917"/>
    <n v="1586"/>
    <s v="France"/>
    <d v="2023-06-21T01:16:00"/>
    <x v="3"/>
    <x v="57"/>
    <n v="498"/>
    <s v="France"/>
    <x v="240"/>
    <x v="84"/>
    <x v="0"/>
    <n v="80000"/>
    <x v="0"/>
    <s v="F"/>
    <x v="53"/>
    <x v="1"/>
  </r>
  <r>
    <n v="1012304"/>
    <n v="1253"/>
    <s v="USA"/>
    <d v="2023-01-22T00:24:00"/>
    <x v="2"/>
    <x v="61"/>
    <n v="6132"/>
    <s v="USA"/>
    <x v="304"/>
    <x v="115"/>
    <x v="4"/>
    <n v="200000"/>
    <x v="28"/>
    <s v="F"/>
    <x v="33"/>
    <x v="3"/>
  </r>
  <r>
    <n v="1013457"/>
    <n v="313"/>
    <s v="India"/>
    <d v="2023-07-17T00:44:00"/>
    <x v="2"/>
    <x v="23"/>
    <n v="3289"/>
    <s v="India"/>
    <x v="212"/>
    <x v="85"/>
    <x v="0"/>
    <n v="1000000"/>
    <x v="12"/>
    <s v="F"/>
    <x v="57"/>
    <x v="2"/>
  </r>
  <r>
    <n v="1013492"/>
    <n v="1294"/>
    <s v="France"/>
    <d v="2023-11-23T23:39:00"/>
    <x v="3"/>
    <x v="14"/>
    <n v="4442"/>
    <s v="France"/>
    <x v="7"/>
    <x v="101"/>
    <x v="3"/>
    <n v="200000"/>
    <x v="13"/>
    <s v="F"/>
    <x v="26"/>
    <x v="3"/>
  </r>
  <r>
    <n v="1014185"/>
    <n v="1359"/>
    <s v="USA"/>
    <d v="2023-11-15T00:25:00"/>
    <x v="3"/>
    <x v="85"/>
    <n v="2585"/>
    <s v="USA"/>
    <x v="355"/>
    <x v="148"/>
    <x v="2"/>
    <n v="150000"/>
    <x v="21"/>
    <s v="M"/>
    <x v="61"/>
    <x v="3"/>
  </r>
  <r>
    <n v="1014215"/>
    <n v="1558"/>
    <s v="Finland"/>
    <d v="2023-06-10T01:02:00"/>
    <x v="3"/>
    <x v="75"/>
    <n v="858"/>
    <s v="Finland"/>
    <x v="117"/>
    <x v="186"/>
    <x v="1"/>
    <n v="50000"/>
    <x v="7"/>
    <s v="F"/>
    <x v="69"/>
    <x v="1"/>
  </r>
  <r>
    <n v="1014724"/>
    <n v="744"/>
    <s v="Finland"/>
    <d v="2023-12-17T23:53:00"/>
    <x v="0"/>
    <x v="47"/>
    <n v="231"/>
    <s v="Finland"/>
    <x v="72"/>
    <x v="187"/>
    <x v="3"/>
    <n v="100000"/>
    <x v="20"/>
    <s v="M"/>
    <x v="19"/>
    <x v="0"/>
  </r>
  <r>
    <n v="1015146"/>
    <n v="1469"/>
    <s v="Italy"/>
    <d v="2023-04-11T01:22:00"/>
    <x v="2"/>
    <x v="59"/>
    <n v="9395"/>
    <s v="Italy"/>
    <x v="147"/>
    <x v="142"/>
    <x v="1"/>
    <n v="100000"/>
    <x v="1"/>
    <s v="F"/>
    <x v="4"/>
    <x v="3"/>
  </r>
  <r>
    <n v="1016109"/>
    <n v="1256"/>
    <s v="Spain"/>
    <d v="2023-12-30T23:14:00"/>
    <x v="0"/>
    <x v="86"/>
    <n v="8981"/>
    <s v="Spain"/>
    <x v="2"/>
    <x v="70"/>
    <x v="0"/>
    <n v="150000"/>
    <x v="11"/>
    <s v="M"/>
    <x v="3"/>
    <x v="3"/>
  </r>
  <r>
    <n v="1016456"/>
    <n v="69"/>
    <s v="USA"/>
    <d v="2023-09-25T22:43:00"/>
    <x v="1"/>
    <x v="35"/>
    <n v="1984"/>
    <s v="USA"/>
    <x v="43"/>
    <x v="188"/>
    <x v="4"/>
    <n v="100000"/>
    <x v="15"/>
    <s v="M"/>
    <x v="36"/>
    <x v="2"/>
  </r>
  <r>
    <n v="1016563"/>
    <n v="216"/>
    <s v="India"/>
    <d v="2023-11-08T23:53:00"/>
    <x v="3"/>
    <x v="88"/>
    <n v="8735"/>
    <s v="India"/>
    <x v="27"/>
    <x v="187"/>
    <x v="3"/>
    <n v="30000"/>
    <x v="29"/>
    <s v="M"/>
    <x v="23"/>
    <x v="2"/>
  </r>
  <r>
    <n v="1017548"/>
    <n v="187"/>
    <s v="France"/>
    <d v="2023-02-13T01:23:00"/>
    <x v="2"/>
    <x v="28"/>
    <n v="7555"/>
    <s v="France"/>
    <x v="301"/>
    <x v="83"/>
    <x v="3"/>
    <n v="80000"/>
    <x v="20"/>
    <s v="F"/>
    <x v="17"/>
    <x v="2"/>
  </r>
  <r>
    <n v="1018145"/>
    <n v="523"/>
    <s v="USA"/>
    <d v="2023-11-09T23:20:00"/>
    <x v="0"/>
    <x v="23"/>
    <n v="9449"/>
    <s v="USA"/>
    <x v="119"/>
    <x v="27"/>
    <x v="0"/>
    <n v="1000000"/>
    <x v="12"/>
    <s v="M"/>
    <x v="47"/>
    <x v="0"/>
  </r>
  <r>
    <n v="1018282"/>
    <n v="814"/>
    <s v="USA"/>
    <d v="2023-12-07T00:33:00"/>
    <x v="3"/>
    <x v="1"/>
    <n v="6590"/>
    <s v="USA"/>
    <x v="226"/>
    <x v="53"/>
    <x v="1"/>
    <n v="200000"/>
    <x v="1"/>
    <s v="F"/>
    <x v="52"/>
    <x v="0"/>
  </r>
  <r>
    <n v="1018548"/>
    <n v="442"/>
    <s v="USA"/>
    <d v="2023-03-07T23:24:00"/>
    <x v="3"/>
    <x v="12"/>
    <n v="8622"/>
    <s v="USA"/>
    <x v="87"/>
    <x v="56"/>
    <x v="0"/>
    <n v="80000"/>
    <x v="11"/>
    <s v="M"/>
    <x v="14"/>
    <x v="2"/>
  </r>
  <r>
    <n v="1019737"/>
    <n v="1970"/>
    <s v="France"/>
    <d v="2023-06-04T23:45:00"/>
    <x v="1"/>
    <x v="70"/>
    <n v="5789"/>
    <s v="France"/>
    <x v="190"/>
    <x v="164"/>
    <x v="3"/>
    <n v="150000"/>
    <x v="29"/>
    <s v="M"/>
    <x v="33"/>
    <x v="1"/>
  </r>
  <r>
    <n v="1020737"/>
    <n v="575"/>
    <s v="India"/>
    <d v="2023-12-07T01:58:00"/>
    <x v="3"/>
    <x v="72"/>
    <n v="7392"/>
    <s v="India"/>
    <x v="226"/>
    <x v="157"/>
    <x v="0"/>
    <n v="80000"/>
    <x v="4"/>
    <s v="F"/>
    <x v="67"/>
    <x v="0"/>
  </r>
  <r>
    <n v="1021024"/>
    <n v="283"/>
    <s v="USA"/>
    <d v="2023-07-05T00:29:00"/>
    <x v="1"/>
    <x v="77"/>
    <n v="2928"/>
    <s v="USA"/>
    <x v="324"/>
    <x v="50"/>
    <x v="1"/>
    <n v="250000"/>
    <x v="24"/>
    <s v="M"/>
    <x v="65"/>
    <x v="2"/>
  </r>
  <r>
    <n v="1023043"/>
    <n v="1237"/>
    <s v="USA"/>
    <d v="2023-08-28T00:25:00"/>
    <x v="3"/>
    <x v="84"/>
    <n v="534"/>
    <s v="USA"/>
    <x v="207"/>
    <x v="148"/>
    <x v="2"/>
    <n v="100000"/>
    <x v="3"/>
    <s v="F"/>
    <x v="27"/>
    <x v="3"/>
  </r>
  <r>
    <n v="1024120"/>
    <n v="1323"/>
    <s v="Switzerland"/>
    <d v="2023-02-07T00:48:00"/>
    <x v="2"/>
    <x v="82"/>
    <n v="2228"/>
    <s v="Switzerland"/>
    <x v="73"/>
    <x v="88"/>
    <x v="2"/>
    <n v="100000"/>
    <x v="19"/>
    <s v="F"/>
    <x v="49"/>
    <x v="3"/>
  </r>
  <r>
    <n v="1024270"/>
    <n v="1292"/>
    <s v="USA"/>
    <d v="2023-05-04T01:52:00"/>
    <x v="1"/>
    <x v="4"/>
    <n v="114"/>
    <s v="USA"/>
    <x v="356"/>
    <x v="179"/>
    <x v="0"/>
    <n v="200000"/>
    <x v="4"/>
    <s v="F"/>
    <x v="4"/>
    <x v="3"/>
  </r>
  <r>
    <n v="1025204"/>
    <n v="1504"/>
    <s v="France"/>
    <d v="2023-07-15T00:17:00"/>
    <x v="2"/>
    <x v="86"/>
    <n v="1043"/>
    <s v="France"/>
    <x v="102"/>
    <x v="20"/>
    <x v="0"/>
    <n v="150000"/>
    <x v="11"/>
    <s v="F"/>
    <x v="19"/>
    <x v="1"/>
  </r>
  <r>
    <n v="1025560"/>
    <n v="1534"/>
    <s v="USA"/>
    <d v="2023-04-13T01:47:00"/>
    <x v="0"/>
    <x v="39"/>
    <n v="3748"/>
    <s v="USA"/>
    <x v="260"/>
    <x v="189"/>
    <x v="3"/>
    <n v="1000000"/>
    <x v="6"/>
    <s v="F"/>
    <x v="65"/>
    <x v="1"/>
  </r>
  <r>
    <n v="1026131"/>
    <n v="1642"/>
    <s v="Italy"/>
    <d v="2023-01-19T00:26:00"/>
    <x v="2"/>
    <x v="87"/>
    <n v="2027"/>
    <s v="Italy"/>
    <x v="18"/>
    <x v="151"/>
    <x v="0"/>
    <n v="100000"/>
    <x v="16"/>
    <s v="M"/>
    <x v="9"/>
    <x v="1"/>
  </r>
  <r>
    <n v="1026611"/>
    <n v="899"/>
    <s v="USA"/>
    <d v="2023-01-31T00:58:00"/>
    <x v="2"/>
    <x v="23"/>
    <n v="2950"/>
    <s v="USA"/>
    <x v="236"/>
    <x v="28"/>
    <x v="0"/>
    <n v="1000000"/>
    <x v="12"/>
    <s v="F"/>
    <x v="21"/>
    <x v="0"/>
  </r>
  <r>
    <n v="1028549"/>
    <n v="950"/>
    <s v="France"/>
    <d v="2023-06-05T01:04:00"/>
    <x v="2"/>
    <x v="25"/>
    <n v="6236"/>
    <s v="France"/>
    <x v="12"/>
    <x v="121"/>
    <x v="1"/>
    <n v="150000"/>
    <x v="17"/>
    <s v="M"/>
    <x v="54"/>
    <x v="0"/>
  </r>
  <r>
    <n v="1028877"/>
    <n v="1695"/>
    <s v="Spain"/>
    <d v="2023-07-31T23:32:00"/>
    <x v="2"/>
    <x v="30"/>
    <n v="8062"/>
    <s v="Spain"/>
    <x v="25"/>
    <x v="91"/>
    <x v="2"/>
    <n v="150000"/>
    <x v="21"/>
    <s v="F"/>
    <x v="2"/>
    <x v="1"/>
  </r>
  <r>
    <n v="1029432"/>
    <n v="169"/>
    <s v="France"/>
    <d v="2023-08-10T23:03:00"/>
    <x v="3"/>
    <x v="64"/>
    <n v="9527"/>
    <s v="France"/>
    <x v="347"/>
    <x v="183"/>
    <x v="2"/>
    <n v="100000"/>
    <x v="3"/>
    <s v="F"/>
    <x v="53"/>
    <x v="2"/>
  </r>
  <r>
    <n v="1031465"/>
    <n v="808"/>
    <s v="USA"/>
    <d v="2023-11-22T23:17:00"/>
    <x v="2"/>
    <x v="36"/>
    <n v="7817"/>
    <s v="USA"/>
    <x v="357"/>
    <x v="190"/>
    <x v="0"/>
    <n v="150000"/>
    <x v="10"/>
    <s v="F"/>
    <x v="10"/>
    <x v="0"/>
  </r>
  <r>
    <n v="1031756"/>
    <n v="1053"/>
    <s v="India"/>
    <d v="2023-04-08T23:56:00"/>
    <x v="2"/>
    <x v="65"/>
    <n v="8172"/>
    <s v="India"/>
    <x v="348"/>
    <x v="138"/>
    <x v="4"/>
    <n v="250000"/>
    <x v="28"/>
    <s v="F"/>
    <x v="25"/>
    <x v="3"/>
  </r>
  <r>
    <n v="1032588"/>
    <n v="588"/>
    <s v="Italy"/>
    <d v="2023-11-11T00:50:00"/>
    <x v="0"/>
    <x v="38"/>
    <n v="6085"/>
    <s v="Italy"/>
    <x v="68"/>
    <x v="0"/>
    <x v="2"/>
    <n v="100000"/>
    <x v="22"/>
    <s v="F"/>
    <x v="53"/>
    <x v="0"/>
  </r>
  <r>
    <n v="1033000"/>
    <n v="327"/>
    <s v="India"/>
    <d v="2023-03-10T23:26:00"/>
    <x v="1"/>
    <x v="39"/>
    <n v="3478"/>
    <s v="India"/>
    <x v="358"/>
    <x v="191"/>
    <x v="3"/>
    <n v="1000000"/>
    <x v="6"/>
    <s v="F"/>
    <x v="24"/>
    <x v="2"/>
  </r>
  <r>
    <n v="1033341"/>
    <n v="537"/>
    <s v="Australia"/>
    <d v="2023-12-06T00:44:00"/>
    <x v="0"/>
    <x v="40"/>
    <n v="1935"/>
    <s v="Australia"/>
    <x v="136"/>
    <x v="85"/>
    <x v="2"/>
    <n v="150000"/>
    <x v="2"/>
    <s v="F"/>
    <x v="30"/>
    <x v="0"/>
  </r>
  <r>
    <n v="1033877"/>
    <n v="13"/>
    <s v="Spain"/>
    <d v="2023-02-26T01:42:00"/>
    <x v="1"/>
    <x v="77"/>
    <n v="4612"/>
    <s v="Spain"/>
    <x v="269"/>
    <x v="14"/>
    <x v="1"/>
    <n v="250000"/>
    <x v="24"/>
    <s v="F"/>
    <x v="58"/>
    <x v="2"/>
  </r>
  <r>
    <n v="1034415"/>
    <n v="427"/>
    <s v="India"/>
    <d v="2023-04-03T00:59:00"/>
    <x v="2"/>
    <x v="67"/>
    <n v="3464"/>
    <s v="India"/>
    <x v="129"/>
    <x v="192"/>
    <x v="3"/>
    <n v="150000"/>
    <x v="29"/>
    <s v="M"/>
    <x v="0"/>
    <x v="2"/>
  </r>
  <r>
    <n v="1036614"/>
    <n v="898"/>
    <s v="USA"/>
    <d v="2023-01-20T00:00:00"/>
    <x v="1"/>
    <x v="2"/>
    <n v="4272"/>
    <s v="USA"/>
    <x v="163"/>
    <x v="126"/>
    <x v="2"/>
    <n v="100000"/>
    <x v="2"/>
    <s v="M"/>
    <x v="71"/>
    <x v="0"/>
  </r>
  <r>
    <n v="1036624"/>
    <n v="1607"/>
    <s v="Australia"/>
    <d v="2023-07-22T00:44:00"/>
    <x v="3"/>
    <x v="3"/>
    <n v="667"/>
    <s v="Australia"/>
    <x v="302"/>
    <x v="85"/>
    <x v="2"/>
    <n v="150000"/>
    <x v="3"/>
    <s v="M"/>
    <x v="48"/>
    <x v="1"/>
  </r>
  <r>
    <n v="1036642"/>
    <n v="24"/>
    <s v="Spain"/>
    <d v="2023-05-03T01:23:00"/>
    <x v="0"/>
    <x v="23"/>
    <n v="9159"/>
    <s v="Spain"/>
    <x v="141"/>
    <x v="83"/>
    <x v="0"/>
    <n v="1000000"/>
    <x v="12"/>
    <s v="F"/>
    <x v="59"/>
    <x v="2"/>
  </r>
  <r>
    <n v="1038558"/>
    <n v="840"/>
    <s v="Finland"/>
    <d v="2023-07-03T01:46:00"/>
    <x v="3"/>
    <x v="42"/>
    <n v="5596"/>
    <s v="Finland"/>
    <x v="32"/>
    <x v="129"/>
    <x v="0"/>
    <n v="200000"/>
    <x v="14"/>
    <s v="F"/>
    <x v="59"/>
    <x v="0"/>
  </r>
  <r>
    <n v="1038672"/>
    <n v="1878"/>
    <s v="Spain"/>
    <d v="2023-11-03T22:45:00"/>
    <x v="0"/>
    <x v="65"/>
    <n v="5918"/>
    <s v="Spain"/>
    <x v="9"/>
    <x v="193"/>
    <x v="4"/>
    <n v="250000"/>
    <x v="28"/>
    <s v="M"/>
    <x v="32"/>
    <x v="1"/>
  </r>
  <r>
    <n v="1039481"/>
    <n v="194"/>
    <s v="India"/>
    <d v="2023-05-14T23:04:00"/>
    <x v="1"/>
    <x v="20"/>
    <n v="8428"/>
    <s v="India"/>
    <x v="173"/>
    <x v="182"/>
    <x v="1"/>
    <n v="200000"/>
    <x v="17"/>
    <s v="F"/>
    <x v="71"/>
    <x v="2"/>
  </r>
  <r>
    <n v="1039541"/>
    <n v="694"/>
    <s v="Finland"/>
    <d v="2023-01-23T00:23:00"/>
    <x v="0"/>
    <x v="0"/>
    <n v="8648"/>
    <s v="Finland"/>
    <x v="21"/>
    <x v="6"/>
    <x v="0"/>
    <n v="200000"/>
    <x v="0"/>
    <s v="M"/>
    <x v="40"/>
    <x v="0"/>
  </r>
  <r>
    <n v="1041039"/>
    <n v="1826"/>
    <s v="Italy"/>
    <d v="2023-01-04T23:17:00"/>
    <x v="1"/>
    <x v="10"/>
    <n v="7801"/>
    <s v="Italy"/>
    <x v="203"/>
    <x v="190"/>
    <x v="0"/>
    <n v="250000"/>
    <x v="10"/>
    <s v="M"/>
    <x v="29"/>
    <x v="1"/>
  </r>
  <r>
    <n v="1041266"/>
    <n v="1598"/>
    <s v="Switzerland"/>
    <d v="2023-05-23T00:43:00"/>
    <x v="0"/>
    <x v="2"/>
    <n v="1369"/>
    <s v="Switzerland"/>
    <x v="349"/>
    <x v="112"/>
    <x v="2"/>
    <n v="100000"/>
    <x v="2"/>
    <s v="F"/>
    <x v="3"/>
    <x v="1"/>
  </r>
  <r>
    <n v="1042847"/>
    <n v="1524"/>
    <s v="France"/>
    <d v="2023-02-04T23:32:00"/>
    <x v="2"/>
    <x v="3"/>
    <n v="2979"/>
    <s v="France"/>
    <x v="189"/>
    <x v="91"/>
    <x v="2"/>
    <n v="150000"/>
    <x v="3"/>
    <s v="F"/>
    <x v="21"/>
    <x v="1"/>
  </r>
  <r>
    <n v="1043105"/>
    <n v="288"/>
    <s v="USA"/>
    <d v="2023-08-08T22:55:00"/>
    <x v="0"/>
    <x v="17"/>
    <n v="9185"/>
    <s v="USA"/>
    <x v="98"/>
    <x v="125"/>
    <x v="0"/>
    <n v="150000"/>
    <x v="14"/>
    <s v="M"/>
    <x v="4"/>
    <x v="2"/>
  </r>
  <r>
    <n v="1043175"/>
    <n v="644"/>
    <s v="Singapore"/>
    <d v="2023-06-29T23:34:00"/>
    <x v="2"/>
    <x v="5"/>
    <n v="3317"/>
    <s v="Singapore"/>
    <x v="305"/>
    <x v="99"/>
    <x v="2"/>
    <n v="150000"/>
    <x v="5"/>
    <s v="M"/>
    <x v="57"/>
    <x v="0"/>
  </r>
  <r>
    <n v="1044084"/>
    <n v="1073"/>
    <s v="Spain"/>
    <d v="2023-04-24T01:12:00"/>
    <x v="1"/>
    <x v="6"/>
    <n v="1891"/>
    <s v="Spain"/>
    <x v="290"/>
    <x v="52"/>
    <x v="3"/>
    <n v="150000"/>
    <x v="6"/>
    <s v="F"/>
    <x v="52"/>
    <x v="3"/>
  </r>
  <r>
    <n v="1044744"/>
    <n v="1780"/>
    <s v="Singapore"/>
    <d v="2023-02-11T00:03:00"/>
    <x v="2"/>
    <x v="7"/>
    <n v="5782"/>
    <s v="Singapore"/>
    <x v="104"/>
    <x v="72"/>
    <x v="1"/>
    <n v="150000"/>
    <x v="7"/>
    <s v="F"/>
    <x v="22"/>
    <x v="1"/>
  </r>
  <r>
    <n v="1045182"/>
    <n v="862"/>
    <s v="USA"/>
    <d v="2023-02-26T01:40:00"/>
    <x v="1"/>
    <x v="8"/>
    <n v="8821"/>
    <s v="USA"/>
    <x v="269"/>
    <x v="76"/>
    <x v="1"/>
    <n v="150000"/>
    <x v="8"/>
    <s v="F"/>
    <x v="17"/>
    <x v="0"/>
  </r>
  <r>
    <n v="1045700"/>
    <n v="539"/>
    <s v="India"/>
    <d v="2023-12-02T00:38:00"/>
    <x v="1"/>
    <x v="44"/>
    <n v="5012"/>
    <s v="India"/>
    <x v="180"/>
    <x v="162"/>
    <x v="0"/>
    <n v="100000"/>
    <x v="12"/>
    <s v="F"/>
    <x v="32"/>
    <x v="0"/>
  </r>
  <r>
    <n v="1046125"/>
    <n v="1258"/>
    <s v="USA"/>
    <d v="2023-04-08T00:29:00"/>
    <x v="0"/>
    <x v="10"/>
    <n v="9104"/>
    <s v="USA"/>
    <x v="348"/>
    <x v="50"/>
    <x v="0"/>
    <n v="250000"/>
    <x v="10"/>
    <s v="M"/>
    <x v="27"/>
    <x v="3"/>
  </r>
  <r>
    <n v="1046974"/>
    <n v="1060"/>
    <s v="India"/>
    <d v="2023-12-20T22:59:00"/>
    <x v="3"/>
    <x v="45"/>
    <n v="2067"/>
    <s v="India"/>
    <x v="341"/>
    <x v="25"/>
    <x v="4"/>
    <n v="100000"/>
    <x v="25"/>
    <s v="F"/>
    <x v="14"/>
    <x v="3"/>
  </r>
  <r>
    <n v="1047821"/>
    <n v="1259"/>
    <s v="USA"/>
    <d v="2023-06-27T23:05:00"/>
    <x v="1"/>
    <x v="61"/>
    <n v="4812"/>
    <s v="USA"/>
    <x v="328"/>
    <x v="159"/>
    <x v="4"/>
    <n v="200000"/>
    <x v="28"/>
    <s v="M"/>
    <x v="23"/>
    <x v="3"/>
  </r>
  <r>
    <n v="1047874"/>
    <n v="420"/>
    <s v="Spain"/>
    <d v="2023-09-12T23:00:00"/>
    <x v="3"/>
    <x v="13"/>
    <n v="4920"/>
    <s v="Spain"/>
    <x v="148"/>
    <x v="171"/>
    <x v="0"/>
    <n v="100000"/>
    <x v="12"/>
    <s v="F"/>
    <x v="54"/>
    <x v="2"/>
  </r>
  <r>
    <n v="1050256"/>
    <n v="1770"/>
    <s v="Austria"/>
    <d v="2023-04-25T01:32:00"/>
    <x v="0"/>
    <x v="14"/>
    <n v="9723"/>
    <s v="Austria"/>
    <x v="134"/>
    <x v="117"/>
    <x v="3"/>
    <n v="200000"/>
    <x v="13"/>
    <s v="M"/>
    <x v="51"/>
    <x v="1"/>
  </r>
  <r>
    <n v="1050351"/>
    <n v="497"/>
    <s v="USA"/>
    <d v="2023-07-14T00:01:00"/>
    <x v="3"/>
    <x v="15"/>
    <n v="9863"/>
    <s v="USA"/>
    <x v="344"/>
    <x v="63"/>
    <x v="0"/>
    <n v="150000"/>
    <x v="14"/>
    <s v="M"/>
    <x v="51"/>
    <x v="2"/>
  </r>
  <r>
    <n v="1050970"/>
    <n v="47"/>
    <s v="Spain"/>
    <d v="2023-05-09T01:13:00"/>
    <x v="2"/>
    <x v="75"/>
    <n v="2859"/>
    <s v="Spain"/>
    <x v="182"/>
    <x v="32"/>
    <x v="1"/>
    <n v="50000"/>
    <x v="7"/>
    <s v="M"/>
    <x v="5"/>
    <x v="2"/>
  </r>
  <r>
    <n v="1051057"/>
    <n v="482"/>
    <s v="France"/>
    <d v="2023-05-02T23:57:00"/>
    <x v="0"/>
    <x v="47"/>
    <n v="4768"/>
    <s v="France"/>
    <x v="211"/>
    <x v="116"/>
    <x v="3"/>
    <n v="100000"/>
    <x v="20"/>
    <s v="M"/>
    <x v="43"/>
    <x v="2"/>
  </r>
  <r>
    <n v="1051553"/>
    <n v="231"/>
    <s v="USA"/>
    <d v="2023-09-29T00:26:00"/>
    <x v="1"/>
    <x v="18"/>
    <n v="8153"/>
    <s v="USA"/>
    <x v="359"/>
    <x v="151"/>
    <x v="2"/>
    <n v="100000"/>
    <x v="5"/>
    <s v="M"/>
    <x v="10"/>
    <x v="2"/>
  </r>
  <r>
    <n v="1052119"/>
    <n v="634"/>
    <s v="USA"/>
    <d v="2023-08-15T00:10:00"/>
    <x v="1"/>
    <x v="0"/>
    <n v="4462"/>
    <s v="USA"/>
    <x v="227"/>
    <x v="107"/>
    <x v="0"/>
    <n v="200000"/>
    <x v="0"/>
    <s v="M"/>
    <x v="14"/>
    <x v="0"/>
  </r>
  <r>
    <n v="1052606"/>
    <n v="577"/>
    <s v="France"/>
    <d v="2023-11-03T00:10:00"/>
    <x v="3"/>
    <x v="53"/>
    <n v="701"/>
    <s v="France"/>
    <x v="9"/>
    <x v="107"/>
    <x v="0"/>
    <n v="50000"/>
    <x v="11"/>
    <s v="F"/>
    <x v="8"/>
    <x v="0"/>
  </r>
  <r>
    <n v="1053680"/>
    <n v="1618"/>
    <s v="USA"/>
    <d v="2023-11-03T01:59:00"/>
    <x v="0"/>
    <x v="73"/>
    <n v="6474"/>
    <s v="USA"/>
    <x v="9"/>
    <x v="132"/>
    <x v="4"/>
    <n v="100000"/>
    <x v="25"/>
    <s v="M"/>
    <x v="63"/>
    <x v="1"/>
  </r>
  <r>
    <n v="1054349"/>
    <n v="1473"/>
    <s v="USA"/>
    <d v="2023-04-10T23:29:00"/>
    <x v="0"/>
    <x v="14"/>
    <n v="4060"/>
    <s v="USA"/>
    <x v="162"/>
    <x v="71"/>
    <x v="3"/>
    <n v="200000"/>
    <x v="13"/>
    <s v="F"/>
    <x v="28"/>
    <x v="3"/>
  </r>
  <r>
    <n v="1054639"/>
    <n v="1865"/>
    <s v="France"/>
    <d v="2023-02-26T00:00:00"/>
    <x v="1"/>
    <x v="37"/>
    <n v="4421"/>
    <s v="France"/>
    <x v="269"/>
    <x v="126"/>
    <x v="3"/>
    <n v="150000"/>
    <x v="6"/>
    <s v="M"/>
    <x v="70"/>
    <x v="1"/>
  </r>
  <r>
    <n v="1055786"/>
    <n v="1205"/>
    <s v="Spain"/>
    <d v="2023-08-05T01:16:00"/>
    <x v="3"/>
    <x v="9"/>
    <n v="7809"/>
    <s v="Spain"/>
    <x v="188"/>
    <x v="84"/>
    <x v="1"/>
    <n v="150000"/>
    <x v="9"/>
    <s v="F"/>
    <x v="20"/>
    <x v="3"/>
  </r>
  <r>
    <n v="1055810"/>
    <n v="1362"/>
    <s v="Finland"/>
    <d v="2023-01-09T23:49:00"/>
    <x v="3"/>
    <x v="70"/>
    <n v="563"/>
    <s v="Finland"/>
    <x v="313"/>
    <x v="43"/>
    <x v="3"/>
    <n v="150000"/>
    <x v="29"/>
    <s v="M"/>
    <x v="28"/>
    <x v="3"/>
  </r>
  <r>
    <n v="1055817"/>
    <n v="1697"/>
    <s v="France"/>
    <d v="2023-06-02T23:00:00"/>
    <x v="2"/>
    <x v="48"/>
    <n v="8477"/>
    <s v="France"/>
    <x v="266"/>
    <x v="171"/>
    <x v="1"/>
    <n v="100000"/>
    <x v="9"/>
    <s v="F"/>
    <x v="48"/>
    <x v="1"/>
  </r>
  <r>
    <n v="1056320"/>
    <n v="856"/>
    <s v="USA"/>
    <d v="2023-04-08T01:13:00"/>
    <x v="1"/>
    <x v="26"/>
    <n v="6535"/>
    <s v="USA"/>
    <x v="348"/>
    <x v="32"/>
    <x v="2"/>
    <n v="200000"/>
    <x v="19"/>
    <s v="M"/>
    <x v="0"/>
    <x v="0"/>
  </r>
  <r>
    <n v="1056575"/>
    <n v="1149"/>
    <s v="USA"/>
    <d v="2023-04-01T01:23:00"/>
    <x v="0"/>
    <x v="49"/>
    <n v="1439"/>
    <s v="USA"/>
    <x v="219"/>
    <x v="83"/>
    <x v="0"/>
    <n v="100000"/>
    <x v="10"/>
    <s v="M"/>
    <x v="34"/>
    <x v="3"/>
  </r>
  <r>
    <n v="1056710"/>
    <n v="1243"/>
    <s v="Spain"/>
    <d v="2023-07-31T00:40:00"/>
    <x v="1"/>
    <x v="39"/>
    <n v="1855"/>
    <s v="Spain"/>
    <x v="25"/>
    <x v="51"/>
    <x v="3"/>
    <n v="1000000"/>
    <x v="6"/>
    <s v="M"/>
    <x v="32"/>
    <x v="3"/>
  </r>
  <r>
    <n v="1057228"/>
    <n v="1029"/>
    <s v="Spain"/>
    <d v="2023-09-30T23:50:00"/>
    <x v="2"/>
    <x v="23"/>
    <n v="9442"/>
    <s v="Spain"/>
    <x v="261"/>
    <x v="194"/>
    <x v="0"/>
    <n v="1000000"/>
    <x v="12"/>
    <s v="F"/>
    <x v="23"/>
    <x v="3"/>
  </r>
  <r>
    <n v="1058164"/>
    <n v="1215"/>
    <s v="USA"/>
    <d v="2023-07-22T01:40:00"/>
    <x v="3"/>
    <x v="37"/>
    <n v="4073"/>
    <s v="USA"/>
    <x v="302"/>
    <x v="76"/>
    <x v="3"/>
    <n v="150000"/>
    <x v="6"/>
    <s v="M"/>
    <x v="19"/>
    <x v="3"/>
  </r>
  <r>
    <n v="1058847"/>
    <n v="977"/>
    <s v="India"/>
    <d v="2023-09-09T23:10:00"/>
    <x v="2"/>
    <x v="76"/>
    <n v="2786"/>
    <s v="India"/>
    <x v="360"/>
    <x v="176"/>
    <x v="4"/>
    <n v="50000"/>
    <x v="15"/>
    <s v="M"/>
    <x v="34"/>
    <x v="0"/>
  </r>
  <r>
    <n v="1059637"/>
    <n v="463"/>
    <s v="Germany"/>
    <d v="2023-08-09T01:26:00"/>
    <x v="3"/>
    <x v="50"/>
    <n v="3285"/>
    <s v="Germany"/>
    <x v="282"/>
    <x v="65"/>
    <x v="2"/>
    <n v="100000"/>
    <x v="27"/>
    <s v="M"/>
    <x v="39"/>
    <x v="2"/>
  </r>
  <r>
    <n v="1059711"/>
    <n v="1479"/>
    <s v="USA"/>
    <d v="2023-03-15T01:01:00"/>
    <x v="0"/>
    <x v="53"/>
    <n v="5593"/>
    <s v="USA"/>
    <x v="225"/>
    <x v="16"/>
    <x v="0"/>
    <n v="50000"/>
    <x v="11"/>
    <s v="F"/>
    <x v="27"/>
    <x v="3"/>
  </r>
  <r>
    <n v="1060684"/>
    <n v="1252"/>
    <s v="USA"/>
    <d v="2023-04-07T23:50:00"/>
    <x v="0"/>
    <x v="30"/>
    <n v="4684"/>
    <s v="USA"/>
    <x v="194"/>
    <x v="194"/>
    <x v="2"/>
    <n v="150000"/>
    <x v="21"/>
    <s v="F"/>
    <x v="50"/>
    <x v="3"/>
  </r>
  <r>
    <n v="1061016"/>
    <n v="1561"/>
    <s v="Switzerland"/>
    <d v="2023-09-10T01:31:00"/>
    <x v="3"/>
    <x v="56"/>
    <n v="7486"/>
    <s v="Switzerland"/>
    <x v="22"/>
    <x v="177"/>
    <x v="4"/>
    <n v="100000"/>
    <x v="28"/>
    <s v="F"/>
    <x v="9"/>
    <x v="1"/>
  </r>
  <r>
    <n v="1061210"/>
    <n v="721"/>
    <s v="India"/>
    <d v="2023-12-07T00:09:00"/>
    <x v="1"/>
    <x v="59"/>
    <n v="1496"/>
    <s v="India"/>
    <x v="226"/>
    <x v="81"/>
    <x v="1"/>
    <n v="100000"/>
    <x v="1"/>
    <s v="M"/>
    <x v="7"/>
    <x v="0"/>
  </r>
  <r>
    <n v="1061320"/>
    <n v="1874"/>
    <s v="USA"/>
    <d v="2023-06-25T00:38:00"/>
    <x v="1"/>
    <x v="0"/>
    <n v="2899"/>
    <s v="USA"/>
    <x v="138"/>
    <x v="162"/>
    <x v="0"/>
    <n v="200000"/>
    <x v="0"/>
    <s v="M"/>
    <x v="66"/>
    <x v="1"/>
  </r>
  <r>
    <n v="1061512"/>
    <n v="666"/>
    <s v="France"/>
    <d v="2023-03-02T01:24:00"/>
    <x v="1"/>
    <x v="43"/>
    <n v="1743"/>
    <s v="France"/>
    <x v="137"/>
    <x v="124"/>
    <x v="2"/>
    <n v="100000"/>
    <x v="21"/>
    <s v="F"/>
    <x v="32"/>
    <x v="0"/>
  </r>
  <r>
    <n v="1062871"/>
    <n v="1248"/>
    <s v="USA"/>
    <d v="2023-02-06T01:25:00"/>
    <x v="2"/>
    <x v="56"/>
    <n v="6459"/>
    <s v="USA"/>
    <x v="49"/>
    <x v="195"/>
    <x v="4"/>
    <n v="100000"/>
    <x v="28"/>
    <s v="M"/>
    <x v="27"/>
    <x v="3"/>
  </r>
  <r>
    <n v="1063239"/>
    <n v="1639"/>
    <s v="Australia"/>
    <d v="2023-09-25T23:27:00"/>
    <x v="0"/>
    <x v="57"/>
    <n v="3101"/>
    <s v="Australia"/>
    <x v="43"/>
    <x v="79"/>
    <x v="0"/>
    <n v="80000"/>
    <x v="0"/>
    <s v="M"/>
    <x v="56"/>
    <x v="1"/>
  </r>
  <r>
    <n v="1063742"/>
    <n v="212"/>
    <s v="Germany"/>
    <d v="2023-10-17T00:44:00"/>
    <x v="1"/>
    <x v="36"/>
    <n v="359"/>
    <s v="Germany"/>
    <x v="152"/>
    <x v="85"/>
    <x v="0"/>
    <n v="150000"/>
    <x v="10"/>
    <s v="F"/>
    <x v="11"/>
    <x v="2"/>
  </r>
  <r>
    <n v="1063767"/>
    <n v="1616"/>
    <s v="USA"/>
    <d v="2023-07-26T23:44:00"/>
    <x v="3"/>
    <x v="77"/>
    <n v="1893"/>
    <s v="USA"/>
    <x v="10"/>
    <x v="146"/>
    <x v="1"/>
    <n v="250000"/>
    <x v="24"/>
    <s v="F"/>
    <x v="4"/>
    <x v="1"/>
  </r>
  <r>
    <n v="1064483"/>
    <n v="1571"/>
    <s v="USA"/>
    <d v="2023-06-20T01:50:00"/>
    <x v="0"/>
    <x v="14"/>
    <n v="6345"/>
    <s v="USA"/>
    <x v="168"/>
    <x v="45"/>
    <x v="3"/>
    <n v="200000"/>
    <x v="13"/>
    <s v="F"/>
    <x v="37"/>
    <x v="1"/>
  </r>
  <r>
    <n v="1064762"/>
    <n v="1018"/>
    <s v="France"/>
    <d v="2023-10-25T00:53:00"/>
    <x v="1"/>
    <x v="24"/>
    <n v="1726"/>
    <s v="France"/>
    <x v="343"/>
    <x v="36"/>
    <x v="1"/>
    <n v="100000"/>
    <x v="18"/>
    <s v="F"/>
    <x v="44"/>
    <x v="3"/>
  </r>
  <r>
    <n v="1064785"/>
    <n v="1063"/>
    <s v="India"/>
    <d v="2023-03-25T00:58:00"/>
    <x v="1"/>
    <x v="27"/>
    <n v="9830"/>
    <s v="India"/>
    <x v="118"/>
    <x v="28"/>
    <x v="1"/>
    <n v="80000"/>
    <x v="7"/>
    <s v="F"/>
    <x v="43"/>
    <x v="3"/>
  </r>
  <r>
    <n v="1064900"/>
    <n v="1928"/>
    <s v="Australia"/>
    <d v="2023-10-12T00:44:00"/>
    <x v="2"/>
    <x v="23"/>
    <n v="7612"/>
    <s v="Australia"/>
    <x v="303"/>
    <x v="85"/>
    <x v="0"/>
    <n v="1000000"/>
    <x v="12"/>
    <s v="M"/>
    <x v="14"/>
    <x v="1"/>
  </r>
  <r>
    <n v="1068168"/>
    <n v="1101"/>
    <s v="India"/>
    <d v="2023-03-08T01:22:00"/>
    <x v="3"/>
    <x v="35"/>
    <n v="5967"/>
    <s v="India"/>
    <x v="5"/>
    <x v="142"/>
    <x v="4"/>
    <n v="100000"/>
    <x v="15"/>
    <s v="F"/>
    <x v="18"/>
    <x v="3"/>
  </r>
  <r>
    <n v="1068397"/>
    <n v="3"/>
    <s v="USA"/>
    <d v="2023-04-12T01:01:00"/>
    <x v="0"/>
    <x v="4"/>
    <n v="9183"/>
    <s v="USA"/>
    <x v="361"/>
    <x v="16"/>
    <x v="0"/>
    <n v="200000"/>
    <x v="4"/>
    <s v="M"/>
    <x v="36"/>
    <x v="2"/>
  </r>
  <r>
    <n v="1069023"/>
    <n v="739"/>
    <s v="India"/>
    <d v="2023-02-14T00:41:00"/>
    <x v="3"/>
    <x v="39"/>
    <n v="4804"/>
    <s v="India"/>
    <x v="157"/>
    <x v="60"/>
    <x v="3"/>
    <n v="1000000"/>
    <x v="6"/>
    <s v="F"/>
    <x v="66"/>
    <x v="0"/>
  </r>
  <r>
    <n v="1069094"/>
    <n v="1854"/>
    <s v="USA"/>
    <d v="2023-08-27T01:11:00"/>
    <x v="0"/>
    <x v="58"/>
    <n v="8536"/>
    <s v="USA"/>
    <x v="352"/>
    <x v="122"/>
    <x v="3"/>
    <n v="100000"/>
    <x v="20"/>
    <s v="F"/>
    <x v="27"/>
    <x v="1"/>
  </r>
  <r>
    <n v="1069668"/>
    <n v="517"/>
    <s v="Australia"/>
    <d v="2023-04-07T01:00:00"/>
    <x v="2"/>
    <x v="72"/>
    <n v="8146"/>
    <s v="Australia"/>
    <x v="194"/>
    <x v="168"/>
    <x v="0"/>
    <n v="80000"/>
    <x v="4"/>
    <s v="F"/>
    <x v="55"/>
    <x v="0"/>
  </r>
  <r>
    <n v="1070209"/>
    <n v="973"/>
    <s v="USA"/>
    <d v="2023-08-10T00:32:00"/>
    <x v="0"/>
    <x v="77"/>
    <n v="7741"/>
    <s v="USA"/>
    <x v="347"/>
    <x v="58"/>
    <x v="1"/>
    <n v="250000"/>
    <x v="24"/>
    <s v="M"/>
    <x v="63"/>
    <x v="0"/>
  </r>
  <r>
    <n v="1070297"/>
    <n v="1978"/>
    <s v="Spain"/>
    <d v="2023-03-08T22:34:00"/>
    <x v="1"/>
    <x v="84"/>
    <n v="904"/>
    <s v="Spain"/>
    <x v="5"/>
    <x v="196"/>
    <x v="2"/>
    <n v="100000"/>
    <x v="3"/>
    <s v="F"/>
    <x v="12"/>
    <x v="1"/>
  </r>
  <r>
    <n v="1070438"/>
    <n v="1420"/>
    <s v="USA"/>
    <d v="2023-09-27T02:23:00"/>
    <x v="2"/>
    <x v="82"/>
    <n v="9991"/>
    <s v="USA"/>
    <x v="299"/>
    <x v="197"/>
    <x v="2"/>
    <n v="100000"/>
    <x v="19"/>
    <s v="M"/>
    <x v="9"/>
    <x v="3"/>
  </r>
  <r>
    <n v="1071701"/>
    <n v="1367"/>
    <s v="Italy"/>
    <d v="2023-01-16T00:53:00"/>
    <x v="2"/>
    <x v="4"/>
    <n v="1445"/>
    <s v="Italy"/>
    <x v="181"/>
    <x v="36"/>
    <x v="0"/>
    <n v="200000"/>
    <x v="4"/>
    <s v="F"/>
    <x v="5"/>
    <x v="3"/>
  </r>
  <r>
    <n v="1074617"/>
    <n v="158"/>
    <s v="USA"/>
    <d v="2023-05-04T00:19:00"/>
    <x v="1"/>
    <x v="86"/>
    <n v="4729"/>
    <s v="USA"/>
    <x v="356"/>
    <x v="167"/>
    <x v="0"/>
    <n v="150000"/>
    <x v="11"/>
    <s v="F"/>
    <x v="10"/>
    <x v="2"/>
  </r>
  <r>
    <n v="1074708"/>
    <n v="647"/>
    <s v="Australia"/>
    <d v="2023-03-12T23:36:00"/>
    <x v="3"/>
    <x v="39"/>
    <n v="7648"/>
    <s v="Australia"/>
    <x v="242"/>
    <x v="135"/>
    <x v="3"/>
    <n v="1000000"/>
    <x v="6"/>
    <s v="M"/>
    <x v="15"/>
    <x v="0"/>
  </r>
  <r>
    <n v="1075036"/>
    <n v="587"/>
    <s v="USA"/>
    <d v="2023-05-16T23:29:00"/>
    <x v="1"/>
    <x v="87"/>
    <n v="5378"/>
    <s v="USA"/>
    <x v="144"/>
    <x v="71"/>
    <x v="0"/>
    <n v="100000"/>
    <x v="16"/>
    <s v="M"/>
    <x v="66"/>
    <x v="0"/>
  </r>
  <r>
    <n v="1075177"/>
    <n v="161"/>
    <s v="France"/>
    <d v="2023-03-07T22:36:00"/>
    <x v="3"/>
    <x v="23"/>
    <n v="1124"/>
    <s v="France"/>
    <x v="87"/>
    <x v="106"/>
    <x v="0"/>
    <n v="1000000"/>
    <x v="12"/>
    <s v="F"/>
    <x v="17"/>
    <x v="2"/>
  </r>
  <r>
    <n v="1075183"/>
    <n v="1971"/>
    <s v="Spain"/>
    <d v="2023-04-24T22:50:00"/>
    <x v="1"/>
    <x v="25"/>
    <n v="3747"/>
    <s v="Spain"/>
    <x v="290"/>
    <x v="133"/>
    <x v="1"/>
    <n v="150000"/>
    <x v="17"/>
    <s v="F"/>
    <x v="60"/>
    <x v="1"/>
  </r>
  <r>
    <n v="1075762"/>
    <n v="1612"/>
    <s v="Spain"/>
    <d v="2023-10-02T02:14:00"/>
    <x v="3"/>
    <x v="30"/>
    <n v="3402"/>
    <s v="Spain"/>
    <x v="155"/>
    <x v="198"/>
    <x v="2"/>
    <n v="150000"/>
    <x v="21"/>
    <s v="M"/>
    <x v="21"/>
    <x v="1"/>
  </r>
  <r>
    <n v="1076092"/>
    <n v="1938"/>
    <s v="USA"/>
    <d v="2023-03-01T01:34:00"/>
    <x v="0"/>
    <x v="23"/>
    <n v="698"/>
    <s v="USA"/>
    <x v="130"/>
    <x v="161"/>
    <x v="0"/>
    <n v="1000000"/>
    <x v="12"/>
    <s v="M"/>
    <x v="41"/>
    <x v="1"/>
  </r>
  <r>
    <n v="1076764"/>
    <n v="1162"/>
    <s v="USA"/>
    <d v="2023-12-04T00:39:00"/>
    <x v="2"/>
    <x v="83"/>
    <n v="1938"/>
    <s v="USA"/>
    <x v="354"/>
    <x v="11"/>
    <x v="2"/>
    <n v="100000"/>
    <x v="19"/>
    <s v="F"/>
    <x v="27"/>
    <x v="3"/>
  </r>
  <r>
    <n v="1077723"/>
    <n v="868"/>
    <s v="Switzerland"/>
    <d v="2023-01-02T00:24:00"/>
    <x v="1"/>
    <x v="36"/>
    <n v="3711"/>
    <s v="Switzerland"/>
    <x v="80"/>
    <x v="115"/>
    <x v="0"/>
    <n v="150000"/>
    <x v="10"/>
    <s v="F"/>
    <x v="34"/>
    <x v="0"/>
  </r>
  <r>
    <n v="1078422"/>
    <n v="1917"/>
    <s v="USA"/>
    <d v="2023-12-06T02:10:00"/>
    <x v="1"/>
    <x v="7"/>
    <n v="3916"/>
    <s v="USA"/>
    <x v="136"/>
    <x v="199"/>
    <x v="1"/>
    <n v="150000"/>
    <x v="7"/>
    <s v="F"/>
    <x v="42"/>
    <x v="1"/>
  </r>
  <r>
    <n v="1078820"/>
    <n v="1431"/>
    <s v="USA"/>
    <d v="2023-08-09T01:02:00"/>
    <x v="3"/>
    <x v="38"/>
    <n v="5495"/>
    <s v="USA"/>
    <x v="282"/>
    <x v="186"/>
    <x v="2"/>
    <n v="100000"/>
    <x v="22"/>
    <s v="M"/>
    <x v="42"/>
    <x v="3"/>
  </r>
  <r>
    <n v="1079090"/>
    <n v="1368"/>
    <s v="USA"/>
    <d v="2023-04-02T00:15:00"/>
    <x v="2"/>
    <x v="39"/>
    <n v="6597"/>
    <s v="USA"/>
    <x v="67"/>
    <x v="123"/>
    <x v="3"/>
    <n v="1000000"/>
    <x v="6"/>
    <s v="M"/>
    <x v="26"/>
    <x v="3"/>
  </r>
  <r>
    <n v="1079225"/>
    <n v="1393"/>
    <s v="Italy"/>
    <d v="2023-02-24T23:08:00"/>
    <x v="0"/>
    <x v="40"/>
    <n v="3345"/>
    <s v="Italy"/>
    <x v="160"/>
    <x v="66"/>
    <x v="2"/>
    <n v="150000"/>
    <x v="2"/>
    <s v="F"/>
    <x v="15"/>
    <x v="3"/>
  </r>
  <r>
    <n v="1079355"/>
    <n v="1469"/>
    <s v="Italy"/>
    <d v="2023-03-19T23:46:00"/>
    <x v="2"/>
    <x v="77"/>
    <n v="3196"/>
    <s v="Italy"/>
    <x v="140"/>
    <x v="9"/>
    <x v="1"/>
    <n v="250000"/>
    <x v="24"/>
    <s v="F"/>
    <x v="4"/>
    <x v="3"/>
  </r>
  <r>
    <n v="1079761"/>
    <n v="1873"/>
    <s v="Australia"/>
    <d v="2023-09-18T01:12:00"/>
    <x v="1"/>
    <x v="46"/>
    <n v="9752"/>
    <s v="Australia"/>
    <x v="121"/>
    <x v="52"/>
    <x v="1"/>
    <n v="30000"/>
    <x v="26"/>
    <s v="F"/>
    <x v="1"/>
    <x v="1"/>
  </r>
  <r>
    <n v="1081409"/>
    <n v="1084"/>
    <s v="India"/>
    <d v="2023-10-01T00:58:00"/>
    <x v="1"/>
    <x v="2"/>
    <n v="7433"/>
    <s v="India"/>
    <x v="142"/>
    <x v="28"/>
    <x v="2"/>
    <n v="100000"/>
    <x v="2"/>
    <s v="M"/>
    <x v="21"/>
    <x v="3"/>
  </r>
  <r>
    <n v="1081894"/>
    <n v="787"/>
    <s v="Austria"/>
    <d v="2023-02-08T01:35:00"/>
    <x v="0"/>
    <x v="3"/>
    <n v="5113"/>
    <s v="Austria"/>
    <x v="131"/>
    <x v="200"/>
    <x v="2"/>
    <n v="150000"/>
    <x v="3"/>
    <s v="F"/>
    <x v="28"/>
    <x v="0"/>
  </r>
  <r>
    <n v="1083336"/>
    <n v="441"/>
    <s v="USA"/>
    <d v="2023-02-19T00:07:00"/>
    <x v="2"/>
    <x v="23"/>
    <n v="5859"/>
    <s v="USA"/>
    <x v="110"/>
    <x v="34"/>
    <x v="0"/>
    <n v="1000000"/>
    <x v="12"/>
    <s v="M"/>
    <x v="55"/>
    <x v="2"/>
  </r>
  <r>
    <n v="1085382"/>
    <n v="969"/>
    <s v="USA"/>
    <d v="2023-03-10T01:10:00"/>
    <x v="0"/>
    <x v="42"/>
    <n v="5959"/>
    <s v="USA"/>
    <x v="358"/>
    <x v="7"/>
    <x v="0"/>
    <n v="200000"/>
    <x v="14"/>
    <s v="F"/>
    <x v="18"/>
    <x v="0"/>
  </r>
  <r>
    <n v="1085556"/>
    <n v="217"/>
    <s v="USA"/>
    <d v="2023-12-29T01:31:00"/>
    <x v="3"/>
    <x v="39"/>
    <n v="6006"/>
    <s v="USA"/>
    <x v="277"/>
    <x v="177"/>
    <x v="3"/>
    <n v="1000000"/>
    <x v="6"/>
    <s v="F"/>
    <x v="52"/>
    <x v="2"/>
  </r>
  <r>
    <n v="1086091"/>
    <n v="863"/>
    <s v="Ireland"/>
    <d v="2023-09-10T23:34:00"/>
    <x v="3"/>
    <x v="17"/>
    <n v="6063"/>
    <s v="Ireland"/>
    <x v="22"/>
    <x v="99"/>
    <x v="0"/>
    <n v="150000"/>
    <x v="14"/>
    <s v="F"/>
    <x v="42"/>
    <x v="0"/>
  </r>
  <r>
    <n v="1086104"/>
    <n v="654"/>
    <s v="France"/>
    <d v="2023-09-22T00:22:00"/>
    <x v="2"/>
    <x v="62"/>
    <n v="1737"/>
    <s v="France"/>
    <x v="64"/>
    <x v="54"/>
    <x v="2"/>
    <n v="150000"/>
    <x v="27"/>
    <s v="M"/>
    <x v="66"/>
    <x v="0"/>
  </r>
  <r>
    <n v="1086327"/>
    <n v="62"/>
    <s v="USA"/>
    <d v="2023-01-13T01:58:00"/>
    <x v="3"/>
    <x v="25"/>
    <n v="4910"/>
    <s v="USA"/>
    <x v="78"/>
    <x v="157"/>
    <x v="1"/>
    <n v="150000"/>
    <x v="17"/>
    <s v="F"/>
    <x v="53"/>
    <x v="2"/>
  </r>
  <r>
    <n v="1086644"/>
    <n v="940"/>
    <s v="USA"/>
    <d v="2023-08-21T01:23:00"/>
    <x v="2"/>
    <x v="5"/>
    <n v="9735"/>
    <s v="USA"/>
    <x v="233"/>
    <x v="83"/>
    <x v="2"/>
    <n v="150000"/>
    <x v="5"/>
    <s v="M"/>
    <x v="33"/>
    <x v="0"/>
  </r>
  <r>
    <n v="1087661"/>
    <n v="1776"/>
    <s v="USA"/>
    <d v="2023-12-23T23:09:00"/>
    <x v="1"/>
    <x v="60"/>
    <n v="10"/>
    <s v="USA"/>
    <x v="8"/>
    <x v="175"/>
    <x v="1"/>
    <n v="100000"/>
    <x v="26"/>
    <s v="F"/>
    <x v="55"/>
    <x v="1"/>
  </r>
  <r>
    <n v="1088292"/>
    <n v="337"/>
    <s v="Singapore"/>
    <d v="2023-01-18T00:20:00"/>
    <x v="1"/>
    <x v="26"/>
    <n v="3551"/>
    <s v="Singapore"/>
    <x v="247"/>
    <x v="68"/>
    <x v="2"/>
    <n v="200000"/>
    <x v="19"/>
    <s v="M"/>
    <x v="30"/>
    <x v="2"/>
  </r>
  <r>
    <n v="1088350"/>
    <n v="606"/>
    <s v="USA"/>
    <d v="2023-11-26T00:37:00"/>
    <x v="2"/>
    <x v="49"/>
    <n v="3144"/>
    <s v="USA"/>
    <x v="289"/>
    <x v="201"/>
    <x v="0"/>
    <n v="100000"/>
    <x v="10"/>
    <s v="M"/>
    <x v="65"/>
    <x v="0"/>
  </r>
  <r>
    <n v="1089032"/>
    <n v="144"/>
    <s v="Denmark"/>
    <d v="2023-06-08T00:33:00"/>
    <x v="0"/>
    <x v="81"/>
    <n v="9067"/>
    <s v="Denmark"/>
    <x v="267"/>
    <x v="53"/>
    <x v="4"/>
    <n v="100000"/>
    <x v="15"/>
    <s v="M"/>
    <x v="18"/>
    <x v="2"/>
  </r>
  <r>
    <n v="1091560"/>
    <n v="1294"/>
    <s v="France"/>
    <d v="2023-05-24T23:18:00"/>
    <x v="3"/>
    <x v="30"/>
    <n v="8903"/>
    <s v="France"/>
    <x v="164"/>
    <x v="140"/>
    <x v="2"/>
    <n v="150000"/>
    <x v="21"/>
    <s v="F"/>
    <x v="26"/>
    <x v="3"/>
  </r>
  <r>
    <n v="1093212"/>
    <n v="60"/>
    <s v="USA"/>
    <d v="2023-07-22T01:04:00"/>
    <x v="0"/>
    <x v="64"/>
    <n v="799"/>
    <s v="USA"/>
    <x v="302"/>
    <x v="121"/>
    <x v="2"/>
    <n v="100000"/>
    <x v="3"/>
    <s v="M"/>
    <x v="52"/>
    <x v="2"/>
  </r>
  <r>
    <n v="1093314"/>
    <n v="1576"/>
    <s v="USA"/>
    <d v="2023-04-19T00:44:00"/>
    <x v="2"/>
    <x v="65"/>
    <n v="1562"/>
    <s v="USA"/>
    <x v="108"/>
    <x v="85"/>
    <x v="4"/>
    <n v="250000"/>
    <x v="28"/>
    <s v="M"/>
    <x v="41"/>
    <x v="1"/>
  </r>
  <r>
    <n v="1093757"/>
    <n v="127"/>
    <s v="Denmark"/>
    <d v="2023-12-04T00:00:00"/>
    <x v="2"/>
    <x v="39"/>
    <n v="5671"/>
    <s v="Denmark"/>
    <x v="354"/>
    <x v="126"/>
    <x v="3"/>
    <n v="1000000"/>
    <x v="6"/>
    <s v="F"/>
    <x v="56"/>
    <x v="2"/>
  </r>
  <r>
    <n v="1094900"/>
    <n v="1616"/>
    <s v="USA"/>
    <d v="2023-04-30T00:58:00"/>
    <x v="0"/>
    <x v="23"/>
    <n v="2968"/>
    <s v="USA"/>
    <x v="295"/>
    <x v="28"/>
    <x v="0"/>
    <n v="1000000"/>
    <x v="12"/>
    <s v="F"/>
    <x v="4"/>
    <x v="1"/>
  </r>
  <r>
    <n v="1095387"/>
    <n v="1251"/>
    <s v="USA"/>
    <d v="2023-11-16T02:09:00"/>
    <x v="1"/>
    <x v="65"/>
    <n v="2942"/>
    <s v="USA"/>
    <x v="40"/>
    <x v="202"/>
    <x v="4"/>
    <n v="250000"/>
    <x v="28"/>
    <s v="M"/>
    <x v="34"/>
    <x v="3"/>
  </r>
  <r>
    <n v="1097967"/>
    <n v="1097"/>
    <s v="India"/>
    <d v="2023-03-11T01:44:00"/>
    <x v="0"/>
    <x v="39"/>
    <n v="9517"/>
    <s v="India"/>
    <x v="250"/>
    <x v="203"/>
    <x v="3"/>
    <n v="1000000"/>
    <x v="6"/>
    <s v="F"/>
    <x v="49"/>
    <x v="3"/>
  </r>
  <r>
    <n v="1098350"/>
    <n v="1983"/>
    <s v="Spain"/>
    <d v="2023-02-09T01:39:00"/>
    <x v="2"/>
    <x v="18"/>
    <n v="7342"/>
    <s v="Spain"/>
    <x v="177"/>
    <x v="152"/>
    <x v="2"/>
    <n v="100000"/>
    <x v="5"/>
    <s v="F"/>
    <x v="31"/>
    <x v="1"/>
  </r>
  <r>
    <n v="1099712"/>
    <n v="772"/>
    <s v="France"/>
    <d v="2023-09-06T01:29:00"/>
    <x v="3"/>
    <x v="37"/>
    <n v="9284"/>
    <s v="France"/>
    <x v="339"/>
    <x v="103"/>
    <x v="3"/>
    <n v="150000"/>
    <x v="6"/>
    <s v="F"/>
    <x v="2"/>
    <x v="0"/>
  </r>
  <r>
    <n v="1100277"/>
    <n v="1886"/>
    <s v="Australia"/>
    <d v="2023-09-27T01:05:00"/>
    <x v="0"/>
    <x v="15"/>
    <n v="1924"/>
    <s v="Australia"/>
    <x v="299"/>
    <x v="12"/>
    <x v="0"/>
    <n v="150000"/>
    <x v="14"/>
    <s v="F"/>
    <x v="9"/>
    <x v="1"/>
  </r>
  <r>
    <n v="1101025"/>
    <n v="289"/>
    <s v="France"/>
    <d v="2023-05-02T00:30:00"/>
    <x v="3"/>
    <x v="31"/>
    <n v="5344"/>
    <s v="France"/>
    <x v="211"/>
    <x v="111"/>
    <x v="2"/>
    <n v="100000"/>
    <x v="22"/>
    <s v="M"/>
    <x v="43"/>
    <x v="2"/>
  </r>
  <r>
    <n v="1101866"/>
    <n v="986"/>
    <s v="Australia"/>
    <d v="2023-06-17T01:01:00"/>
    <x v="2"/>
    <x v="11"/>
    <n v="9741"/>
    <s v="Australia"/>
    <x v="234"/>
    <x v="16"/>
    <x v="1"/>
    <n v="150000"/>
    <x v="1"/>
    <s v="F"/>
    <x v="60"/>
    <x v="0"/>
  </r>
  <r>
    <n v="1102470"/>
    <n v="1686"/>
    <s v="France"/>
    <d v="2023-02-16T23:38:00"/>
    <x v="1"/>
    <x v="24"/>
    <n v="7654"/>
    <s v="France"/>
    <x v="197"/>
    <x v="80"/>
    <x v="1"/>
    <n v="100000"/>
    <x v="18"/>
    <s v="M"/>
    <x v="62"/>
    <x v="1"/>
  </r>
  <r>
    <n v="1102591"/>
    <n v="874"/>
    <s v="USA"/>
    <d v="2023-09-01T14:20:00"/>
    <x v="3"/>
    <x v="25"/>
    <n v="8227"/>
    <s v="USA"/>
    <x v="271"/>
    <x v="204"/>
    <x v="1"/>
    <n v="150000"/>
    <x v="17"/>
    <s v="F"/>
    <x v="28"/>
    <x v="0"/>
  </r>
  <r>
    <n v="1102910"/>
    <n v="347"/>
    <s v="Denmark"/>
    <d v="2023-11-02T23:43:00"/>
    <x v="0"/>
    <x v="23"/>
    <n v="5043"/>
    <s v="Denmark"/>
    <x v="105"/>
    <x v="169"/>
    <x v="0"/>
    <n v="1000000"/>
    <x v="12"/>
    <s v="F"/>
    <x v="0"/>
    <x v="2"/>
  </r>
  <r>
    <n v="1103132"/>
    <n v="213"/>
    <s v="USA"/>
    <d v="2023-10-28T00:27:00"/>
    <x v="1"/>
    <x v="39"/>
    <n v="2021"/>
    <s v="USA"/>
    <x v="65"/>
    <x v="108"/>
    <x v="3"/>
    <n v="1000000"/>
    <x v="6"/>
    <s v="F"/>
    <x v="44"/>
    <x v="2"/>
  </r>
  <r>
    <n v="1103298"/>
    <n v="1505"/>
    <s v="USA"/>
    <d v="2023-12-31T00:39:00"/>
    <x v="2"/>
    <x v="39"/>
    <n v="1147"/>
    <s v="USA"/>
    <x v="279"/>
    <x v="11"/>
    <x v="3"/>
    <n v="1000000"/>
    <x v="6"/>
    <s v="M"/>
    <x v="68"/>
    <x v="1"/>
  </r>
  <r>
    <n v="1104089"/>
    <n v="1775"/>
    <s v="USA"/>
    <d v="2023-07-01T01:45:00"/>
    <x v="1"/>
    <x v="23"/>
    <n v="6964"/>
    <s v="USA"/>
    <x v="41"/>
    <x v="59"/>
    <x v="0"/>
    <n v="1000000"/>
    <x v="12"/>
    <s v="F"/>
    <x v="53"/>
    <x v="1"/>
  </r>
  <r>
    <n v="1104509"/>
    <n v="20"/>
    <s v="USA"/>
    <d v="2023-05-27T01:26:00"/>
    <x v="0"/>
    <x v="14"/>
    <n v="5599"/>
    <s v="USA"/>
    <x v="278"/>
    <x v="65"/>
    <x v="3"/>
    <n v="200000"/>
    <x v="13"/>
    <s v="F"/>
    <x v="4"/>
    <x v="2"/>
  </r>
  <r>
    <n v="1104723"/>
    <n v="584"/>
    <s v="USA"/>
    <d v="2023-01-26T23:40:00"/>
    <x v="2"/>
    <x v="66"/>
    <n v="1066"/>
    <s v="USA"/>
    <x v="112"/>
    <x v="1"/>
    <x v="1"/>
    <n v="100000"/>
    <x v="8"/>
    <s v="F"/>
    <x v="41"/>
    <x v="0"/>
  </r>
  <r>
    <n v="1105163"/>
    <n v="1591"/>
    <s v="USA"/>
    <d v="2023-04-26T01:24:00"/>
    <x v="0"/>
    <x v="1"/>
    <n v="9903"/>
    <s v="USA"/>
    <x v="48"/>
    <x v="124"/>
    <x v="1"/>
    <n v="200000"/>
    <x v="1"/>
    <s v="M"/>
    <x v="57"/>
    <x v="1"/>
  </r>
  <r>
    <n v="1105875"/>
    <n v="1722"/>
    <s v="USA"/>
    <d v="2023-12-15T23:26:00"/>
    <x v="1"/>
    <x v="39"/>
    <n v="4863"/>
    <s v="USA"/>
    <x v="0"/>
    <x v="191"/>
    <x v="3"/>
    <n v="1000000"/>
    <x v="6"/>
    <s v="M"/>
    <x v="7"/>
    <x v="1"/>
  </r>
  <r>
    <n v="1106456"/>
    <n v="378"/>
    <s v="Switzerland"/>
    <d v="2023-08-03T22:52:00"/>
    <x v="0"/>
    <x v="3"/>
    <n v="9636"/>
    <s v="Switzerland"/>
    <x v="135"/>
    <x v="5"/>
    <x v="2"/>
    <n v="150000"/>
    <x v="3"/>
    <s v="M"/>
    <x v="45"/>
    <x v="2"/>
  </r>
  <r>
    <n v="1107821"/>
    <n v="581"/>
    <s v="USA"/>
    <d v="2023-10-18T00:25:00"/>
    <x v="2"/>
    <x v="4"/>
    <n v="3452"/>
    <s v="USA"/>
    <x v="47"/>
    <x v="148"/>
    <x v="0"/>
    <n v="200000"/>
    <x v="4"/>
    <s v="M"/>
    <x v="62"/>
    <x v="0"/>
  </r>
  <r>
    <n v="1107986"/>
    <n v="632"/>
    <s v="USA"/>
    <d v="2023-09-18T00:30:00"/>
    <x v="0"/>
    <x v="42"/>
    <n v="384"/>
    <s v="USA"/>
    <x v="121"/>
    <x v="111"/>
    <x v="0"/>
    <n v="200000"/>
    <x v="14"/>
    <s v="F"/>
    <x v="25"/>
    <x v="0"/>
  </r>
  <r>
    <n v="1108968"/>
    <n v="255"/>
    <s v="Italy"/>
    <d v="2023-11-14T01:12:00"/>
    <x v="3"/>
    <x v="6"/>
    <n v="2300"/>
    <s v="Italy"/>
    <x v="362"/>
    <x v="52"/>
    <x v="3"/>
    <n v="150000"/>
    <x v="6"/>
    <s v="M"/>
    <x v="14"/>
    <x v="2"/>
  </r>
  <r>
    <n v="1110547"/>
    <n v="1438"/>
    <s v="Singapore"/>
    <d v="2023-02-14T22:55:00"/>
    <x v="1"/>
    <x v="23"/>
    <n v="8840"/>
    <s v="Singapore"/>
    <x v="157"/>
    <x v="125"/>
    <x v="0"/>
    <n v="1000000"/>
    <x v="12"/>
    <s v="M"/>
    <x v="31"/>
    <x v="3"/>
  </r>
  <r>
    <n v="1111675"/>
    <n v="665"/>
    <s v="France"/>
    <d v="2023-02-26T23:36:00"/>
    <x v="0"/>
    <x v="9"/>
    <n v="5031"/>
    <s v="France"/>
    <x v="269"/>
    <x v="135"/>
    <x v="1"/>
    <n v="150000"/>
    <x v="9"/>
    <s v="M"/>
    <x v="53"/>
    <x v="0"/>
  </r>
  <r>
    <n v="1112646"/>
    <n v="1355"/>
    <s v="Spain"/>
    <d v="2023-09-27T00:27:00"/>
    <x v="1"/>
    <x v="6"/>
    <n v="8949"/>
    <s v="Spain"/>
    <x v="299"/>
    <x v="108"/>
    <x v="3"/>
    <n v="150000"/>
    <x v="6"/>
    <s v="M"/>
    <x v="69"/>
    <x v="3"/>
  </r>
  <r>
    <n v="1114314"/>
    <n v="1192"/>
    <s v="USA"/>
    <d v="2023-04-01T00:56:00"/>
    <x v="0"/>
    <x v="11"/>
    <n v="3962"/>
    <s v="USA"/>
    <x v="219"/>
    <x v="150"/>
    <x v="1"/>
    <n v="150000"/>
    <x v="1"/>
    <s v="F"/>
    <x v="27"/>
    <x v="3"/>
  </r>
  <r>
    <n v="1115197"/>
    <n v="1108"/>
    <s v="India"/>
    <d v="2023-07-29T00:02:00"/>
    <x v="2"/>
    <x v="9"/>
    <n v="1278"/>
    <s v="India"/>
    <x v="154"/>
    <x v="89"/>
    <x v="1"/>
    <n v="150000"/>
    <x v="9"/>
    <s v="F"/>
    <x v="59"/>
    <x v="3"/>
  </r>
  <r>
    <n v="1115208"/>
    <n v="1777"/>
    <s v="USA"/>
    <d v="2023-03-15T22:39:00"/>
    <x v="1"/>
    <x v="58"/>
    <n v="1807"/>
    <s v="USA"/>
    <x v="225"/>
    <x v="90"/>
    <x v="3"/>
    <n v="100000"/>
    <x v="20"/>
    <s v="F"/>
    <x v="30"/>
    <x v="1"/>
  </r>
  <r>
    <n v="1115751"/>
    <n v="587"/>
    <s v="USA"/>
    <d v="2023-06-06T23:48:00"/>
    <x v="1"/>
    <x v="71"/>
    <n v="3833"/>
    <s v="USA"/>
    <x v="174"/>
    <x v="153"/>
    <x v="1"/>
    <n v="50000"/>
    <x v="8"/>
    <s v="M"/>
    <x v="66"/>
    <x v="0"/>
  </r>
  <r>
    <n v="1115759"/>
    <n v="378"/>
    <s v="Switzerland"/>
    <d v="2023-02-10T00:06:00"/>
    <x v="2"/>
    <x v="15"/>
    <n v="6504"/>
    <s v="Switzerland"/>
    <x v="115"/>
    <x v="22"/>
    <x v="0"/>
    <n v="150000"/>
    <x v="14"/>
    <s v="M"/>
    <x v="45"/>
    <x v="2"/>
  </r>
  <r>
    <n v="1118626"/>
    <n v="1552"/>
    <s v="Italy"/>
    <d v="2023-12-12T01:37:00"/>
    <x v="2"/>
    <x v="16"/>
    <n v="1623"/>
    <s v="Italy"/>
    <x v="92"/>
    <x v="109"/>
    <x v="4"/>
    <n v="150000"/>
    <x v="15"/>
    <s v="F"/>
    <x v="2"/>
    <x v="1"/>
  </r>
  <r>
    <n v="1119156"/>
    <n v="837"/>
    <s v="Australia"/>
    <d v="2023-12-25T01:25:00"/>
    <x v="3"/>
    <x v="17"/>
    <n v="2932"/>
    <s v="Australia"/>
    <x v="312"/>
    <x v="195"/>
    <x v="0"/>
    <n v="150000"/>
    <x v="14"/>
    <s v="F"/>
    <x v="39"/>
    <x v="0"/>
  </r>
  <r>
    <n v="1119400"/>
    <n v="1428"/>
    <s v="France"/>
    <d v="2023-06-07T23:08:00"/>
    <x v="1"/>
    <x v="79"/>
    <n v="1558"/>
    <s v="France"/>
    <x v="69"/>
    <x v="66"/>
    <x v="1"/>
    <n v="200000"/>
    <x v="9"/>
    <s v="F"/>
    <x v="56"/>
    <x v="3"/>
  </r>
  <r>
    <n v="1121011"/>
    <n v="1757"/>
    <s v="Spain"/>
    <d v="2023-10-03T01:02:00"/>
    <x v="0"/>
    <x v="66"/>
    <n v="1675"/>
    <s v="Spain"/>
    <x v="307"/>
    <x v="186"/>
    <x v="1"/>
    <n v="100000"/>
    <x v="8"/>
    <s v="M"/>
    <x v="1"/>
    <x v="1"/>
  </r>
  <r>
    <n v="1122327"/>
    <n v="1295"/>
    <s v="Finland"/>
    <d v="2023-08-02T16:44:00"/>
    <x v="3"/>
    <x v="19"/>
    <n v="6240"/>
    <s v="Finland"/>
    <x v="159"/>
    <x v="205"/>
    <x v="0"/>
    <n v="150000"/>
    <x v="16"/>
    <s v="F"/>
    <x v="46"/>
    <x v="3"/>
  </r>
  <r>
    <n v="1123688"/>
    <n v="66"/>
    <s v="Australia"/>
    <d v="2023-04-25T01:07:00"/>
    <x v="2"/>
    <x v="23"/>
    <n v="1398"/>
    <s v="Australia"/>
    <x v="134"/>
    <x v="31"/>
    <x v="0"/>
    <n v="1000000"/>
    <x v="12"/>
    <s v="M"/>
    <x v="35"/>
    <x v="2"/>
  </r>
  <r>
    <n v="1124146"/>
    <n v="1501"/>
    <s v="USA"/>
    <d v="2023-04-21T00:24:00"/>
    <x v="2"/>
    <x v="73"/>
    <n v="3329"/>
    <s v="USA"/>
    <x v="276"/>
    <x v="115"/>
    <x v="4"/>
    <n v="100000"/>
    <x v="25"/>
    <s v="M"/>
    <x v="66"/>
    <x v="1"/>
  </r>
  <r>
    <n v="1125245"/>
    <n v="1611"/>
    <s v="France"/>
    <d v="2023-05-28T23:55:00"/>
    <x v="3"/>
    <x v="14"/>
    <n v="4618"/>
    <s v="France"/>
    <x v="229"/>
    <x v="166"/>
    <x v="3"/>
    <n v="200000"/>
    <x v="13"/>
    <s v="M"/>
    <x v="2"/>
    <x v="1"/>
  </r>
  <r>
    <n v="1125247"/>
    <n v="1574"/>
    <s v="Austria"/>
    <d v="2023-07-21T00:08:00"/>
    <x v="0"/>
    <x v="39"/>
    <n v="905"/>
    <s v="Austria"/>
    <x v="77"/>
    <x v="149"/>
    <x v="3"/>
    <n v="1000000"/>
    <x v="6"/>
    <s v="F"/>
    <x v="40"/>
    <x v="1"/>
  </r>
  <r>
    <n v="1125352"/>
    <n v="1633"/>
    <s v="Australia"/>
    <d v="2023-04-27T01:33:00"/>
    <x v="3"/>
    <x v="22"/>
    <n v="4193"/>
    <s v="Australia"/>
    <x v="321"/>
    <x v="47"/>
    <x v="3"/>
    <n v="100000"/>
    <x v="13"/>
    <s v="M"/>
    <x v="71"/>
    <x v="1"/>
  </r>
  <r>
    <n v="1127154"/>
    <n v="87"/>
    <s v="India"/>
    <d v="2023-06-09T00:04:00"/>
    <x v="0"/>
    <x v="77"/>
    <n v="9219"/>
    <s v="India"/>
    <x v="61"/>
    <x v="64"/>
    <x v="1"/>
    <n v="250000"/>
    <x v="24"/>
    <s v="M"/>
    <x v="14"/>
    <x v="2"/>
  </r>
  <r>
    <n v="1127303"/>
    <n v="1778"/>
    <s v="USA"/>
    <d v="2023-02-14T00:58:00"/>
    <x v="0"/>
    <x v="84"/>
    <n v="866"/>
    <s v="USA"/>
    <x v="157"/>
    <x v="28"/>
    <x v="2"/>
    <n v="100000"/>
    <x v="3"/>
    <s v="M"/>
    <x v="1"/>
    <x v="1"/>
  </r>
  <r>
    <n v="1127861"/>
    <n v="1385"/>
    <s v="USA"/>
    <d v="2023-07-20T01:15:00"/>
    <x v="3"/>
    <x v="42"/>
    <n v="8302"/>
    <s v="USA"/>
    <x v="265"/>
    <x v="127"/>
    <x v="0"/>
    <n v="200000"/>
    <x v="14"/>
    <s v="M"/>
    <x v="24"/>
    <x v="3"/>
  </r>
  <r>
    <n v="1127964"/>
    <n v="934"/>
    <s v="USA"/>
    <d v="2023-11-05T00:23:00"/>
    <x v="3"/>
    <x v="78"/>
    <n v="927"/>
    <s v="USA"/>
    <x v="36"/>
    <x v="6"/>
    <x v="0"/>
    <n v="100000"/>
    <x v="12"/>
    <s v="M"/>
    <x v="41"/>
    <x v="0"/>
  </r>
  <r>
    <n v="1129422"/>
    <n v="327"/>
    <s v="India"/>
    <d v="2023-10-21T01:26:00"/>
    <x v="2"/>
    <x v="13"/>
    <n v="1595"/>
    <s v="India"/>
    <x v="96"/>
    <x v="65"/>
    <x v="0"/>
    <n v="100000"/>
    <x v="12"/>
    <s v="F"/>
    <x v="24"/>
    <x v="2"/>
  </r>
  <r>
    <n v="1129509"/>
    <n v="1097"/>
    <s v="India"/>
    <d v="2023-06-04T01:16:00"/>
    <x v="2"/>
    <x v="39"/>
    <n v="7051"/>
    <s v="India"/>
    <x v="190"/>
    <x v="84"/>
    <x v="3"/>
    <n v="1000000"/>
    <x v="6"/>
    <s v="F"/>
    <x v="49"/>
    <x v="3"/>
  </r>
  <r>
    <n v="1129725"/>
    <n v="1250"/>
    <s v="USA"/>
    <d v="2023-11-09T00:08:00"/>
    <x v="1"/>
    <x v="40"/>
    <n v="9660"/>
    <s v="USA"/>
    <x v="119"/>
    <x v="149"/>
    <x v="2"/>
    <n v="150000"/>
    <x v="2"/>
    <s v="M"/>
    <x v="56"/>
    <x v="3"/>
  </r>
  <r>
    <n v="1130025"/>
    <n v="5"/>
    <s v="Denmark"/>
    <d v="2023-06-09T23:02:00"/>
    <x v="0"/>
    <x v="74"/>
    <n v="5739"/>
    <s v="Denmark"/>
    <x v="61"/>
    <x v="114"/>
    <x v="1"/>
    <n v="200000"/>
    <x v="18"/>
    <s v="M"/>
    <x v="49"/>
    <x v="2"/>
  </r>
  <r>
    <n v="1130287"/>
    <n v="362"/>
    <s v="India"/>
    <d v="2023-08-30T00:53:00"/>
    <x v="2"/>
    <x v="23"/>
    <n v="7662"/>
    <s v="India"/>
    <x v="74"/>
    <x v="36"/>
    <x v="0"/>
    <n v="1000000"/>
    <x v="12"/>
    <s v="M"/>
    <x v="17"/>
    <x v="2"/>
  </r>
  <r>
    <n v="1130380"/>
    <n v="745"/>
    <s v="Australia"/>
    <d v="2023-11-20T22:55:00"/>
    <x v="2"/>
    <x v="30"/>
    <n v="7425"/>
    <s v="Australia"/>
    <x v="216"/>
    <x v="125"/>
    <x v="2"/>
    <n v="150000"/>
    <x v="21"/>
    <s v="M"/>
    <x v="18"/>
    <x v="0"/>
  </r>
  <r>
    <n v="1131650"/>
    <n v="1676"/>
    <s v="Austria"/>
    <d v="2023-01-18T23:08:00"/>
    <x v="1"/>
    <x v="83"/>
    <n v="3121"/>
    <s v="Austria"/>
    <x v="247"/>
    <x v="66"/>
    <x v="2"/>
    <n v="100000"/>
    <x v="19"/>
    <s v="M"/>
    <x v="5"/>
    <x v="1"/>
  </r>
  <r>
    <n v="1132855"/>
    <n v="16"/>
    <s v="Norway"/>
    <d v="2023-06-20T02:00:00"/>
    <x v="3"/>
    <x v="74"/>
    <n v="4518"/>
    <s v="Norway"/>
    <x v="168"/>
    <x v="23"/>
    <x v="1"/>
    <n v="200000"/>
    <x v="18"/>
    <s v="F"/>
    <x v="49"/>
    <x v="2"/>
  </r>
  <r>
    <n v="1133062"/>
    <n v="226"/>
    <s v="USA"/>
    <d v="2023-10-01T23:00:00"/>
    <x v="2"/>
    <x v="23"/>
    <n v="3501"/>
    <s v="USA"/>
    <x v="142"/>
    <x v="171"/>
    <x v="0"/>
    <n v="1000000"/>
    <x v="12"/>
    <s v="M"/>
    <x v="34"/>
    <x v="2"/>
  </r>
  <r>
    <n v="1133882"/>
    <n v="291"/>
    <s v="India"/>
    <d v="2023-08-07T23:55:00"/>
    <x v="2"/>
    <x v="65"/>
    <n v="3789"/>
    <s v="India"/>
    <x v="258"/>
    <x v="166"/>
    <x v="4"/>
    <n v="250000"/>
    <x v="28"/>
    <s v="F"/>
    <x v="60"/>
    <x v="2"/>
  </r>
  <r>
    <n v="1134072"/>
    <n v="662"/>
    <s v="USA"/>
    <d v="2023-12-06T00:49:00"/>
    <x v="3"/>
    <x v="22"/>
    <n v="3885"/>
    <s v="USA"/>
    <x v="136"/>
    <x v="35"/>
    <x v="3"/>
    <n v="100000"/>
    <x v="13"/>
    <s v="F"/>
    <x v="12"/>
    <x v="0"/>
  </r>
  <r>
    <n v="1134801"/>
    <n v="430"/>
    <s v="India"/>
    <d v="2023-03-12T23:29:00"/>
    <x v="2"/>
    <x v="23"/>
    <n v="3505"/>
    <s v="India"/>
    <x v="242"/>
    <x v="71"/>
    <x v="0"/>
    <n v="1000000"/>
    <x v="12"/>
    <s v="M"/>
    <x v="43"/>
    <x v="2"/>
  </r>
  <r>
    <n v="1135081"/>
    <n v="48"/>
    <s v="USA"/>
    <d v="2023-01-11T00:03:00"/>
    <x v="1"/>
    <x v="21"/>
    <n v="7107"/>
    <s v="USA"/>
    <x v="156"/>
    <x v="72"/>
    <x v="0"/>
    <n v="100000"/>
    <x v="4"/>
    <s v="F"/>
    <x v="50"/>
    <x v="2"/>
  </r>
  <r>
    <n v="1136468"/>
    <n v="1179"/>
    <s v="Spain"/>
    <d v="2023-11-06T01:07:00"/>
    <x v="0"/>
    <x v="77"/>
    <n v="8751"/>
    <s v="Spain"/>
    <x v="175"/>
    <x v="31"/>
    <x v="1"/>
    <n v="250000"/>
    <x v="24"/>
    <s v="F"/>
    <x v="22"/>
    <x v="3"/>
  </r>
  <r>
    <n v="1137562"/>
    <n v="1456"/>
    <s v="Spain"/>
    <d v="2023-10-28T00:09:00"/>
    <x v="3"/>
    <x v="84"/>
    <n v="9253"/>
    <s v="Spain"/>
    <x v="65"/>
    <x v="81"/>
    <x v="2"/>
    <n v="100000"/>
    <x v="3"/>
    <s v="F"/>
    <x v="31"/>
    <x v="3"/>
  </r>
  <r>
    <n v="1137891"/>
    <n v="1447"/>
    <s v="Singapore"/>
    <d v="2023-12-19T22:54:00"/>
    <x v="1"/>
    <x v="39"/>
    <n v="1289"/>
    <s v="Singapore"/>
    <x v="350"/>
    <x v="105"/>
    <x v="3"/>
    <n v="1000000"/>
    <x v="6"/>
    <s v="F"/>
    <x v="1"/>
    <x v="3"/>
  </r>
  <r>
    <n v="1138694"/>
    <n v="1525"/>
    <s v="Italy"/>
    <d v="2023-03-01T01:28:00"/>
    <x v="2"/>
    <x v="23"/>
    <n v="1217"/>
    <s v="Italy"/>
    <x v="130"/>
    <x v="49"/>
    <x v="0"/>
    <n v="1000000"/>
    <x v="12"/>
    <s v="F"/>
    <x v="27"/>
    <x v="1"/>
  </r>
  <r>
    <n v="1139025"/>
    <n v="1855"/>
    <s v="Denmark"/>
    <d v="2023-08-10T00:03:00"/>
    <x v="0"/>
    <x v="61"/>
    <n v="8569"/>
    <s v="Denmark"/>
    <x v="347"/>
    <x v="72"/>
    <x v="4"/>
    <n v="200000"/>
    <x v="28"/>
    <s v="F"/>
    <x v="60"/>
    <x v="1"/>
  </r>
  <r>
    <n v="1140100"/>
    <n v="759"/>
    <s v="USA"/>
    <d v="2023-06-07T01:04:00"/>
    <x v="2"/>
    <x v="20"/>
    <n v="6772"/>
    <s v="USA"/>
    <x v="69"/>
    <x v="121"/>
    <x v="1"/>
    <n v="200000"/>
    <x v="17"/>
    <s v="M"/>
    <x v="11"/>
    <x v="0"/>
  </r>
  <r>
    <n v="1140822"/>
    <n v="741"/>
    <s v="USA"/>
    <d v="2023-11-11T00:29:00"/>
    <x v="3"/>
    <x v="23"/>
    <n v="2833"/>
    <s v="USA"/>
    <x v="68"/>
    <x v="50"/>
    <x v="0"/>
    <n v="1000000"/>
    <x v="12"/>
    <s v="F"/>
    <x v="5"/>
    <x v="0"/>
  </r>
  <r>
    <n v="1141931"/>
    <n v="1018"/>
    <s v="France"/>
    <d v="2023-07-02T22:49:00"/>
    <x v="2"/>
    <x v="62"/>
    <n v="9219"/>
    <s v="France"/>
    <x v="143"/>
    <x v="206"/>
    <x v="2"/>
    <n v="150000"/>
    <x v="27"/>
    <s v="F"/>
    <x v="44"/>
    <x v="3"/>
  </r>
  <r>
    <n v="1143333"/>
    <n v="1998"/>
    <s v="Australia"/>
    <d v="2023-06-04T23:51:00"/>
    <x v="3"/>
    <x v="74"/>
    <n v="9565"/>
    <s v="Australia"/>
    <x v="190"/>
    <x v="87"/>
    <x v="1"/>
    <n v="200000"/>
    <x v="18"/>
    <s v="M"/>
    <x v="43"/>
    <x v="1"/>
  </r>
  <r>
    <n v="1144813"/>
    <n v="1176"/>
    <s v="USA"/>
    <d v="2023-11-09T01:06:00"/>
    <x v="0"/>
    <x v="73"/>
    <n v="1665"/>
    <s v="USA"/>
    <x v="119"/>
    <x v="207"/>
    <x v="4"/>
    <n v="100000"/>
    <x v="25"/>
    <s v="F"/>
    <x v="20"/>
    <x v="3"/>
  </r>
  <r>
    <n v="1145871"/>
    <n v="1893"/>
    <s v="Australia"/>
    <d v="2023-10-05T00:32:00"/>
    <x v="1"/>
    <x v="60"/>
    <n v="2301"/>
    <s v="Australia"/>
    <x v="75"/>
    <x v="58"/>
    <x v="1"/>
    <n v="100000"/>
    <x v="26"/>
    <s v="M"/>
    <x v="59"/>
    <x v="1"/>
  </r>
  <r>
    <n v="1146705"/>
    <n v="1840"/>
    <s v="USA"/>
    <d v="2023-07-23T23:36:00"/>
    <x v="0"/>
    <x v="26"/>
    <n v="6434"/>
    <s v="USA"/>
    <x v="205"/>
    <x v="135"/>
    <x v="2"/>
    <n v="200000"/>
    <x v="19"/>
    <s v="M"/>
    <x v="69"/>
    <x v="1"/>
  </r>
  <r>
    <n v="1147846"/>
    <n v="137"/>
    <s v="India"/>
    <d v="2023-10-25T00:34:00"/>
    <x v="0"/>
    <x v="49"/>
    <n v="792"/>
    <s v="India"/>
    <x v="343"/>
    <x v="21"/>
    <x v="0"/>
    <n v="100000"/>
    <x v="10"/>
    <s v="M"/>
    <x v="5"/>
    <x v="2"/>
  </r>
  <r>
    <n v="1149488"/>
    <n v="1235"/>
    <s v="Singapore"/>
    <d v="2023-04-17T00:36:00"/>
    <x v="2"/>
    <x v="81"/>
    <n v="2062"/>
    <s v="Singapore"/>
    <x v="107"/>
    <x v="120"/>
    <x v="4"/>
    <n v="100000"/>
    <x v="15"/>
    <s v="M"/>
    <x v="45"/>
    <x v="3"/>
  </r>
  <r>
    <n v="1149537"/>
    <n v="158"/>
    <s v="USA"/>
    <d v="2023-02-01T00:20:00"/>
    <x v="2"/>
    <x v="47"/>
    <n v="2663"/>
    <s v="USA"/>
    <x v="363"/>
    <x v="68"/>
    <x v="3"/>
    <n v="100000"/>
    <x v="20"/>
    <s v="F"/>
    <x v="10"/>
    <x v="2"/>
  </r>
  <r>
    <n v="1150741"/>
    <n v="304"/>
    <s v="India"/>
    <d v="2023-03-09T01:26:00"/>
    <x v="0"/>
    <x v="64"/>
    <n v="9404"/>
    <s v="India"/>
    <x v="351"/>
    <x v="65"/>
    <x v="2"/>
    <n v="100000"/>
    <x v="3"/>
    <s v="F"/>
    <x v="37"/>
    <x v="2"/>
  </r>
  <r>
    <n v="1151977"/>
    <n v="1190"/>
    <s v="Norway"/>
    <d v="2023-12-31T01:46:00"/>
    <x v="3"/>
    <x v="82"/>
    <n v="4385"/>
    <s v="Norway"/>
    <x v="279"/>
    <x v="129"/>
    <x v="2"/>
    <n v="100000"/>
    <x v="19"/>
    <s v="M"/>
    <x v="63"/>
    <x v="3"/>
  </r>
  <r>
    <n v="1152358"/>
    <n v="1098"/>
    <s v="Singapore"/>
    <d v="2023-08-04T01:23:00"/>
    <x v="0"/>
    <x v="39"/>
    <n v="596"/>
    <s v="Singapore"/>
    <x v="353"/>
    <x v="83"/>
    <x v="3"/>
    <n v="1000000"/>
    <x v="6"/>
    <s v="M"/>
    <x v="34"/>
    <x v="3"/>
  </r>
  <r>
    <n v="1153425"/>
    <n v="1349"/>
    <s v="Australia"/>
    <d v="2023-07-05T01:06:00"/>
    <x v="0"/>
    <x v="23"/>
    <n v="4412"/>
    <s v="Australia"/>
    <x v="324"/>
    <x v="207"/>
    <x v="0"/>
    <n v="1000000"/>
    <x v="12"/>
    <s v="M"/>
    <x v="50"/>
    <x v="3"/>
  </r>
  <r>
    <n v="1154586"/>
    <n v="1031"/>
    <s v="Australia"/>
    <d v="2023-10-08T00:03:00"/>
    <x v="1"/>
    <x v="65"/>
    <n v="5173"/>
    <s v="Australia"/>
    <x v="319"/>
    <x v="72"/>
    <x v="4"/>
    <n v="250000"/>
    <x v="28"/>
    <s v="M"/>
    <x v="28"/>
    <x v="3"/>
  </r>
  <r>
    <n v="1155724"/>
    <n v="174"/>
    <s v="Italy"/>
    <d v="2023-06-14T23:14:00"/>
    <x v="0"/>
    <x v="39"/>
    <n v="2828"/>
    <s v="Italy"/>
    <x v="124"/>
    <x v="70"/>
    <x v="3"/>
    <n v="1000000"/>
    <x v="6"/>
    <s v="M"/>
    <x v="17"/>
    <x v="2"/>
  </r>
  <r>
    <n v="1156199"/>
    <n v="179"/>
    <s v="France"/>
    <d v="2023-08-09T00:11:00"/>
    <x v="2"/>
    <x v="18"/>
    <n v="893"/>
    <s v="France"/>
    <x v="282"/>
    <x v="10"/>
    <x v="2"/>
    <n v="100000"/>
    <x v="5"/>
    <s v="F"/>
    <x v="18"/>
    <x v="2"/>
  </r>
  <r>
    <n v="1156227"/>
    <n v="1154"/>
    <s v="Spain"/>
    <d v="2023-07-21T23:34:00"/>
    <x v="1"/>
    <x v="0"/>
    <n v="2490"/>
    <s v="Spain"/>
    <x v="77"/>
    <x v="99"/>
    <x v="0"/>
    <n v="200000"/>
    <x v="0"/>
    <s v="M"/>
    <x v="51"/>
    <x v="3"/>
  </r>
  <r>
    <n v="1156649"/>
    <n v="1950"/>
    <s v="Singapore"/>
    <d v="2023-08-03T01:04:00"/>
    <x v="2"/>
    <x v="15"/>
    <n v="2647"/>
    <s v="Singapore"/>
    <x v="135"/>
    <x v="121"/>
    <x v="0"/>
    <n v="150000"/>
    <x v="14"/>
    <s v="F"/>
    <x v="27"/>
    <x v="1"/>
  </r>
  <r>
    <n v="1157103"/>
    <n v="868"/>
    <s v="Switzerland"/>
    <d v="2023-09-27T01:35:00"/>
    <x v="1"/>
    <x v="78"/>
    <n v="6840"/>
    <s v="Switzerland"/>
    <x v="299"/>
    <x v="200"/>
    <x v="0"/>
    <n v="100000"/>
    <x v="12"/>
    <s v="F"/>
    <x v="34"/>
    <x v="0"/>
  </r>
  <r>
    <n v="1158886"/>
    <n v="1479"/>
    <s v="USA"/>
    <d v="2023-09-02T00:45:00"/>
    <x v="2"/>
    <x v="11"/>
    <n v="3135"/>
    <s v="USA"/>
    <x v="204"/>
    <x v="29"/>
    <x v="1"/>
    <n v="150000"/>
    <x v="1"/>
    <s v="F"/>
    <x v="27"/>
    <x v="3"/>
  </r>
  <r>
    <n v="1159317"/>
    <n v="997"/>
    <s v="India"/>
    <d v="2023-12-06T00:48:00"/>
    <x v="0"/>
    <x v="39"/>
    <n v="9148"/>
    <s v="India"/>
    <x v="136"/>
    <x v="88"/>
    <x v="3"/>
    <n v="1000000"/>
    <x v="6"/>
    <s v="F"/>
    <x v="30"/>
    <x v="0"/>
  </r>
  <r>
    <n v="1160516"/>
    <n v="1958"/>
    <s v="Ireland"/>
    <d v="2023-08-01T00:06:00"/>
    <x v="3"/>
    <x v="74"/>
    <n v="3233"/>
    <s v="Ireland"/>
    <x v="238"/>
    <x v="22"/>
    <x v="1"/>
    <n v="200000"/>
    <x v="18"/>
    <s v="F"/>
    <x v="12"/>
    <x v="1"/>
  </r>
  <r>
    <n v="1160613"/>
    <n v="1990"/>
    <s v="USA"/>
    <d v="2023-12-22T01:14:00"/>
    <x v="0"/>
    <x v="23"/>
    <n v="8077"/>
    <s v="USA"/>
    <x v="217"/>
    <x v="156"/>
    <x v="0"/>
    <n v="1000000"/>
    <x v="12"/>
    <s v="F"/>
    <x v="20"/>
    <x v="1"/>
  </r>
  <r>
    <n v="1162071"/>
    <n v="1920"/>
    <s v="USA"/>
    <d v="2023-06-26T01:37:00"/>
    <x v="1"/>
    <x v="39"/>
    <n v="2237"/>
    <s v="USA"/>
    <x v="314"/>
    <x v="109"/>
    <x v="3"/>
    <n v="1000000"/>
    <x v="6"/>
    <s v="M"/>
    <x v="64"/>
    <x v="1"/>
  </r>
  <r>
    <n v="1162786"/>
    <n v="1923"/>
    <s v="Italy"/>
    <d v="2023-04-16T22:31:00"/>
    <x v="2"/>
    <x v="23"/>
    <n v="3405"/>
    <s v="Italy"/>
    <x v="193"/>
    <x v="208"/>
    <x v="0"/>
    <n v="1000000"/>
    <x v="12"/>
    <s v="M"/>
    <x v="3"/>
    <x v="1"/>
  </r>
  <r>
    <n v="1162801"/>
    <n v="1177"/>
    <s v="Denmark"/>
    <d v="2023-05-02T01:30:00"/>
    <x v="0"/>
    <x v="23"/>
    <n v="8149"/>
    <s v="Denmark"/>
    <x v="211"/>
    <x v="209"/>
    <x v="0"/>
    <n v="1000000"/>
    <x v="12"/>
    <s v="F"/>
    <x v="70"/>
    <x v="3"/>
  </r>
  <r>
    <n v="1162874"/>
    <n v="1403"/>
    <s v="USA"/>
    <d v="2023-06-08T22:55:00"/>
    <x v="1"/>
    <x v="23"/>
    <n v="2610"/>
    <s v="USA"/>
    <x v="267"/>
    <x v="125"/>
    <x v="0"/>
    <n v="1000000"/>
    <x v="12"/>
    <s v="M"/>
    <x v="49"/>
    <x v="3"/>
  </r>
  <r>
    <n v="1163316"/>
    <n v="863"/>
    <s v="Ireland"/>
    <d v="2023-02-02T00:30:00"/>
    <x v="2"/>
    <x v="14"/>
    <n v="5671"/>
    <s v="Ireland"/>
    <x v="139"/>
    <x v="111"/>
    <x v="3"/>
    <n v="200000"/>
    <x v="13"/>
    <s v="F"/>
    <x v="42"/>
    <x v="0"/>
  </r>
  <r>
    <n v="1163648"/>
    <n v="958"/>
    <s v="USA"/>
    <d v="2023-03-02T00:57:00"/>
    <x v="3"/>
    <x v="86"/>
    <n v="9428"/>
    <s v="USA"/>
    <x v="137"/>
    <x v="42"/>
    <x v="0"/>
    <n v="150000"/>
    <x v="11"/>
    <s v="M"/>
    <x v="20"/>
    <x v="0"/>
  </r>
  <r>
    <n v="1163680"/>
    <n v="485"/>
    <s v="France"/>
    <d v="2023-03-26T00:35:00"/>
    <x v="3"/>
    <x v="19"/>
    <n v="890"/>
    <s v="France"/>
    <x v="132"/>
    <x v="67"/>
    <x v="0"/>
    <n v="150000"/>
    <x v="16"/>
    <s v="M"/>
    <x v="11"/>
    <x v="2"/>
  </r>
  <r>
    <n v="1164686"/>
    <n v="393"/>
    <s v="India"/>
    <d v="2023-12-29T01:34:00"/>
    <x v="0"/>
    <x v="88"/>
    <n v="1148"/>
    <s v="India"/>
    <x v="277"/>
    <x v="161"/>
    <x v="3"/>
    <n v="30000"/>
    <x v="29"/>
    <s v="F"/>
    <x v="11"/>
    <x v="2"/>
  </r>
  <r>
    <n v="1164859"/>
    <n v="1620"/>
    <s v="USA"/>
    <d v="2023-04-06T22:39:00"/>
    <x v="1"/>
    <x v="50"/>
    <n v="7286"/>
    <s v="USA"/>
    <x v="253"/>
    <x v="90"/>
    <x v="2"/>
    <n v="100000"/>
    <x v="27"/>
    <s v="F"/>
    <x v="57"/>
    <x v="1"/>
  </r>
  <r>
    <n v="1165044"/>
    <n v="1562"/>
    <s v="Spain"/>
    <d v="2023-03-23T00:43:00"/>
    <x v="1"/>
    <x v="16"/>
    <n v="8271"/>
    <s v="Spain"/>
    <x v="320"/>
    <x v="112"/>
    <x v="4"/>
    <n v="150000"/>
    <x v="15"/>
    <s v="M"/>
    <x v="1"/>
    <x v="1"/>
  </r>
  <r>
    <n v="1165350"/>
    <n v="1526"/>
    <s v="USA"/>
    <d v="2023-09-07T01:09:00"/>
    <x v="2"/>
    <x v="37"/>
    <n v="4870"/>
    <s v="USA"/>
    <x v="196"/>
    <x v="92"/>
    <x v="3"/>
    <n v="150000"/>
    <x v="6"/>
    <s v="F"/>
    <x v="63"/>
    <x v="1"/>
  </r>
  <r>
    <n v="1165475"/>
    <n v="713"/>
    <s v="Finland"/>
    <d v="2023-11-01T23:19:00"/>
    <x v="2"/>
    <x v="51"/>
    <n v="4856"/>
    <s v="Finland"/>
    <x v="172"/>
    <x v="24"/>
    <x v="2"/>
    <n v="100000"/>
    <x v="22"/>
    <s v="M"/>
    <x v="20"/>
    <x v="0"/>
  </r>
  <r>
    <n v="1165654"/>
    <n v="454"/>
    <s v="USA"/>
    <d v="2023-10-27T23:25:00"/>
    <x v="2"/>
    <x v="52"/>
    <n v="7755"/>
    <s v="USA"/>
    <x v="34"/>
    <x v="141"/>
    <x v="4"/>
    <n v="50000"/>
    <x v="23"/>
    <s v="F"/>
    <x v="2"/>
    <x v="2"/>
  </r>
  <r>
    <n v="1165962"/>
    <n v="53"/>
    <s v="Italy"/>
    <d v="2023-12-30T23:46:00"/>
    <x v="2"/>
    <x v="66"/>
    <n v="9977"/>
    <s v="Italy"/>
    <x v="2"/>
    <x v="9"/>
    <x v="1"/>
    <n v="100000"/>
    <x v="8"/>
    <s v="M"/>
    <x v="14"/>
    <x v="2"/>
  </r>
  <r>
    <n v="1166621"/>
    <n v="1789"/>
    <s v="Germany"/>
    <d v="2023-07-11T00:09:00"/>
    <x v="0"/>
    <x v="54"/>
    <n v="2664"/>
    <s v="Germany"/>
    <x v="149"/>
    <x v="81"/>
    <x v="1"/>
    <n v="80000"/>
    <x v="17"/>
    <s v="F"/>
    <x v="31"/>
    <x v="1"/>
  </r>
  <r>
    <n v="1166715"/>
    <n v="337"/>
    <s v="Singapore"/>
    <d v="2023-05-10T00:15:00"/>
    <x v="2"/>
    <x v="55"/>
    <n v="8874"/>
    <s v="Singapore"/>
    <x v="51"/>
    <x v="123"/>
    <x v="2"/>
    <n v="80000"/>
    <x v="27"/>
    <s v="M"/>
    <x v="30"/>
    <x v="2"/>
  </r>
  <r>
    <n v="1168908"/>
    <n v="982"/>
    <s v="USA"/>
    <d v="2023-10-16T01:12:00"/>
    <x v="1"/>
    <x v="33"/>
    <n v="6598"/>
    <s v="USA"/>
    <x v="114"/>
    <x v="52"/>
    <x v="2"/>
    <n v="100000"/>
    <x v="2"/>
    <s v="F"/>
    <x v="31"/>
    <x v="0"/>
  </r>
  <r>
    <n v="1169043"/>
    <n v="189"/>
    <s v="USA"/>
    <d v="2023-06-25T00:24:00"/>
    <x v="1"/>
    <x v="23"/>
    <n v="6955"/>
    <s v="USA"/>
    <x v="138"/>
    <x v="115"/>
    <x v="0"/>
    <n v="1000000"/>
    <x v="12"/>
    <s v="F"/>
    <x v="0"/>
    <x v="2"/>
  </r>
  <r>
    <n v="1170043"/>
    <n v="950"/>
    <s v="France"/>
    <d v="2023-11-20T01:42:00"/>
    <x v="0"/>
    <x v="41"/>
    <n v="6767"/>
    <s v="France"/>
    <x v="216"/>
    <x v="14"/>
    <x v="0"/>
    <n v="100000"/>
    <x v="0"/>
    <s v="M"/>
    <x v="54"/>
    <x v="0"/>
  </r>
  <r>
    <n v="1171504"/>
    <n v="853"/>
    <s v="USA"/>
    <d v="2023-05-07T00:23:00"/>
    <x v="2"/>
    <x v="85"/>
    <n v="4396"/>
    <s v="USA"/>
    <x v="37"/>
    <x v="6"/>
    <x v="2"/>
    <n v="150000"/>
    <x v="21"/>
    <s v="M"/>
    <x v="56"/>
    <x v="0"/>
  </r>
  <r>
    <n v="1171525"/>
    <n v="602"/>
    <s v="Austria"/>
    <d v="2023-03-03T23:49:00"/>
    <x v="0"/>
    <x v="89"/>
    <n v="849"/>
    <s v="Austria"/>
    <x v="30"/>
    <x v="43"/>
    <x v="4"/>
    <n v="30000"/>
    <x v="23"/>
    <s v="F"/>
    <x v="32"/>
    <x v="0"/>
  </r>
  <r>
    <n v="1173348"/>
    <n v="1068"/>
    <s v="Spain"/>
    <d v="2023-12-17T01:17:00"/>
    <x v="3"/>
    <x v="29"/>
    <n v="8654"/>
    <s v="Spain"/>
    <x v="72"/>
    <x v="210"/>
    <x v="3"/>
    <n v="100000"/>
    <x v="13"/>
    <s v="M"/>
    <x v="72"/>
    <x v="3"/>
  </r>
  <r>
    <n v="1173471"/>
    <n v="1979"/>
    <s v="Finland"/>
    <d v="2023-08-20T02:00:00"/>
    <x v="0"/>
    <x v="59"/>
    <n v="7703"/>
    <s v="Finland"/>
    <x v="251"/>
    <x v="23"/>
    <x v="1"/>
    <n v="100000"/>
    <x v="1"/>
    <s v="F"/>
    <x v="29"/>
    <x v="1"/>
  </r>
  <r>
    <n v="1175258"/>
    <n v="1643"/>
    <s v="Australia"/>
    <d v="2023-07-30T00:51:00"/>
    <x v="3"/>
    <x v="86"/>
    <n v="6538"/>
    <s v="Australia"/>
    <x v="113"/>
    <x v="93"/>
    <x v="0"/>
    <n v="150000"/>
    <x v="11"/>
    <s v="F"/>
    <x v="3"/>
    <x v="1"/>
  </r>
  <r>
    <n v="1175716"/>
    <n v="1442"/>
    <s v="USA"/>
    <d v="2023-04-19T00:48:00"/>
    <x v="2"/>
    <x v="35"/>
    <n v="9617"/>
    <s v="USA"/>
    <x v="108"/>
    <x v="88"/>
    <x v="4"/>
    <n v="100000"/>
    <x v="15"/>
    <s v="M"/>
    <x v="43"/>
    <x v="3"/>
  </r>
  <r>
    <n v="1177486"/>
    <n v="642"/>
    <s v="France"/>
    <d v="2023-12-18T01:38:00"/>
    <x v="3"/>
    <x v="49"/>
    <n v="2740"/>
    <s v="France"/>
    <x v="11"/>
    <x v="211"/>
    <x v="0"/>
    <n v="100000"/>
    <x v="10"/>
    <s v="F"/>
    <x v="24"/>
    <x v="0"/>
  </r>
  <r>
    <n v="1178982"/>
    <n v="687"/>
    <s v="France"/>
    <d v="2023-04-28T01:04:00"/>
    <x v="1"/>
    <x v="60"/>
    <n v="52"/>
    <s v="France"/>
    <x v="335"/>
    <x v="121"/>
    <x v="1"/>
    <n v="100000"/>
    <x v="26"/>
    <s v="F"/>
    <x v="63"/>
    <x v="0"/>
  </r>
  <r>
    <n v="1179872"/>
    <n v="323"/>
    <s v="France"/>
    <d v="2023-07-27T00:04:00"/>
    <x v="3"/>
    <x v="23"/>
    <n v="6228"/>
    <s v="France"/>
    <x v="85"/>
    <x v="64"/>
    <x v="0"/>
    <n v="1000000"/>
    <x v="12"/>
    <s v="M"/>
    <x v="22"/>
    <x v="2"/>
  </r>
  <r>
    <n v="1180153"/>
    <n v="873"/>
    <s v="Finland"/>
    <d v="2023-10-22T00:29:00"/>
    <x v="0"/>
    <x v="1"/>
    <n v="3374"/>
    <s v="Finland"/>
    <x v="322"/>
    <x v="50"/>
    <x v="1"/>
    <n v="200000"/>
    <x v="1"/>
    <s v="M"/>
    <x v="21"/>
    <x v="0"/>
  </r>
  <r>
    <n v="1180567"/>
    <n v="898"/>
    <s v="USA"/>
    <d v="2023-09-09T22:56:00"/>
    <x v="0"/>
    <x v="61"/>
    <n v="7717"/>
    <s v="USA"/>
    <x v="360"/>
    <x v="26"/>
    <x v="4"/>
    <n v="200000"/>
    <x v="28"/>
    <s v="M"/>
    <x v="71"/>
    <x v="0"/>
  </r>
  <r>
    <n v="1180828"/>
    <n v="1063"/>
    <s v="India"/>
    <d v="2023-07-07T23:15:00"/>
    <x v="1"/>
    <x v="87"/>
    <n v="7190"/>
    <s v="India"/>
    <x v="264"/>
    <x v="136"/>
    <x v="0"/>
    <n v="100000"/>
    <x v="16"/>
    <s v="F"/>
    <x v="43"/>
    <x v="3"/>
  </r>
  <r>
    <n v="1181602"/>
    <n v="683"/>
    <s v="Australia"/>
    <d v="2023-07-27T00:34:00"/>
    <x v="2"/>
    <x v="77"/>
    <n v="8578"/>
    <s v="Australia"/>
    <x v="85"/>
    <x v="21"/>
    <x v="1"/>
    <n v="250000"/>
    <x v="24"/>
    <s v="F"/>
    <x v="59"/>
    <x v="0"/>
  </r>
  <r>
    <n v="1182031"/>
    <n v="1569"/>
    <s v="Spain"/>
    <d v="2023-11-08T00:52:00"/>
    <x v="1"/>
    <x v="84"/>
    <n v="3428"/>
    <s v="Spain"/>
    <x v="27"/>
    <x v="30"/>
    <x v="2"/>
    <n v="100000"/>
    <x v="3"/>
    <s v="F"/>
    <x v="1"/>
    <x v="1"/>
  </r>
  <r>
    <n v="1182341"/>
    <n v="225"/>
    <s v="Singapore"/>
    <d v="2023-12-02T23:13:00"/>
    <x v="2"/>
    <x v="42"/>
    <n v="567"/>
    <s v="Singapore"/>
    <x v="180"/>
    <x v="15"/>
    <x v="0"/>
    <n v="200000"/>
    <x v="14"/>
    <s v="F"/>
    <x v="69"/>
    <x v="2"/>
  </r>
  <r>
    <n v="1182759"/>
    <n v="722"/>
    <s v="USA"/>
    <d v="2023-01-07T01:06:00"/>
    <x v="2"/>
    <x v="78"/>
    <n v="2645"/>
    <s v="USA"/>
    <x v="336"/>
    <x v="207"/>
    <x v="0"/>
    <n v="100000"/>
    <x v="12"/>
    <s v="F"/>
    <x v="18"/>
    <x v="0"/>
  </r>
  <r>
    <n v="1182819"/>
    <n v="562"/>
    <s v="Singapore"/>
    <d v="2023-08-23T23:26:00"/>
    <x v="1"/>
    <x v="86"/>
    <n v="7031"/>
    <s v="Singapore"/>
    <x v="333"/>
    <x v="191"/>
    <x v="0"/>
    <n v="150000"/>
    <x v="11"/>
    <s v="F"/>
    <x v="21"/>
    <x v="0"/>
  </r>
  <r>
    <n v="1182826"/>
    <n v="1439"/>
    <s v="Spain"/>
    <d v="2023-11-09T23:58:00"/>
    <x v="2"/>
    <x v="39"/>
    <n v="3629"/>
    <s v="Spain"/>
    <x v="119"/>
    <x v="96"/>
    <x v="3"/>
    <n v="1000000"/>
    <x v="6"/>
    <s v="M"/>
    <x v="28"/>
    <x v="3"/>
  </r>
  <r>
    <n v="1183427"/>
    <n v="857"/>
    <s v="USA"/>
    <d v="2023-02-05T22:35:00"/>
    <x v="2"/>
    <x v="40"/>
    <n v="3095"/>
    <s v="USA"/>
    <x v="195"/>
    <x v="55"/>
    <x v="2"/>
    <n v="150000"/>
    <x v="2"/>
    <s v="F"/>
    <x v="6"/>
    <x v="0"/>
  </r>
  <r>
    <n v="1184082"/>
    <n v="312"/>
    <s v="Italy"/>
    <d v="2023-02-14T00:57:00"/>
    <x v="0"/>
    <x v="74"/>
    <n v="734"/>
    <s v="Italy"/>
    <x v="157"/>
    <x v="42"/>
    <x v="1"/>
    <n v="200000"/>
    <x v="18"/>
    <s v="M"/>
    <x v="4"/>
    <x v="2"/>
  </r>
  <r>
    <n v="1185440"/>
    <n v="1509"/>
    <s v="USA"/>
    <d v="2023-02-01T00:17:00"/>
    <x v="3"/>
    <x v="52"/>
    <n v="2567"/>
    <s v="USA"/>
    <x v="363"/>
    <x v="20"/>
    <x v="4"/>
    <n v="50000"/>
    <x v="23"/>
    <s v="M"/>
    <x v="34"/>
    <x v="1"/>
  </r>
  <r>
    <n v="1186707"/>
    <n v="1512"/>
    <s v="Denmark"/>
    <d v="2023-02-11T00:21:00"/>
    <x v="2"/>
    <x v="30"/>
    <n v="2061"/>
    <s v="Denmark"/>
    <x v="104"/>
    <x v="2"/>
    <x v="2"/>
    <n v="150000"/>
    <x v="21"/>
    <s v="F"/>
    <x v="9"/>
    <x v="1"/>
  </r>
  <r>
    <n v="1188487"/>
    <n v="526"/>
    <s v="USA"/>
    <d v="2023-12-16T01:52:00"/>
    <x v="2"/>
    <x v="83"/>
    <n v="2527"/>
    <s v="USA"/>
    <x v="257"/>
    <x v="179"/>
    <x v="2"/>
    <n v="100000"/>
    <x v="19"/>
    <s v="M"/>
    <x v="22"/>
    <x v="0"/>
  </r>
  <r>
    <n v="1189460"/>
    <n v="1181"/>
    <s v="Singapore"/>
    <d v="2023-07-03T00:28:00"/>
    <x v="3"/>
    <x v="74"/>
    <n v="4527"/>
    <s v="Singapore"/>
    <x v="32"/>
    <x v="39"/>
    <x v="1"/>
    <n v="200000"/>
    <x v="18"/>
    <s v="F"/>
    <x v="17"/>
    <x v="3"/>
  </r>
  <r>
    <n v="1189996"/>
    <n v="522"/>
    <s v="USA"/>
    <d v="2023-12-04T00:22:00"/>
    <x v="3"/>
    <x v="23"/>
    <n v="4719"/>
    <s v="USA"/>
    <x v="354"/>
    <x v="54"/>
    <x v="0"/>
    <n v="1000000"/>
    <x v="12"/>
    <s v="F"/>
    <x v="55"/>
    <x v="0"/>
  </r>
  <r>
    <n v="1190330"/>
    <n v="1176"/>
    <s v="USA"/>
    <d v="2023-04-17T00:26:00"/>
    <x v="1"/>
    <x v="65"/>
    <n v="5495"/>
    <s v="USA"/>
    <x v="107"/>
    <x v="151"/>
    <x v="4"/>
    <n v="250000"/>
    <x v="28"/>
    <s v="F"/>
    <x v="20"/>
    <x v="3"/>
  </r>
  <r>
    <n v="1190887"/>
    <n v="942"/>
    <s v="USA"/>
    <d v="2023-02-08T00:23:00"/>
    <x v="2"/>
    <x v="22"/>
    <n v="2060"/>
    <s v="USA"/>
    <x v="131"/>
    <x v="6"/>
    <x v="3"/>
    <n v="100000"/>
    <x v="13"/>
    <s v="F"/>
    <x v="54"/>
    <x v="0"/>
  </r>
  <r>
    <n v="1191785"/>
    <n v="1364"/>
    <s v="France"/>
    <d v="2023-11-17T23:58:00"/>
    <x v="1"/>
    <x v="23"/>
    <n v="8977"/>
    <s v="France"/>
    <x v="169"/>
    <x v="96"/>
    <x v="0"/>
    <n v="1000000"/>
    <x v="12"/>
    <s v="M"/>
    <x v="43"/>
    <x v="3"/>
  </r>
  <r>
    <n v="1192105"/>
    <n v="1143"/>
    <s v="Italy"/>
    <d v="2023-01-31T23:56:00"/>
    <x v="1"/>
    <x v="77"/>
    <n v="2021"/>
    <s v="Italy"/>
    <x v="236"/>
    <x v="138"/>
    <x v="1"/>
    <n v="250000"/>
    <x v="24"/>
    <s v="M"/>
    <x v="0"/>
    <x v="3"/>
  </r>
  <r>
    <n v="1194493"/>
    <n v="600"/>
    <s v="USA"/>
    <d v="2023-07-03T00:13:00"/>
    <x v="0"/>
    <x v="84"/>
    <n v="3567"/>
    <s v="USA"/>
    <x v="32"/>
    <x v="97"/>
    <x v="2"/>
    <n v="100000"/>
    <x v="3"/>
    <s v="M"/>
    <x v="55"/>
    <x v="0"/>
  </r>
  <r>
    <n v="1196110"/>
    <n v="1746"/>
    <s v="Italy"/>
    <d v="2023-03-27T00:27:00"/>
    <x v="0"/>
    <x v="39"/>
    <n v="4222"/>
    <s v="Italy"/>
    <x v="202"/>
    <x v="108"/>
    <x v="3"/>
    <n v="1000000"/>
    <x v="6"/>
    <s v="M"/>
    <x v="50"/>
    <x v="1"/>
  </r>
  <r>
    <n v="1197422"/>
    <n v="960"/>
    <s v="USA"/>
    <d v="2023-12-24T23:45:00"/>
    <x v="3"/>
    <x v="23"/>
    <n v="6726"/>
    <s v="USA"/>
    <x v="231"/>
    <x v="164"/>
    <x v="0"/>
    <n v="1000000"/>
    <x v="12"/>
    <s v="F"/>
    <x v="45"/>
    <x v="0"/>
  </r>
  <r>
    <n v="1197876"/>
    <n v="1148"/>
    <s v="Finland"/>
    <d v="2023-12-03T00:34:00"/>
    <x v="0"/>
    <x v="61"/>
    <n v="6055"/>
    <s v="Finland"/>
    <x v="201"/>
    <x v="21"/>
    <x v="4"/>
    <n v="200000"/>
    <x v="28"/>
    <s v="F"/>
    <x v="62"/>
    <x v="3"/>
  </r>
  <r>
    <n v="1198103"/>
    <n v="485"/>
    <s v="France"/>
    <d v="2023-03-24T01:56:00"/>
    <x v="3"/>
    <x v="20"/>
    <n v="1994"/>
    <s v="France"/>
    <x v="294"/>
    <x v="212"/>
    <x v="1"/>
    <n v="200000"/>
    <x v="17"/>
    <s v="M"/>
    <x v="11"/>
    <x v="2"/>
  </r>
  <r>
    <n v="1198240"/>
    <n v="1548"/>
    <s v="France"/>
    <d v="2023-08-23T01:53:00"/>
    <x v="1"/>
    <x v="45"/>
    <n v="1736"/>
    <s v="France"/>
    <x v="333"/>
    <x v="102"/>
    <x v="4"/>
    <n v="100000"/>
    <x v="25"/>
    <s v="M"/>
    <x v="7"/>
    <x v="1"/>
  </r>
  <r>
    <n v="1198743"/>
    <n v="782"/>
    <s v="USA"/>
    <d v="2023-07-01T01:05:00"/>
    <x v="3"/>
    <x v="67"/>
    <n v="2152"/>
    <s v="USA"/>
    <x v="41"/>
    <x v="12"/>
    <x v="3"/>
    <n v="150000"/>
    <x v="29"/>
    <s v="F"/>
    <x v="8"/>
    <x v="0"/>
  </r>
  <r>
    <n v="1199289"/>
    <n v="228"/>
    <s v="France"/>
    <d v="2023-06-16T01:08:00"/>
    <x v="2"/>
    <x v="39"/>
    <n v="1078"/>
    <s v="France"/>
    <x v="58"/>
    <x v="37"/>
    <x v="3"/>
    <n v="1000000"/>
    <x v="6"/>
    <s v="F"/>
    <x v="6"/>
    <x v="2"/>
  </r>
  <r>
    <n v="1200718"/>
    <n v="1963"/>
    <s v="Australia"/>
    <d v="2023-09-26T00:45:00"/>
    <x v="3"/>
    <x v="41"/>
    <n v="8488"/>
    <s v="Australia"/>
    <x v="239"/>
    <x v="29"/>
    <x v="0"/>
    <n v="100000"/>
    <x v="0"/>
    <s v="F"/>
    <x v="5"/>
    <x v="1"/>
  </r>
  <r>
    <n v="1201138"/>
    <n v="1342"/>
    <s v="USA"/>
    <d v="2023-03-14T00:57:00"/>
    <x v="2"/>
    <x v="54"/>
    <n v="6081"/>
    <s v="USA"/>
    <x v="97"/>
    <x v="42"/>
    <x v="1"/>
    <n v="80000"/>
    <x v="17"/>
    <s v="M"/>
    <x v="32"/>
    <x v="3"/>
  </r>
  <r>
    <n v="1201156"/>
    <n v="1931"/>
    <s v="USA"/>
    <d v="2023-05-01T01:02:00"/>
    <x v="2"/>
    <x v="43"/>
    <n v="2329"/>
    <s v="USA"/>
    <x v="291"/>
    <x v="186"/>
    <x v="2"/>
    <n v="100000"/>
    <x v="21"/>
    <s v="F"/>
    <x v="15"/>
    <x v="1"/>
  </r>
  <r>
    <n v="1202375"/>
    <n v="1662"/>
    <s v="Australia"/>
    <d v="2023-02-13T01:16:00"/>
    <x v="1"/>
    <x v="40"/>
    <n v="2832"/>
    <s v="Australia"/>
    <x v="301"/>
    <x v="84"/>
    <x v="2"/>
    <n v="150000"/>
    <x v="2"/>
    <s v="F"/>
    <x v="5"/>
    <x v="1"/>
  </r>
  <r>
    <n v="1202392"/>
    <n v="344"/>
    <s v="Finland"/>
    <d v="2023-10-31T00:04:00"/>
    <x v="2"/>
    <x v="7"/>
    <n v="8051"/>
    <s v="Finland"/>
    <x v="287"/>
    <x v="64"/>
    <x v="1"/>
    <n v="150000"/>
    <x v="7"/>
    <s v="F"/>
    <x v="58"/>
    <x v="2"/>
  </r>
  <r>
    <n v="1203146"/>
    <n v="1172"/>
    <s v="Australia"/>
    <d v="2023-11-09T00:31:00"/>
    <x v="3"/>
    <x v="23"/>
    <n v="6152"/>
    <s v="Australia"/>
    <x v="119"/>
    <x v="3"/>
    <x v="0"/>
    <n v="1000000"/>
    <x v="12"/>
    <s v="F"/>
    <x v="12"/>
    <x v="3"/>
  </r>
  <r>
    <n v="1203312"/>
    <n v="1047"/>
    <s v="Italy"/>
    <d v="2023-01-12T23:54:00"/>
    <x v="2"/>
    <x v="23"/>
    <n v="5488"/>
    <s v="Italy"/>
    <x v="76"/>
    <x v="174"/>
    <x v="0"/>
    <n v="1000000"/>
    <x v="12"/>
    <s v="F"/>
    <x v="1"/>
    <x v="3"/>
  </r>
  <r>
    <n v="1204548"/>
    <n v="1467"/>
    <s v="USA"/>
    <d v="2023-07-11T23:35:00"/>
    <x v="1"/>
    <x v="69"/>
    <n v="5832"/>
    <s v="USA"/>
    <x v="149"/>
    <x v="74"/>
    <x v="4"/>
    <n v="150000"/>
    <x v="25"/>
    <s v="F"/>
    <x v="65"/>
    <x v="3"/>
  </r>
  <r>
    <n v="1205050"/>
    <n v="1695"/>
    <s v="Spain"/>
    <d v="2023-07-12T00:35:00"/>
    <x v="0"/>
    <x v="60"/>
    <n v="9562"/>
    <s v="Spain"/>
    <x v="222"/>
    <x v="67"/>
    <x v="1"/>
    <n v="100000"/>
    <x v="26"/>
    <s v="F"/>
    <x v="2"/>
    <x v="1"/>
  </r>
  <r>
    <n v="1206775"/>
    <n v="728"/>
    <s v="India"/>
    <d v="2023-10-03T23:22:00"/>
    <x v="3"/>
    <x v="22"/>
    <n v="967"/>
    <s v="India"/>
    <x v="307"/>
    <x v="137"/>
    <x v="3"/>
    <n v="100000"/>
    <x v="13"/>
    <s v="F"/>
    <x v="71"/>
    <x v="0"/>
  </r>
  <r>
    <n v="1211500"/>
    <n v="1120"/>
    <s v="Denmark"/>
    <d v="2023-10-07T00:29:00"/>
    <x v="0"/>
    <x v="70"/>
    <n v="845"/>
    <s v="Denmark"/>
    <x v="286"/>
    <x v="50"/>
    <x v="3"/>
    <n v="150000"/>
    <x v="29"/>
    <s v="F"/>
    <x v="62"/>
    <x v="3"/>
  </r>
  <r>
    <n v="1212151"/>
    <n v="1139"/>
    <s v="USA"/>
    <d v="2023-01-09T23:33:00"/>
    <x v="1"/>
    <x v="84"/>
    <n v="374"/>
    <s v="USA"/>
    <x v="313"/>
    <x v="62"/>
    <x v="2"/>
    <n v="100000"/>
    <x v="3"/>
    <s v="F"/>
    <x v="58"/>
    <x v="3"/>
  </r>
  <r>
    <n v="1212775"/>
    <n v="1685"/>
    <s v="USA"/>
    <d v="2023-08-25T01:26:00"/>
    <x v="3"/>
    <x v="69"/>
    <n v="9604"/>
    <s v="USA"/>
    <x v="332"/>
    <x v="65"/>
    <x v="4"/>
    <n v="150000"/>
    <x v="25"/>
    <s v="F"/>
    <x v="8"/>
    <x v="1"/>
  </r>
  <r>
    <n v="1213103"/>
    <n v="1429"/>
    <s v="Austria"/>
    <d v="2023-07-06T00:03:00"/>
    <x v="1"/>
    <x v="85"/>
    <n v="9678"/>
    <s v="Austria"/>
    <x v="191"/>
    <x v="72"/>
    <x v="2"/>
    <n v="150000"/>
    <x v="21"/>
    <s v="F"/>
    <x v="59"/>
    <x v="3"/>
  </r>
  <r>
    <n v="1213344"/>
    <n v="504"/>
    <s v="Finland"/>
    <d v="2023-06-04T00:18:00"/>
    <x v="0"/>
    <x v="68"/>
    <n v="4603"/>
    <s v="Finland"/>
    <x v="190"/>
    <x v="139"/>
    <x v="1"/>
    <n v="150000"/>
    <x v="26"/>
    <s v="M"/>
    <x v="68"/>
    <x v="0"/>
  </r>
  <r>
    <n v="1213449"/>
    <n v="729"/>
    <s v="Italy"/>
    <d v="2023-03-07T00:23:00"/>
    <x v="0"/>
    <x v="21"/>
    <n v="3344"/>
    <s v="Italy"/>
    <x v="87"/>
    <x v="6"/>
    <x v="0"/>
    <n v="100000"/>
    <x v="4"/>
    <s v="M"/>
    <x v="50"/>
    <x v="0"/>
  </r>
  <r>
    <n v="1214613"/>
    <n v="1563"/>
    <s v="Norway"/>
    <d v="2023-01-20T01:51:00"/>
    <x v="2"/>
    <x v="45"/>
    <n v="2322"/>
    <s v="Norway"/>
    <x v="163"/>
    <x v="104"/>
    <x v="4"/>
    <n v="100000"/>
    <x v="25"/>
    <s v="F"/>
    <x v="48"/>
    <x v="1"/>
  </r>
  <r>
    <n v="1214829"/>
    <n v="859"/>
    <s v="USA"/>
    <d v="2023-10-20T00:35:00"/>
    <x v="1"/>
    <x v="10"/>
    <n v="7575"/>
    <s v="USA"/>
    <x v="55"/>
    <x v="67"/>
    <x v="0"/>
    <n v="250000"/>
    <x v="10"/>
    <s v="M"/>
    <x v="6"/>
    <x v="0"/>
  </r>
  <r>
    <n v="1215680"/>
    <n v="1927"/>
    <s v="Spain"/>
    <d v="2023-08-26T00:46:00"/>
    <x v="2"/>
    <x v="23"/>
    <n v="1775"/>
    <s v="Spain"/>
    <x v="230"/>
    <x v="77"/>
    <x v="0"/>
    <n v="1000000"/>
    <x v="12"/>
    <s v="F"/>
    <x v="44"/>
    <x v="1"/>
  </r>
  <r>
    <n v="1217144"/>
    <n v="1762"/>
    <s v="USA"/>
    <d v="2023-12-28T23:30:00"/>
    <x v="1"/>
    <x v="3"/>
    <n v="3046"/>
    <s v="USA"/>
    <x v="259"/>
    <x v="213"/>
    <x v="2"/>
    <n v="150000"/>
    <x v="3"/>
    <s v="M"/>
    <x v="3"/>
    <x v="1"/>
  </r>
  <r>
    <n v="1218028"/>
    <n v="1649"/>
    <s v="USA"/>
    <d v="2023-01-01T01:04:00"/>
    <x v="2"/>
    <x v="23"/>
    <n v="3119"/>
    <s v="USA"/>
    <x v="330"/>
    <x v="121"/>
    <x v="0"/>
    <n v="1000000"/>
    <x v="12"/>
    <s v="M"/>
    <x v="18"/>
    <x v="1"/>
  </r>
  <r>
    <n v="1218374"/>
    <n v="1511"/>
    <s v="USA"/>
    <d v="2023-01-26T00:03:00"/>
    <x v="3"/>
    <x v="39"/>
    <n v="44"/>
    <s v="USA"/>
    <x v="112"/>
    <x v="72"/>
    <x v="3"/>
    <n v="1000000"/>
    <x v="6"/>
    <s v="M"/>
    <x v="11"/>
    <x v="1"/>
  </r>
  <r>
    <n v="1218403"/>
    <n v="1583"/>
    <s v="Singapore"/>
    <d v="2023-03-10T01:20:00"/>
    <x v="0"/>
    <x v="83"/>
    <n v="8012"/>
    <s v="Singapore"/>
    <x v="358"/>
    <x v="8"/>
    <x v="2"/>
    <n v="100000"/>
    <x v="19"/>
    <s v="F"/>
    <x v="38"/>
    <x v="1"/>
  </r>
  <r>
    <n v="1218457"/>
    <n v="870"/>
    <s v="India"/>
    <d v="2023-01-31T00:48:00"/>
    <x v="3"/>
    <x v="19"/>
    <n v="7602"/>
    <s v="India"/>
    <x v="236"/>
    <x v="88"/>
    <x v="0"/>
    <n v="150000"/>
    <x v="16"/>
    <s v="M"/>
    <x v="48"/>
    <x v="0"/>
  </r>
  <r>
    <n v="1219438"/>
    <n v="1051"/>
    <s v="Spain"/>
    <d v="2023-01-10T01:15:00"/>
    <x v="2"/>
    <x v="48"/>
    <n v="3777"/>
    <s v="Spain"/>
    <x v="293"/>
    <x v="127"/>
    <x v="1"/>
    <n v="100000"/>
    <x v="9"/>
    <s v="M"/>
    <x v="40"/>
    <x v="3"/>
  </r>
  <r>
    <n v="1219662"/>
    <n v="45"/>
    <s v="USA"/>
    <d v="2023-05-10T23:02:00"/>
    <x v="1"/>
    <x v="19"/>
    <n v="8683"/>
    <s v="USA"/>
    <x v="51"/>
    <x v="114"/>
    <x v="0"/>
    <n v="150000"/>
    <x v="16"/>
    <s v="M"/>
    <x v="20"/>
    <x v="2"/>
  </r>
  <r>
    <n v="1219899"/>
    <n v="469"/>
    <s v="France"/>
    <d v="2023-07-07T00:15:00"/>
    <x v="0"/>
    <x v="49"/>
    <n v="2819"/>
    <s v="France"/>
    <x v="264"/>
    <x v="123"/>
    <x v="0"/>
    <n v="100000"/>
    <x v="10"/>
    <s v="F"/>
    <x v="70"/>
    <x v="2"/>
  </r>
  <r>
    <n v="1221201"/>
    <n v="1523"/>
    <s v="Spain"/>
    <d v="2023-08-21T00:02:00"/>
    <x v="2"/>
    <x v="39"/>
    <n v="9665"/>
    <s v="Spain"/>
    <x v="233"/>
    <x v="89"/>
    <x v="3"/>
    <n v="1000000"/>
    <x v="6"/>
    <s v="M"/>
    <x v="63"/>
    <x v="1"/>
  </r>
  <r>
    <n v="1221647"/>
    <n v="113"/>
    <s v="USA"/>
    <d v="2023-03-26T00:36:00"/>
    <x v="2"/>
    <x v="80"/>
    <n v="6210"/>
    <s v="USA"/>
    <x v="132"/>
    <x v="120"/>
    <x v="2"/>
    <n v="30000"/>
    <x v="5"/>
    <s v="F"/>
    <x v="54"/>
    <x v="2"/>
  </r>
  <r>
    <n v="1223016"/>
    <n v="1161"/>
    <s v="Spain"/>
    <d v="2023-09-11T23:41:00"/>
    <x v="1"/>
    <x v="37"/>
    <n v="4739"/>
    <s v="Spain"/>
    <x v="241"/>
    <x v="155"/>
    <x v="3"/>
    <n v="150000"/>
    <x v="6"/>
    <s v="F"/>
    <x v="40"/>
    <x v="3"/>
  </r>
  <r>
    <n v="1223038"/>
    <n v="1723"/>
    <s v="Spain"/>
    <d v="2023-10-13T23:51:00"/>
    <x v="3"/>
    <x v="76"/>
    <n v="8273"/>
    <s v="Spain"/>
    <x v="17"/>
    <x v="87"/>
    <x v="4"/>
    <n v="50000"/>
    <x v="15"/>
    <s v="M"/>
    <x v="43"/>
    <x v="1"/>
  </r>
  <r>
    <n v="1224367"/>
    <n v="1608"/>
    <s v="USA"/>
    <d v="2023-02-22T00:29:00"/>
    <x v="3"/>
    <x v="50"/>
    <n v="3078"/>
    <s v="USA"/>
    <x v="184"/>
    <x v="50"/>
    <x v="2"/>
    <n v="100000"/>
    <x v="27"/>
    <s v="M"/>
    <x v="64"/>
    <x v="1"/>
  </r>
  <r>
    <n v="1225156"/>
    <n v="1447"/>
    <s v="Singapore"/>
    <d v="2023-10-07T23:21:00"/>
    <x v="1"/>
    <x v="53"/>
    <n v="520"/>
    <s v="Singapore"/>
    <x v="286"/>
    <x v="69"/>
    <x v="0"/>
    <n v="50000"/>
    <x v="11"/>
    <s v="F"/>
    <x v="1"/>
    <x v="3"/>
  </r>
  <r>
    <n v="1226095"/>
    <n v="1257"/>
    <s v="USA"/>
    <d v="2023-10-31T00:20:00"/>
    <x v="1"/>
    <x v="30"/>
    <n v="782"/>
    <s v="USA"/>
    <x v="287"/>
    <x v="68"/>
    <x v="2"/>
    <n v="150000"/>
    <x v="21"/>
    <s v="M"/>
    <x v="45"/>
    <x v="3"/>
  </r>
  <r>
    <n v="1228500"/>
    <n v="355"/>
    <s v="France"/>
    <d v="2023-03-18T22:32:00"/>
    <x v="1"/>
    <x v="55"/>
    <n v="8156"/>
    <s v="France"/>
    <x v="23"/>
    <x v="170"/>
    <x v="2"/>
    <n v="80000"/>
    <x v="27"/>
    <s v="F"/>
    <x v="22"/>
    <x v="2"/>
  </r>
  <r>
    <n v="1228563"/>
    <n v="255"/>
    <s v="Italy"/>
    <d v="2023-10-14T00:48:00"/>
    <x v="2"/>
    <x v="12"/>
    <n v="531"/>
    <s v="Italy"/>
    <x v="256"/>
    <x v="88"/>
    <x v="0"/>
    <n v="80000"/>
    <x v="11"/>
    <s v="M"/>
    <x v="14"/>
    <x v="2"/>
  </r>
  <r>
    <n v="1229877"/>
    <n v="1342"/>
    <s v="USA"/>
    <d v="2023-08-06T23:01:00"/>
    <x v="0"/>
    <x v="0"/>
    <n v="3454"/>
    <s v="USA"/>
    <x v="187"/>
    <x v="144"/>
    <x v="0"/>
    <n v="200000"/>
    <x v="0"/>
    <s v="M"/>
    <x v="32"/>
    <x v="3"/>
  </r>
  <r>
    <n v="1229912"/>
    <n v="1193"/>
    <s v="Italy"/>
    <d v="2023-12-08T23:51:00"/>
    <x v="0"/>
    <x v="43"/>
    <n v="3977"/>
    <s v="Italy"/>
    <x v="263"/>
    <x v="87"/>
    <x v="2"/>
    <n v="100000"/>
    <x v="21"/>
    <s v="M"/>
    <x v="45"/>
    <x v="3"/>
  </r>
  <r>
    <n v="1230163"/>
    <n v="793"/>
    <s v="USA"/>
    <d v="2023-06-05T22:41:00"/>
    <x v="1"/>
    <x v="56"/>
    <n v="7586"/>
    <s v="USA"/>
    <x v="12"/>
    <x v="119"/>
    <x v="4"/>
    <n v="100000"/>
    <x v="28"/>
    <s v="F"/>
    <x v="27"/>
    <x v="0"/>
  </r>
  <r>
    <n v="1230246"/>
    <n v="190"/>
    <s v="France"/>
    <d v="2023-11-23T22:52:00"/>
    <x v="2"/>
    <x v="57"/>
    <n v="7244"/>
    <s v="France"/>
    <x v="7"/>
    <x v="5"/>
    <x v="0"/>
    <n v="80000"/>
    <x v="0"/>
    <s v="M"/>
    <x v="37"/>
    <x v="2"/>
  </r>
  <r>
    <n v="1230334"/>
    <n v="1502"/>
    <s v="Spain"/>
    <d v="2023-04-25T23:56:00"/>
    <x v="0"/>
    <x v="58"/>
    <n v="2395"/>
    <s v="Spain"/>
    <x v="134"/>
    <x v="138"/>
    <x v="3"/>
    <n v="100000"/>
    <x v="20"/>
    <s v="F"/>
    <x v="19"/>
    <x v="1"/>
  </r>
  <r>
    <n v="1231036"/>
    <n v="53"/>
    <s v="Italy"/>
    <d v="2023-08-20T01:30:00"/>
    <x v="2"/>
    <x v="77"/>
    <n v="312"/>
    <s v="Italy"/>
    <x v="251"/>
    <x v="209"/>
    <x v="1"/>
    <n v="250000"/>
    <x v="24"/>
    <s v="M"/>
    <x v="14"/>
    <x v="2"/>
  </r>
  <r>
    <n v="1232244"/>
    <n v="1686"/>
    <s v="France"/>
    <d v="2023-04-18T01:45:00"/>
    <x v="1"/>
    <x v="14"/>
    <n v="7689"/>
    <s v="France"/>
    <x v="255"/>
    <x v="59"/>
    <x v="3"/>
    <n v="200000"/>
    <x v="13"/>
    <s v="M"/>
    <x v="62"/>
    <x v="1"/>
  </r>
  <r>
    <n v="1232656"/>
    <n v="888"/>
    <s v="Denmark"/>
    <d v="2023-04-04T02:58:00"/>
    <x v="0"/>
    <x v="24"/>
    <n v="1139"/>
    <s v="Denmark"/>
    <x v="127"/>
    <x v="214"/>
    <x v="1"/>
    <n v="100000"/>
    <x v="18"/>
    <s v="M"/>
    <x v="37"/>
    <x v="0"/>
  </r>
  <r>
    <n v="1234361"/>
    <n v="1857"/>
    <s v="France"/>
    <d v="2023-09-29T01:59:00"/>
    <x v="2"/>
    <x v="35"/>
    <n v="760"/>
    <s v="France"/>
    <x v="359"/>
    <x v="132"/>
    <x v="4"/>
    <n v="100000"/>
    <x v="15"/>
    <s v="F"/>
    <x v="21"/>
    <x v="1"/>
  </r>
  <r>
    <n v="1234676"/>
    <n v="972"/>
    <s v="France"/>
    <d v="2023-01-03T00:39:00"/>
    <x v="3"/>
    <x v="23"/>
    <n v="9851"/>
    <s v="France"/>
    <x v="54"/>
    <x v="11"/>
    <x v="0"/>
    <n v="1000000"/>
    <x v="12"/>
    <s v="F"/>
    <x v="31"/>
    <x v="0"/>
  </r>
  <r>
    <n v="1234702"/>
    <n v="747"/>
    <s v="Italy"/>
    <d v="2023-10-03T00:12:00"/>
    <x v="0"/>
    <x v="60"/>
    <n v="8157"/>
    <s v="Italy"/>
    <x v="307"/>
    <x v="19"/>
    <x v="1"/>
    <n v="100000"/>
    <x v="26"/>
    <s v="F"/>
    <x v="71"/>
    <x v="0"/>
  </r>
  <r>
    <n v="1234926"/>
    <n v="1983"/>
    <s v="Spain"/>
    <d v="2023-10-09T23:27:00"/>
    <x v="1"/>
    <x v="4"/>
    <n v="2280"/>
    <s v="Spain"/>
    <x v="208"/>
    <x v="79"/>
    <x v="0"/>
    <n v="200000"/>
    <x v="4"/>
    <s v="F"/>
    <x v="31"/>
    <x v="1"/>
  </r>
  <r>
    <n v="1236573"/>
    <n v="1036"/>
    <s v="India"/>
    <d v="2023-08-28T23:54:00"/>
    <x v="2"/>
    <x v="39"/>
    <n v="1114"/>
    <s v="India"/>
    <x v="207"/>
    <x v="174"/>
    <x v="3"/>
    <n v="1000000"/>
    <x v="6"/>
    <s v="F"/>
    <x v="3"/>
    <x v="3"/>
  </r>
  <r>
    <n v="1236880"/>
    <n v="1511"/>
    <s v="USA"/>
    <d v="2023-05-18T22:31:00"/>
    <x v="0"/>
    <x v="58"/>
    <n v="1203"/>
    <s v="USA"/>
    <x v="153"/>
    <x v="208"/>
    <x v="3"/>
    <n v="100000"/>
    <x v="20"/>
    <s v="M"/>
    <x v="11"/>
    <x v="1"/>
  </r>
  <r>
    <n v="1237283"/>
    <n v="1263"/>
    <s v="USA"/>
    <d v="2023-02-21T01:19:00"/>
    <x v="0"/>
    <x v="77"/>
    <n v="3809"/>
    <s v="USA"/>
    <x v="338"/>
    <x v="95"/>
    <x v="1"/>
    <n v="250000"/>
    <x v="24"/>
    <s v="F"/>
    <x v="61"/>
    <x v="3"/>
  </r>
  <r>
    <n v="1237541"/>
    <n v="354"/>
    <s v="India"/>
    <d v="2023-10-03T23:58:00"/>
    <x v="2"/>
    <x v="84"/>
    <n v="301"/>
    <s v="India"/>
    <x v="307"/>
    <x v="96"/>
    <x v="2"/>
    <n v="100000"/>
    <x v="3"/>
    <s v="M"/>
    <x v="3"/>
    <x v="2"/>
  </r>
  <r>
    <n v="1238511"/>
    <n v="433"/>
    <s v="India"/>
    <d v="2023-01-09T00:24:00"/>
    <x v="1"/>
    <x v="42"/>
    <n v="7820"/>
    <s v="India"/>
    <x v="313"/>
    <x v="115"/>
    <x v="0"/>
    <n v="200000"/>
    <x v="14"/>
    <s v="M"/>
    <x v="39"/>
    <x v="2"/>
  </r>
  <r>
    <n v="1239298"/>
    <n v="270"/>
    <s v="Australia"/>
    <d v="2023-09-24T23:41:00"/>
    <x v="3"/>
    <x v="78"/>
    <n v="1355"/>
    <s v="Australia"/>
    <x v="56"/>
    <x v="155"/>
    <x v="0"/>
    <n v="100000"/>
    <x v="12"/>
    <s v="F"/>
    <x v="8"/>
    <x v="2"/>
  </r>
  <r>
    <n v="1239461"/>
    <n v="245"/>
    <s v="India"/>
    <d v="2023-09-14T01:17:00"/>
    <x v="2"/>
    <x v="13"/>
    <n v="653"/>
    <s v="India"/>
    <x v="237"/>
    <x v="210"/>
    <x v="0"/>
    <n v="100000"/>
    <x v="12"/>
    <s v="M"/>
    <x v="42"/>
    <x v="2"/>
  </r>
  <r>
    <n v="1240058"/>
    <n v="1665"/>
    <s v="Switzerland"/>
    <d v="2023-01-03T01:15:00"/>
    <x v="3"/>
    <x v="39"/>
    <n v="1633"/>
    <s v="Switzerland"/>
    <x v="54"/>
    <x v="127"/>
    <x v="3"/>
    <n v="1000000"/>
    <x v="6"/>
    <s v="F"/>
    <x v="11"/>
    <x v="1"/>
  </r>
  <r>
    <n v="1240090"/>
    <n v="319"/>
    <s v="India"/>
    <d v="2023-02-11T00:23:00"/>
    <x v="3"/>
    <x v="40"/>
    <n v="286"/>
    <s v="India"/>
    <x v="104"/>
    <x v="6"/>
    <x v="2"/>
    <n v="150000"/>
    <x v="2"/>
    <s v="F"/>
    <x v="36"/>
    <x v="2"/>
  </r>
  <r>
    <n v="1241751"/>
    <n v="1252"/>
    <s v="USA"/>
    <d v="2023-05-04T23:40:00"/>
    <x v="1"/>
    <x v="74"/>
    <n v="6106"/>
    <s v="USA"/>
    <x v="356"/>
    <x v="1"/>
    <x v="1"/>
    <n v="200000"/>
    <x v="18"/>
    <s v="F"/>
    <x v="50"/>
    <x v="3"/>
  </r>
  <r>
    <n v="1242334"/>
    <n v="701"/>
    <s v="India"/>
    <d v="2023-02-08T23:15:00"/>
    <x v="2"/>
    <x v="23"/>
    <n v="4664"/>
    <s v="India"/>
    <x v="131"/>
    <x v="136"/>
    <x v="0"/>
    <n v="1000000"/>
    <x v="12"/>
    <s v="M"/>
    <x v="54"/>
    <x v="0"/>
  </r>
  <r>
    <n v="1242726"/>
    <n v="724"/>
    <s v="USA"/>
    <d v="2023-01-26T23:36:00"/>
    <x v="2"/>
    <x v="30"/>
    <n v="3036"/>
    <s v="USA"/>
    <x v="112"/>
    <x v="135"/>
    <x v="2"/>
    <n v="150000"/>
    <x v="21"/>
    <s v="M"/>
    <x v="35"/>
    <x v="0"/>
  </r>
  <r>
    <n v="1243085"/>
    <n v="39"/>
    <s v="USA"/>
    <d v="2023-11-11T01:39:00"/>
    <x v="1"/>
    <x v="83"/>
    <n v="6819"/>
    <s v="USA"/>
    <x v="68"/>
    <x v="152"/>
    <x v="2"/>
    <n v="100000"/>
    <x v="19"/>
    <s v="F"/>
    <x v="7"/>
    <x v="2"/>
  </r>
  <r>
    <n v="1243807"/>
    <n v="869"/>
    <s v="Austria"/>
    <d v="2023-06-22T01:24:00"/>
    <x v="2"/>
    <x v="74"/>
    <n v="5634"/>
    <s v="Austria"/>
    <x v="82"/>
    <x v="124"/>
    <x v="1"/>
    <n v="200000"/>
    <x v="18"/>
    <s v="F"/>
    <x v="72"/>
    <x v="0"/>
  </r>
  <r>
    <n v="1244097"/>
    <n v="380"/>
    <s v="France"/>
    <d v="2023-04-19T00:22:00"/>
    <x v="1"/>
    <x v="23"/>
    <n v="1026"/>
    <s v="France"/>
    <x v="108"/>
    <x v="54"/>
    <x v="0"/>
    <n v="1000000"/>
    <x v="12"/>
    <s v="F"/>
    <x v="3"/>
    <x v="2"/>
  </r>
  <r>
    <n v="1244668"/>
    <n v="1872"/>
    <s v="France"/>
    <d v="2023-08-21T01:06:00"/>
    <x v="2"/>
    <x v="65"/>
    <n v="9021"/>
    <s v="France"/>
    <x v="233"/>
    <x v="207"/>
    <x v="4"/>
    <n v="250000"/>
    <x v="28"/>
    <s v="F"/>
    <x v="6"/>
    <x v="1"/>
  </r>
  <r>
    <n v="1244841"/>
    <n v="402"/>
    <s v="India"/>
    <d v="2023-11-08T00:48:00"/>
    <x v="2"/>
    <x v="22"/>
    <n v="3692"/>
    <s v="India"/>
    <x v="27"/>
    <x v="88"/>
    <x v="3"/>
    <n v="100000"/>
    <x v="13"/>
    <s v="M"/>
    <x v="18"/>
    <x v="2"/>
  </r>
  <r>
    <n v="1244975"/>
    <n v="413"/>
    <s v="Spain"/>
    <d v="2023-10-19T02:09:00"/>
    <x v="1"/>
    <x v="23"/>
    <n v="9062"/>
    <s v="Spain"/>
    <x v="16"/>
    <x v="202"/>
    <x v="0"/>
    <n v="1000000"/>
    <x v="12"/>
    <s v="M"/>
    <x v="59"/>
    <x v="2"/>
  </r>
  <r>
    <n v="1245959"/>
    <n v="1983"/>
    <s v="Spain"/>
    <d v="2023-02-24T22:52:00"/>
    <x v="0"/>
    <x v="21"/>
    <n v="774"/>
    <s v="Spain"/>
    <x v="160"/>
    <x v="5"/>
    <x v="0"/>
    <n v="100000"/>
    <x v="4"/>
    <s v="F"/>
    <x v="31"/>
    <x v="1"/>
  </r>
  <r>
    <n v="1246551"/>
    <n v="1907"/>
    <s v="Australia"/>
    <d v="2023-05-26T22:53:00"/>
    <x v="1"/>
    <x v="77"/>
    <n v="5938"/>
    <s v="Australia"/>
    <x v="221"/>
    <x v="178"/>
    <x v="1"/>
    <n v="250000"/>
    <x v="24"/>
    <s v="F"/>
    <x v="69"/>
    <x v="1"/>
  </r>
  <r>
    <n v="1246866"/>
    <n v="1884"/>
    <s v="USA"/>
    <d v="2023-06-27T23:28:00"/>
    <x v="2"/>
    <x v="84"/>
    <n v="849"/>
    <s v="USA"/>
    <x v="328"/>
    <x v="134"/>
    <x v="2"/>
    <n v="100000"/>
    <x v="3"/>
    <s v="F"/>
    <x v="34"/>
    <x v="1"/>
  </r>
  <r>
    <n v="1247542"/>
    <n v="1956"/>
    <s v="Austria"/>
    <d v="2023-08-13T23:49:00"/>
    <x v="3"/>
    <x v="39"/>
    <n v="632"/>
    <s v="Austria"/>
    <x v="186"/>
    <x v="43"/>
    <x v="3"/>
    <n v="1000000"/>
    <x v="6"/>
    <s v="M"/>
    <x v="10"/>
    <x v="1"/>
  </r>
  <r>
    <n v="1249517"/>
    <n v="1371"/>
    <s v="USA"/>
    <d v="2023-02-06T00:36:00"/>
    <x v="1"/>
    <x v="23"/>
    <n v="985"/>
    <s v="USA"/>
    <x v="49"/>
    <x v="120"/>
    <x v="0"/>
    <n v="1000000"/>
    <x v="12"/>
    <s v="M"/>
    <x v="3"/>
    <x v="3"/>
  </r>
  <r>
    <n v="1250394"/>
    <n v="1969"/>
    <s v="Spain"/>
    <d v="2023-02-13T00:24:00"/>
    <x v="3"/>
    <x v="61"/>
    <n v="9703"/>
    <s v="Spain"/>
    <x v="301"/>
    <x v="115"/>
    <x v="4"/>
    <n v="200000"/>
    <x v="28"/>
    <s v="M"/>
    <x v="10"/>
    <x v="1"/>
  </r>
  <r>
    <n v="1250419"/>
    <n v="1802"/>
    <s v="France"/>
    <d v="2023-05-24T01:35:00"/>
    <x v="3"/>
    <x v="20"/>
    <n v="3390"/>
    <s v="France"/>
    <x v="164"/>
    <x v="200"/>
    <x v="1"/>
    <n v="200000"/>
    <x v="17"/>
    <s v="F"/>
    <x v="57"/>
    <x v="1"/>
  </r>
  <r>
    <n v="1252385"/>
    <n v="958"/>
    <s v="USA"/>
    <d v="2023-02-26T23:38:00"/>
    <x v="3"/>
    <x v="66"/>
    <n v="9723"/>
    <s v="USA"/>
    <x v="269"/>
    <x v="80"/>
    <x v="1"/>
    <n v="100000"/>
    <x v="8"/>
    <s v="M"/>
    <x v="20"/>
    <x v="0"/>
  </r>
  <r>
    <n v="1252899"/>
    <n v="749"/>
    <s v="Singapore"/>
    <d v="2023-12-01T01:41:00"/>
    <x v="3"/>
    <x v="67"/>
    <n v="3812"/>
    <s v="Singapore"/>
    <x v="326"/>
    <x v="86"/>
    <x v="3"/>
    <n v="150000"/>
    <x v="29"/>
    <s v="F"/>
    <x v="43"/>
    <x v="0"/>
  </r>
  <r>
    <n v="1253263"/>
    <n v="61"/>
    <s v="Spain"/>
    <d v="2023-05-26T01:38:00"/>
    <x v="1"/>
    <x v="39"/>
    <n v="2843"/>
    <s v="Spain"/>
    <x v="221"/>
    <x v="211"/>
    <x v="3"/>
    <n v="1000000"/>
    <x v="6"/>
    <s v="F"/>
    <x v="59"/>
    <x v="2"/>
  </r>
  <r>
    <n v="1253641"/>
    <n v="786"/>
    <s v="Denmark"/>
    <d v="2023-01-30T01:50:00"/>
    <x v="2"/>
    <x v="41"/>
    <n v="2881"/>
    <s v="Denmark"/>
    <x v="214"/>
    <x v="45"/>
    <x v="0"/>
    <n v="100000"/>
    <x v="0"/>
    <s v="M"/>
    <x v="57"/>
    <x v="0"/>
  </r>
  <r>
    <n v="1254071"/>
    <n v="1367"/>
    <s v="Italy"/>
    <d v="2023-02-26T00:26:00"/>
    <x v="1"/>
    <x v="4"/>
    <n v="3090"/>
    <s v="Italy"/>
    <x v="269"/>
    <x v="151"/>
    <x v="0"/>
    <n v="200000"/>
    <x v="4"/>
    <s v="F"/>
    <x v="5"/>
    <x v="3"/>
  </r>
  <r>
    <n v="1254601"/>
    <n v="1734"/>
    <s v="USA"/>
    <d v="2023-05-03T00:42:00"/>
    <x v="2"/>
    <x v="42"/>
    <n v="4180"/>
    <s v="USA"/>
    <x v="141"/>
    <x v="215"/>
    <x v="0"/>
    <n v="200000"/>
    <x v="14"/>
    <s v="M"/>
    <x v="14"/>
    <x v="1"/>
  </r>
  <r>
    <n v="1254623"/>
    <n v="1234"/>
    <s v="USA"/>
    <d v="2023-02-01T00:27:00"/>
    <x v="1"/>
    <x v="7"/>
    <n v="3138"/>
    <s v="USA"/>
    <x v="363"/>
    <x v="108"/>
    <x v="1"/>
    <n v="150000"/>
    <x v="7"/>
    <s v="M"/>
    <x v="20"/>
    <x v="3"/>
  </r>
  <r>
    <n v="1255175"/>
    <n v="458"/>
    <s v="Finland"/>
    <d v="2023-11-24T23:17:00"/>
    <x v="3"/>
    <x v="68"/>
    <n v="505"/>
    <s v="Finland"/>
    <x v="126"/>
    <x v="190"/>
    <x v="1"/>
    <n v="150000"/>
    <x v="26"/>
    <s v="M"/>
    <x v="52"/>
    <x v="2"/>
  </r>
  <r>
    <n v="1255720"/>
    <n v="1690"/>
    <s v="Australia"/>
    <d v="2023-09-09T00:20:00"/>
    <x v="3"/>
    <x v="23"/>
    <n v="6466"/>
    <s v="Australia"/>
    <x v="360"/>
    <x v="68"/>
    <x v="0"/>
    <n v="1000000"/>
    <x v="12"/>
    <s v="F"/>
    <x v="56"/>
    <x v="1"/>
  </r>
  <r>
    <n v="1255723"/>
    <n v="57"/>
    <s v="India"/>
    <d v="2023-06-10T23:54:00"/>
    <x v="0"/>
    <x v="9"/>
    <n v="9161"/>
    <s v="India"/>
    <x v="117"/>
    <x v="174"/>
    <x v="1"/>
    <n v="150000"/>
    <x v="9"/>
    <s v="M"/>
    <x v="33"/>
    <x v="2"/>
  </r>
  <r>
    <n v="1256035"/>
    <n v="105"/>
    <s v="USA"/>
    <d v="2023-01-15T23:10:00"/>
    <x v="1"/>
    <x v="69"/>
    <n v="2774"/>
    <s v="USA"/>
    <x v="161"/>
    <x v="176"/>
    <x v="4"/>
    <n v="150000"/>
    <x v="25"/>
    <s v="M"/>
    <x v="16"/>
    <x v="2"/>
  </r>
  <r>
    <n v="1256522"/>
    <n v="816"/>
    <s v="India"/>
    <d v="2023-05-25T22:40:00"/>
    <x v="0"/>
    <x v="48"/>
    <n v="7805"/>
    <s v="India"/>
    <x v="262"/>
    <x v="145"/>
    <x v="1"/>
    <n v="100000"/>
    <x v="9"/>
    <s v="M"/>
    <x v="7"/>
    <x v="0"/>
  </r>
  <r>
    <n v="1256855"/>
    <n v="243"/>
    <s v="USA"/>
    <d v="2023-09-16T00:56:00"/>
    <x v="2"/>
    <x v="22"/>
    <n v="2567"/>
    <s v="USA"/>
    <x v="254"/>
    <x v="150"/>
    <x v="3"/>
    <n v="100000"/>
    <x v="13"/>
    <s v="M"/>
    <x v="65"/>
    <x v="2"/>
  </r>
  <r>
    <n v="1257018"/>
    <n v="87"/>
    <s v="India"/>
    <d v="2023-02-04T01:30:00"/>
    <x v="3"/>
    <x v="70"/>
    <n v="8149"/>
    <s v="India"/>
    <x v="189"/>
    <x v="209"/>
    <x v="3"/>
    <n v="150000"/>
    <x v="29"/>
    <s v="M"/>
    <x v="14"/>
    <x v="2"/>
  </r>
  <r>
    <n v="1258064"/>
    <n v="1478"/>
    <s v="Austria"/>
    <d v="2023-04-26T00:28:00"/>
    <x v="1"/>
    <x v="71"/>
    <n v="6527"/>
    <s v="Austria"/>
    <x v="48"/>
    <x v="39"/>
    <x v="1"/>
    <n v="50000"/>
    <x v="8"/>
    <s v="M"/>
    <x v="64"/>
    <x v="3"/>
  </r>
  <r>
    <n v="1258245"/>
    <n v="1654"/>
    <s v="USA"/>
    <d v="2023-04-04T23:52:00"/>
    <x v="3"/>
    <x v="69"/>
    <n v="3634"/>
    <s v="USA"/>
    <x v="127"/>
    <x v="94"/>
    <x v="4"/>
    <n v="150000"/>
    <x v="25"/>
    <s v="F"/>
    <x v="72"/>
    <x v="1"/>
  </r>
  <r>
    <n v="1259011"/>
    <n v="1198"/>
    <s v="USA"/>
    <d v="2023-06-10T01:43:00"/>
    <x v="2"/>
    <x v="72"/>
    <n v="247"/>
    <s v="USA"/>
    <x v="117"/>
    <x v="118"/>
    <x v="0"/>
    <n v="80000"/>
    <x v="4"/>
    <s v="M"/>
    <x v="42"/>
    <x v="3"/>
  </r>
  <r>
    <n v="1259418"/>
    <n v="1199"/>
    <s v="Italy"/>
    <d v="2023-01-27T00:21:00"/>
    <x v="3"/>
    <x v="68"/>
    <n v="7775"/>
    <s v="Italy"/>
    <x v="128"/>
    <x v="2"/>
    <x v="1"/>
    <n v="150000"/>
    <x v="26"/>
    <s v="M"/>
    <x v="4"/>
    <x v="3"/>
  </r>
  <r>
    <n v="1259696"/>
    <n v="1798"/>
    <s v="USA"/>
    <d v="2023-04-14T00:38:00"/>
    <x v="2"/>
    <x v="24"/>
    <n v="4028"/>
    <s v="USA"/>
    <x v="70"/>
    <x v="162"/>
    <x v="1"/>
    <n v="100000"/>
    <x v="18"/>
    <s v="M"/>
    <x v="34"/>
    <x v="1"/>
  </r>
  <r>
    <n v="1260670"/>
    <n v="1301"/>
    <s v="Spain"/>
    <d v="2023-01-08T01:08:00"/>
    <x v="1"/>
    <x v="45"/>
    <n v="1655"/>
    <s v="Spain"/>
    <x v="297"/>
    <x v="37"/>
    <x v="4"/>
    <n v="100000"/>
    <x v="25"/>
    <s v="M"/>
    <x v="58"/>
    <x v="3"/>
  </r>
  <r>
    <n v="1262059"/>
    <n v="1719"/>
    <s v="Italy"/>
    <d v="2023-07-27T01:36:00"/>
    <x v="0"/>
    <x v="10"/>
    <n v="1114"/>
    <s v="Italy"/>
    <x v="85"/>
    <x v="173"/>
    <x v="0"/>
    <n v="250000"/>
    <x v="10"/>
    <s v="F"/>
    <x v="12"/>
    <x v="1"/>
  </r>
  <r>
    <n v="1265339"/>
    <n v="1916"/>
    <s v="Switzerland"/>
    <d v="2023-01-02T01:49:00"/>
    <x v="2"/>
    <x v="23"/>
    <n v="5272"/>
    <s v="Switzerland"/>
    <x v="80"/>
    <x v="33"/>
    <x v="0"/>
    <n v="1000000"/>
    <x v="12"/>
    <s v="M"/>
    <x v="6"/>
    <x v="1"/>
  </r>
  <r>
    <n v="1265561"/>
    <n v="1"/>
    <s v="France"/>
    <d v="2023-02-28T00:34:00"/>
    <x v="2"/>
    <x v="73"/>
    <n v="3338"/>
    <s v="France"/>
    <x v="145"/>
    <x v="21"/>
    <x v="4"/>
    <n v="100000"/>
    <x v="25"/>
    <s v="M"/>
    <x v="34"/>
    <x v="2"/>
  </r>
  <r>
    <n v="1267084"/>
    <n v="312"/>
    <s v="Italy"/>
    <d v="2023-12-11T23:14:00"/>
    <x v="0"/>
    <x v="23"/>
    <n v="3305"/>
    <s v="Italy"/>
    <x v="224"/>
    <x v="70"/>
    <x v="0"/>
    <n v="1000000"/>
    <x v="12"/>
    <s v="M"/>
    <x v="4"/>
    <x v="2"/>
  </r>
  <r>
    <n v="1267886"/>
    <n v="1900"/>
    <s v="Singapore"/>
    <d v="2023-06-09T01:40:00"/>
    <x v="3"/>
    <x v="39"/>
    <n v="5588"/>
    <s v="Singapore"/>
    <x v="61"/>
    <x v="76"/>
    <x v="3"/>
    <n v="1000000"/>
    <x v="6"/>
    <s v="F"/>
    <x v="9"/>
    <x v="1"/>
  </r>
  <r>
    <n v="1268060"/>
    <n v="1316"/>
    <s v="Australia"/>
    <d v="2023-01-04T01:50:00"/>
    <x v="1"/>
    <x v="19"/>
    <n v="3876"/>
    <s v="Australia"/>
    <x v="203"/>
    <x v="45"/>
    <x v="0"/>
    <n v="150000"/>
    <x v="16"/>
    <s v="F"/>
    <x v="41"/>
    <x v="3"/>
  </r>
  <r>
    <n v="1269964"/>
    <n v="1035"/>
    <s v="India"/>
    <d v="2023-02-12T00:40:00"/>
    <x v="1"/>
    <x v="86"/>
    <n v="9940"/>
    <s v="India"/>
    <x v="199"/>
    <x v="51"/>
    <x v="0"/>
    <n v="150000"/>
    <x v="11"/>
    <s v="M"/>
    <x v="72"/>
    <x v="3"/>
  </r>
  <r>
    <n v="1271055"/>
    <n v="1509"/>
    <s v="USA"/>
    <d v="2023-01-09T00:51:00"/>
    <x v="3"/>
    <x v="19"/>
    <n v="9159"/>
    <s v="USA"/>
    <x v="313"/>
    <x v="93"/>
    <x v="0"/>
    <n v="150000"/>
    <x v="16"/>
    <s v="M"/>
    <x v="34"/>
    <x v="1"/>
  </r>
  <r>
    <n v="1271264"/>
    <n v="450"/>
    <s v="Italy"/>
    <d v="2023-09-29T01:13:00"/>
    <x v="2"/>
    <x v="88"/>
    <n v="2686"/>
    <s v="Italy"/>
    <x v="359"/>
    <x v="32"/>
    <x v="3"/>
    <n v="30000"/>
    <x v="29"/>
    <s v="F"/>
    <x v="62"/>
    <x v="2"/>
  </r>
  <r>
    <n v="1271599"/>
    <n v="987"/>
    <s v="USA"/>
    <d v="2023-07-18T23:25:00"/>
    <x v="3"/>
    <x v="50"/>
    <n v="2478"/>
    <s v="USA"/>
    <x v="334"/>
    <x v="141"/>
    <x v="2"/>
    <n v="100000"/>
    <x v="27"/>
    <s v="F"/>
    <x v="12"/>
    <x v="0"/>
  </r>
  <r>
    <n v="1272310"/>
    <n v="1183"/>
    <s v="France"/>
    <d v="2023-08-01T00:07:00"/>
    <x v="0"/>
    <x v="16"/>
    <n v="7092"/>
    <s v="France"/>
    <x v="238"/>
    <x v="34"/>
    <x v="4"/>
    <n v="150000"/>
    <x v="15"/>
    <s v="M"/>
    <x v="50"/>
    <x v="3"/>
  </r>
  <r>
    <n v="1272986"/>
    <n v="1475"/>
    <s v="Spain"/>
    <d v="2023-02-08T01:38:00"/>
    <x v="3"/>
    <x v="37"/>
    <n v="4629"/>
    <s v="Spain"/>
    <x v="131"/>
    <x v="211"/>
    <x v="3"/>
    <n v="150000"/>
    <x v="6"/>
    <s v="F"/>
    <x v="5"/>
    <x v="3"/>
  </r>
  <r>
    <n v="1273418"/>
    <n v="581"/>
    <s v="USA"/>
    <d v="2023-11-23T23:16:00"/>
    <x v="1"/>
    <x v="51"/>
    <n v="5316"/>
    <s v="USA"/>
    <x v="7"/>
    <x v="18"/>
    <x v="2"/>
    <n v="100000"/>
    <x v="22"/>
    <s v="M"/>
    <x v="62"/>
    <x v="0"/>
  </r>
  <r>
    <n v="1273432"/>
    <n v="1216"/>
    <s v="Australia"/>
    <d v="2023-02-06T23:47:00"/>
    <x v="0"/>
    <x v="52"/>
    <n v="3235"/>
    <s v="Australia"/>
    <x v="49"/>
    <x v="100"/>
    <x v="4"/>
    <n v="50000"/>
    <x v="23"/>
    <s v="M"/>
    <x v="42"/>
    <x v="3"/>
  </r>
  <r>
    <n v="1273811"/>
    <n v="1905"/>
    <s v="Spain"/>
    <d v="2023-12-17T23:57:00"/>
    <x v="2"/>
    <x v="66"/>
    <n v="5538"/>
    <s v="Spain"/>
    <x v="72"/>
    <x v="116"/>
    <x v="1"/>
    <n v="100000"/>
    <x v="8"/>
    <s v="M"/>
    <x v="68"/>
    <x v="1"/>
  </r>
  <r>
    <n v="1274337"/>
    <n v="974"/>
    <s v="France"/>
    <d v="2023-11-01T02:06:00"/>
    <x v="1"/>
    <x v="54"/>
    <n v="856"/>
    <s v="France"/>
    <x v="172"/>
    <x v="216"/>
    <x v="1"/>
    <n v="80000"/>
    <x v="17"/>
    <s v="M"/>
    <x v="52"/>
    <x v="0"/>
  </r>
  <r>
    <n v="1274561"/>
    <n v="640"/>
    <s v="France"/>
    <d v="2023-09-19T01:57:00"/>
    <x v="3"/>
    <x v="55"/>
    <n v="3448"/>
    <s v="France"/>
    <x v="274"/>
    <x v="217"/>
    <x v="2"/>
    <n v="80000"/>
    <x v="27"/>
    <s v="F"/>
    <x v="66"/>
    <x v="0"/>
  </r>
  <r>
    <n v="1275891"/>
    <n v="248"/>
    <s v="USA"/>
    <d v="2023-11-18T22:39:00"/>
    <x v="0"/>
    <x v="33"/>
    <n v="1143"/>
    <s v="USA"/>
    <x v="62"/>
    <x v="90"/>
    <x v="2"/>
    <n v="100000"/>
    <x v="2"/>
    <s v="F"/>
    <x v="59"/>
    <x v="2"/>
  </r>
  <r>
    <n v="1275955"/>
    <n v="1506"/>
    <s v="USA"/>
    <d v="2023-08-06T01:37:00"/>
    <x v="1"/>
    <x v="23"/>
    <n v="8000"/>
    <s v="USA"/>
    <x v="187"/>
    <x v="109"/>
    <x v="0"/>
    <n v="1000000"/>
    <x v="12"/>
    <s v="M"/>
    <x v="65"/>
    <x v="1"/>
  </r>
  <r>
    <n v="1276372"/>
    <n v="414"/>
    <s v="India"/>
    <d v="2023-03-03T00:53:00"/>
    <x v="0"/>
    <x v="41"/>
    <n v="1465"/>
    <s v="India"/>
    <x v="30"/>
    <x v="36"/>
    <x v="0"/>
    <n v="100000"/>
    <x v="0"/>
    <s v="M"/>
    <x v="46"/>
    <x v="2"/>
  </r>
  <r>
    <n v="1277957"/>
    <n v="1687"/>
    <s v="Australia"/>
    <d v="2023-01-26T01:43:00"/>
    <x v="2"/>
    <x v="85"/>
    <n v="2062"/>
    <s v="Australia"/>
    <x v="112"/>
    <x v="118"/>
    <x v="2"/>
    <n v="150000"/>
    <x v="21"/>
    <s v="M"/>
    <x v="4"/>
    <x v="1"/>
  </r>
  <r>
    <n v="1278430"/>
    <n v="1947"/>
    <s v="Spain"/>
    <d v="2023-08-03T23:52:00"/>
    <x v="2"/>
    <x v="89"/>
    <n v="2876"/>
    <s v="Spain"/>
    <x v="135"/>
    <x v="94"/>
    <x v="4"/>
    <n v="30000"/>
    <x v="23"/>
    <s v="F"/>
    <x v="19"/>
    <x v="1"/>
  </r>
  <r>
    <n v="1278929"/>
    <n v="413"/>
    <s v="Spain"/>
    <d v="2023-04-16T23:26:00"/>
    <x v="2"/>
    <x v="29"/>
    <n v="6020"/>
    <s v="Spain"/>
    <x v="193"/>
    <x v="191"/>
    <x v="3"/>
    <n v="100000"/>
    <x v="13"/>
    <s v="M"/>
    <x v="59"/>
    <x v="2"/>
  </r>
  <r>
    <n v="1279393"/>
    <n v="1340"/>
    <s v="Italy"/>
    <d v="2023-09-08T01:01:00"/>
    <x v="0"/>
    <x v="59"/>
    <n v="9753"/>
    <s v="Italy"/>
    <x v="315"/>
    <x v="16"/>
    <x v="1"/>
    <n v="100000"/>
    <x v="1"/>
    <s v="F"/>
    <x v="28"/>
    <x v="3"/>
  </r>
  <r>
    <n v="1280103"/>
    <n v="909"/>
    <s v="India"/>
    <d v="2023-10-06T01:10:00"/>
    <x v="0"/>
    <x v="86"/>
    <n v="2054"/>
    <s v="India"/>
    <x v="45"/>
    <x v="7"/>
    <x v="0"/>
    <n v="150000"/>
    <x v="11"/>
    <s v="M"/>
    <x v="37"/>
    <x v="0"/>
  </r>
  <r>
    <n v="1280199"/>
    <n v="337"/>
    <s v="Singapore"/>
    <d v="2023-10-24T00:37:00"/>
    <x v="0"/>
    <x v="35"/>
    <n v="622"/>
    <s v="Singapore"/>
    <x v="52"/>
    <x v="201"/>
    <x v="4"/>
    <n v="100000"/>
    <x v="15"/>
    <s v="M"/>
    <x v="30"/>
    <x v="2"/>
  </r>
  <r>
    <n v="1282426"/>
    <n v="1866"/>
    <s v="Spain"/>
    <d v="2023-07-05T00:11:00"/>
    <x v="1"/>
    <x v="49"/>
    <n v="9455"/>
    <s v="Spain"/>
    <x v="324"/>
    <x v="10"/>
    <x v="0"/>
    <n v="100000"/>
    <x v="10"/>
    <s v="M"/>
    <x v="62"/>
    <x v="1"/>
  </r>
  <r>
    <n v="1283493"/>
    <n v="1075"/>
    <s v="Denmark"/>
    <d v="2023-10-27T01:09:00"/>
    <x v="2"/>
    <x v="20"/>
    <n v="4773"/>
    <s v="Denmark"/>
    <x v="34"/>
    <x v="92"/>
    <x v="1"/>
    <n v="200000"/>
    <x v="17"/>
    <s v="M"/>
    <x v="39"/>
    <x v="3"/>
  </r>
  <r>
    <n v="1284119"/>
    <n v="1980"/>
    <s v="Switzerland"/>
    <d v="2023-10-07T01:14:00"/>
    <x v="3"/>
    <x v="60"/>
    <n v="6976"/>
    <s v="Switzerland"/>
    <x v="286"/>
    <x v="156"/>
    <x v="1"/>
    <n v="100000"/>
    <x v="26"/>
    <s v="M"/>
    <x v="56"/>
    <x v="1"/>
  </r>
  <r>
    <n v="1284352"/>
    <n v="1957"/>
    <s v="USA"/>
    <d v="2023-06-05T00:01:00"/>
    <x v="1"/>
    <x v="23"/>
    <n v="2512"/>
    <s v="USA"/>
    <x v="12"/>
    <x v="63"/>
    <x v="0"/>
    <n v="1000000"/>
    <x v="12"/>
    <s v="F"/>
    <x v="53"/>
    <x v="1"/>
  </r>
  <r>
    <n v="1284756"/>
    <n v="1015"/>
    <s v="Italy"/>
    <d v="2023-11-07T00:06:00"/>
    <x v="3"/>
    <x v="1"/>
    <n v="8923"/>
    <s v="Italy"/>
    <x v="91"/>
    <x v="22"/>
    <x v="1"/>
    <n v="200000"/>
    <x v="1"/>
    <s v="F"/>
    <x v="63"/>
    <x v="3"/>
  </r>
  <r>
    <n v="1287324"/>
    <n v="819"/>
    <s v="Ireland"/>
    <d v="2023-03-03T00:06:00"/>
    <x v="1"/>
    <x v="61"/>
    <n v="930"/>
    <s v="Ireland"/>
    <x v="30"/>
    <x v="22"/>
    <x v="4"/>
    <n v="200000"/>
    <x v="28"/>
    <s v="F"/>
    <x v="21"/>
    <x v="0"/>
  </r>
  <r>
    <n v="1288242"/>
    <n v="1879"/>
    <s v="USA"/>
    <d v="2023-08-23T00:05:00"/>
    <x v="1"/>
    <x v="87"/>
    <n v="5169"/>
    <s v="USA"/>
    <x v="333"/>
    <x v="48"/>
    <x v="0"/>
    <n v="100000"/>
    <x v="16"/>
    <s v="M"/>
    <x v="15"/>
    <x v="1"/>
  </r>
  <r>
    <n v="1288279"/>
    <n v="420"/>
    <s v="Spain"/>
    <d v="2023-05-27T23:59:00"/>
    <x v="3"/>
    <x v="77"/>
    <n v="5628"/>
    <s v="Spain"/>
    <x v="278"/>
    <x v="181"/>
    <x v="1"/>
    <n v="250000"/>
    <x v="24"/>
    <s v="F"/>
    <x v="54"/>
    <x v="2"/>
  </r>
  <r>
    <n v="1288732"/>
    <n v="354"/>
    <s v="India"/>
    <d v="2023-02-08T23:14:00"/>
    <x v="1"/>
    <x v="84"/>
    <n v="1265"/>
    <s v="India"/>
    <x v="131"/>
    <x v="70"/>
    <x v="2"/>
    <n v="100000"/>
    <x v="3"/>
    <s v="M"/>
    <x v="3"/>
    <x v="2"/>
  </r>
  <r>
    <n v="1288792"/>
    <n v="25"/>
    <s v="USA"/>
    <d v="2023-12-05T01:41:00"/>
    <x v="1"/>
    <x v="42"/>
    <n v="3516"/>
    <s v="USA"/>
    <x v="223"/>
    <x v="86"/>
    <x v="0"/>
    <n v="200000"/>
    <x v="14"/>
    <s v="M"/>
    <x v="0"/>
    <x v="2"/>
  </r>
  <r>
    <n v="1288824"/>
    <n v="912"/>
    <s v="USA"/>
    <d v="2023-01-04T00:03:00"/>
    <x v="3"/>
    <x v="78"/>
    <n v="8079"/>
    <s v="USA"/>
    <x v="203"/>
    <x v="72"/>
    <x v="0"/>
    <n v="100000"/>
    <x v="12"/>
    <s v="M"/>
    <x v="19"/>
    <x v="0"/>
  </r>
  <r>
    <n v="1289179"/>
    <n v="65"/>
    <s v="Spain"/>
    <d v="2023-02-04T01:04:00"/>
    <x v="2"/>
    <x v="13"/>
    <n v="2409"/>
    <s v="Spain"/>
    <x v="189"/>
    <x v="121"/>
    <x v="0"/>
    <n v="100000"/>
    <x v="12"/>
    <s v="F"/>
    <x v="2"/>
    <x v="2"/>
  </r>
  <r>
    <n v="1289588"/>
    <n v="336"/>
    <s v="Spain"/>
    <d v="2023-09-05T23:54:00"/>
    <x v="1"/>
    <x v="39"/>
    <n v="4944"/>
    <s v="Spain"/>
    <x v="86"/>
    <x v="174"/>
    <x v="3"/>
    <n v="1000000"/>
    <x v="6"/>
    <s v="F"/>
    <x v="47"/>
    <x v="2"/>
  </r>
  <r>
    <n v="1289856"/>
    <n v="1174"/>
    <s v="USA"/>
    <d v="2023-07-08T00:26:00"/>
    <x v="1"/>
    <x v="40"/>
    <n v="5660"/>
    <s v="USA"/>
    <x v="210"/>
    <x v="151"/>
    <x v="2"/>
    <n v="150000"/>
    <x v="2"/>
    <s v="M"/>
    <x v="52"/>
    <x v="3"/>
  </r>
  <r>
    <n v="1289947"/>
    <n v="164"/>
    <s v="USA"/>
    <d v="2023-11-21T23:25:00"/>
    <x v="2"/>
    <x v="74"/>
    <n v="1867"/>
    <s v="USA"/>
    <x v="185"/>
    <x v="141"/>
    <x v="1"/>
    <n v="200000"/>
    <x v="18"/>
    <s v="M"/>
    <x v="40"/>
    <x v="2"/>
  </r>
  <r>
    <n v="1290448"/>
    <n v="1083"/>
    <s v="Spain"/>
    <d v="2023-02-14T01:35:00"/>
    <x v="1"/>
    <x v="23"/>
    <n v="9507"/>
    <s v="Spain"/>
    <x v="157"/>
    <x v="200"/>
    <x v="0"/>
    <n v="1000000"/>
    <x v="12"/>
    <s v="F"/>
    <x v="5"/>
    <x v="3"/>
  </r>
  <r>
    <n v="1290759"/>
    <n v="497"/>
    <s v="USA"/>
    <d v="2023-02-19T00:53:00"/>
    <x v="2"/>
    <x v="55"/>
    <n v="6538"/>
    <s v="USA"/>
    <x v="110"/>
    <x v="36"/>
    <x v="2"/>
    <n v="80000"/>
    <x v="27"/>
    <s v="M"/>
    <x v="51"/>
    <x v="2"/>
  </r>
  <r>
    <n v="1290822"/>
    <n v="430"/>
    <s v="India"/>
    <d v="2023-04-18T01:22:00"/>
    <x v="3"/>
    <x v="83"/>
    <n v="3136"/>
    <s v="India"/>
    <x v="255"/>
    <x v="142"/>
    <x v="2"/>
    <n v="100000"/>
    <x v="19"/>
    <s v="M"/>
    <x v="43"/>
    <x v="2"/>
  </r>
  <r>
    <n v="1291386"/>
    <n v="1855"/>
    <s v="Denmark"/>
    <d v="2023-06-21T01:14:00"/>
    <x v="2"/>
    <x v="74"/>
    <n v="6840"/>
    <s v="Denmark"/>
    <x v="240"/>
    <x v="156"/>
    <x v="1"/>
    <n v="200000"/>
    <x v="18"/>
    <s v="F"/>
    <x v="60"/>
    <x v="1"/>
  </r>
  <r>
    <n v="1291392"/>
    <n v="1083"/>
    <s v="Spain"/>
    <d v="2023-07-12T00:36:00"/>
    <x v="3"/>
    <x v="23"/>
    <n v="7984"/>
    <s v="Spain"/>
    <x v="222"/>
    <x v="120"/>
    <x v="0"/>
    <n v="1000000"/>
    <x v="12"/>
    <s v="F"/>
    <x v="5"/>
    <x v="3"/>
  </r>
  <r>
    <n v="1291584"/>
    <n v="1215"/>
    <s v="USA"/>
    <d v="2023-05-28T00:41:00"/>
    <x v="3"/>
    <x v="65"/>
    <n v="813"/>
    <s v="USA"/>
    <x v="229"/>
    <x v="60"/>
    <x v="4"/>
    <n v="250000"/>
    <x v="28"/>
    <s v="M"/>
    <x v="19"/>
    <x v="3"/>
  </r>
  <r>
    <n v="1291650"/>
    <n v="1982"/>
    <s v="Italy"/>
    <d v="2023-06-03T01:35:00"/>
    <x v="2"/>
    <x v="85"/>
    <n v="5585"/>
    <s v="Italy"/>
    <x v="24"/>
    <x v="200"/>
    <x v="2"/>
    <n v="150000"/>
    <x v="21"/>
    <s v="F"/>
    <x v="8"/>
    <x v="1"/>
  </r>
  <r>
    <n v="1291973"/>
    <n v="461"/>
    <s v="Australia"/>
    <d v="2023-01-07T01:23:00"/>
    <x v="0"/>
    <x v="23"/>
    <n v="5976"/>
    <s v="Australia"/>
    <x v="336"/>
    <x v="83"/>
    <x v="0"/>
    <n v="1000000"/>
    <x v="12"/>
    <s v="M"/>
    <x v="55"/>
    <x v="2"/>
  </r>
  <r>
    <n v="1292166"/>
    <n v="758"/>
    <s v="USA"/>
    <d v="2023-02-17T00:03:00"/>
    <x v="0"/>
    <x v="21"/>
    <n v="7030"/>
    <s v="USA"/>
    <x v="38"/>
    <x v="72"/>
    <x v="0"/>
    <n v="100000"/>
    <x v="4"/>
    <s v="F"/>
    <x v="13"/>
    <x v="0"/>
  </r>
  <r>
    <n v="1292922"/>
    <n v="27"/>
    <s v="USA"/>
    <d v="2023-02-09T01:47:00"/>
    <x v="3"/>
    <x v="77"/>
    <n v="1646"/>
    <s v="USA"/>
    <x v="177"/>
    <x v="189"/>
    <x v="1"/>
    <n v="250000"/>
    <x v="24"/>
    <s v="F"/>
    <x v="50"/>
    <x v="2"/>
  </r>
  <r>
    <n v="1294009"/>
    <n v="538"/>
    <s v="India"/>
    <d v="2023-01-06T01:46:00"/>
    <x v="0"/>
    <x v="84"/>
    <n v="4279"/>
    <s v="India"/>
    <x v="79"/>
    <x v="129"/>
    <x v="2"/>
    <n v="100000"/>
    <x v="3"/>
    <s v="M"/>
    <x v="24"/>
    <x v="0"/>
  </r>
  <r>
    <n v="1297610"/>
    <n v="1732"/>
    <s v="USA"/>
    <d v="2023-10-10T01:24:00"/>
    <x v="2"/>
    <x v="39"/>
    <n v="2563"/>
    <s v="USA"/>
    <x v="33"/>
    <x v="124"/>
    <x v="3"/>
    <n v="1000000"/>
    <x v="6"/>
    <s v="M"/>
    <x v="70"/>
    <x v="1"/>
  </r>
  <r>
    <n v="1297796"/>
    <n v="640"/>
    <s v="France"/>
    <d v="2023-02-26T00:40:00"/>
    <x v="3"/>
    <x v="23"/>
    <n v="9438"/>
    <s v="France"/>
    <x v="269"/>
    <x v="51"/>
    <x v="0"/>
    <n v="1000000"/>
    <x v="12"/>
    <s v="F"/>
    <x v="66"/>
    <x v="0"/>
  </r>
  <r>
    <n v="1299122"/>
    <n v="220"/>
    <s v="Australia"/>
    <d v="2023-01-07T23:19:00"/>
    <x v="2"/>
    <x v="61"/>
    <n v="9458"/>
    <s v="Australia"/>
    <x v="336"/>
    <x v="24"/>
    <x v="4"/>
    <n v="200000"/>
    <x v="28"/>
    <s v="M"/>
    <x v="37"/>
    <x v="2"/>
  </r>
  <r>
    <n v="1303658"/>
    <n v="67"/>
    <s v="Italy"/>
    <d v="2023-06-10T01:42:00"/>
    <x v="3"/>
    <x v="20"/>
    <n v="897"/>
    <s v="Italy"/>
    <x v="117"/>
    <x v="14"/>
    <x v="1"/>
    <n v="200000"/>
    <x v="17"/>
    <s v="M"/>
    <x v="66"/>
    <x v="2"/>
  </r>
  <r>
    <n v="1305831"/>
    <n v="1531"/>
    <s v="Singapore"/>
    <d v="2023-09-26T23:11:00"/>
    <x v="1"/>
    <x v="48"/>
    <n v="695"/>
    <s v="Singapore"/>
    <x v="239"/>
    <x v="4"/>
    <x v="1"/>
    <n v="100000"/>
    <x v="9"/>
    <s v="F"/>
    <x v="10"/>
    <x v="1"/>
  </r>
  <r>
    <n v="1307458"/>
    <n v="122"/>
    <s v="Spain"/>
    <d v="2023-01-01T01:31:00"/>
    <x v="1"/>
    <x v="19"/>
    <n v="943"/>
    <s v="Spain"/>
    <x v="330"/>
    <x v="177"/>
    <x v="0"/>
    <n v="150000"/>
    <x v="16"/>
    <s v="M"/>
    <x v="10"/>
    <x v="2"/>
  </r>
  <r>
    <n v="1308621"/>
    <n v="1948"/>
    <s v="USA"/>
    <d v="2023-10-28T00:16:00"/>
    <x v="2"/>
    <x v="49"/>
    <n v="1684"/>
    <s v="USA"/>
    <x v="65"/>
    <x v="61"/>
    <x v="0"/>
    <n v="100000"/>
    <x v="10"/>
    <s v="F"/>
    <x v="33"/>
    <x v="1"/>
  </r>
  <r>
    <n v="1308737"/>
    <n v="344"/>
    <s v="Finland"/>
    <d v="2023-08-01T00:56:00"/>
    <x v="1"/>
    <x v="50"/>
    <n v="144"/>
    <s v="Finland"/>
    <x v="238"/>
    <x v="150"/>
    <x v="2"/>
    <n v="100000"/>
    <x v="27"/>
    <s v="F"/>
    <x v="58"/>
    <x v="2"/>
  </r>
  <r>
    <n v="1309217"/>
    <n v="1458"/>
    <s v="France"/>
    <d v="2023-06-26T00:42:00"/>
    <x v="3"/>
    <x v="16"/>
    <n v="5635"/>
    <s v="France"/>
    <x v="314"/>
    <x v="215"/>
    <x v="4"/>
    <n v="150000"/>
    <x v="15"/>
    <s v="M"/>
    <x v="25"/>
    <x v="3"/>
  </r>
  <r>
    <n v="1309990"/>
    <n v="221"/>
    <s v="Australia"/>
    <d v="2023-06-24T23:59:00"/>
    <x v="1"/>
    <x v="37"/>
    <n v="667"/>
    <s v="Australia"/>
    <x v="53"/>
    <x v="181"/>
    <x v="3"/>
    <n v="150000"/>
    <x v="6"/>
    <s v="M"/>
    <x v="71"/>
    <x v="2"/>
  </r>
  <r>
    <n v="1310379"/>
    <n v="390"/>
    <s v="India"/>
    <d v="2023-02-23T00:44:00"/>
    <x v="2"/>
    <x v="51"/>
    <n v="9158"/>
    <s v="India"/>
    <x v="39"/>
    <x v="85"/>
    <x v="2"/>
    <n v="100000"/>
    <x v="22"/>
    <s v="M"/>
    <x v="20"/>
    <x v="2"/>
  </r>
  <r>
    <n v="1311114"/>
    <n v="130"/>
    <s v="USA"/>
    <d v="2023-06-23T01:20:00"/>
    <x v="3"/>
    <x v="52"/>
    <n v="1596"/>
    <s v="USA"/>
    <x v="93"/>
    <x v="8"/>
    <x v="4"/>
    <n v="50000"/>
    <x v="23"/>
    <s v="F"/>
    <x v="63"/>
    <x v="2"/>
  </r>
  <r>
    <n v="1311384"/>
    <n v="1796"/>
    <s v="Denmark"/>
    <d v="2023-02-17T23:34:00"/>
    <x v="2"/>
    <x v="53"/>
    <n v="5286"/>
    <s v="Denmark"/>
    <x v="38"/>
    <x v="99"/>
    <x v="0"/>
    <n v="50000"/>
    <x v="11"/>
    <s v="F"/>
    <x v="46"/>
    <x v="1"/>
  </r>
  <r>
    <n v="1311758"/>
    <n v="446"/>
    <s v="USA"/>
    <d v="2023-10-30T00:45:00"/>
    <x v="1"/>
    <x v="54"/>
    <n v="7083"/>
    <s v="USA"/>
    <x v="300"/>
    <x v="29"/>
    <x v="1"/>
    <n v="80000"/>
    <x v="17"/>
    <s v="M"/>
    <x v="25"/>
    <x v="2"/>
  </r>
  <r>
    <n v="1311873"/>
    <n v="990"/>
    <s v="Germany"/>
    <d v="2023-03-10T01:11:00"/>
    <x v="2"/>
    <x v="55"/>
    <n v="2981"/>
    <s v="Germany"/>
    <x v="358"/>
    <x v="122"/>
    <x v="2"/>
    <n v="80000"/>
    <x v="27"/>
    <s v="M"/>
    <x v="2"/>
    <x v="0"/>
  </r>
  <r>
    <n v="1311950"/>
    <n v="1770"/>
    <s v="Austria"/>
    <d v="2023-12-30T23:47:00"/>
    <x v="2"/>
    <x v="0"/>
    <n v="4041"/>
    <s v="Austria"/>
    <x v="2"/>
    <x v="100"/>
    <x v="0"/>
    <n v="200000"/>
    <x v="0"/>
    <s v="M"/>
    <x v="51"/>
    <x v="1"/>
  </r>
  <r>
    <n v="1312340"/>
    <n v="721"/>
    <s v="India"/>
    <d v="2023-09-28T00:20:00"/>
    <x v="3"/>
    <x v="23"/>
    <n v="9364"/>
    <s v="India"/>
    <x v="270"/>
    <x v="68"/>
    <x v="0"/>
    <n v="1000000"/>
    <x v="12"/>
    <s v="M"/>
    <x v="7"/>
    <x v="0"/>
  </r>
  <r>
    <n v="1312407"/>
    <n v="183"/>
    <s v="India"/>
    <d v="2023-04-04T01:19:00"/>
    <x v="3"/>
    <x v="56"/>
    <n v="9002"/>
    <s v="India"/>
    <x v="127"/>
    <x v="95"/>
    <x v="4"/>
    <n v="100000"/>
    <x v="28"/>
    <s v="M"/>
    <x v="50"/>
    <x v="2"/>
  </r>
  <r>
    <n v="1312635"/>
    <n v="55"/>
    <s v="Denmark"/>
    <d v="2023-02-13T23:45:00"/>
    <x v="2"/>
    <x v="57"/>
    <n v="2981"/>
    <s v="Denmark"/>
    <x v="301"/>
    <x v="164"/>
    <x v="0"/>
    <n v="80000"/>
    <x v="0"/>
    <s v="F"/>
    <x v="24"/>
    <x v="2"/>
  </r>
  <r>
    <n v="1313934"/>
    <n v="1710"/>
    <s v="Spain"/>
    <d v="2023-11-12T01:06:00"/>
    <x v="0"/>
    <x v="89"/>
    <n v="2981"/>
    <s v="Spain"/>
    <x v="109"/>
    <x v="207"/>
    <x v="4"/>
    <n v="30000"/>
    <x v="23"/>
    <s v="F"/>
    <x v="58"/>
    <x v="1"/>
  </r>
  <r>
    <n v="1313997"/>
    <n v="1327"/>
    <s v="France"/>
    <d v="2023-02-27T00:04:00"/>
    <x v="2"/>
    <x v="29"/>
    <n v="8609"/>
    <s v="France"/>
    <x v="298"/>
    <x v="64"/>
    <x v="3"/>
    <n v="100000"/>
    <x v="13"/>
    <s v="M"/>
    <x v="6"/>
    <x v="3"/>
  </r>
  <r>
    <n v="1314159"/>
    <n v="1357"/>
    <s v="Ireland"/>
    <d v="2023-07-23T00:26:00"/>
    <x v="3"/>
    <x v="59"/>
    <n v="3684"/>
    <s v="Ireland"/>
    <x v="205"/>
    <x v="151"/>
    <x v="1"/>
    <n v="100000"/>
    <x v="1"/>
    <s v="M"/>
    <x v="64"/>
    <x v="3"/>
  </r>
  <r>
    <n v="1314166"/>
    <n v="1145"/>
    <s v="USA"/>
    <d v="2023-03-30T01:28:00"/>
    <x v="0"/>
    <x v="24"/>
    <n v="9152"/>
    <s v="USA"/>
    <x v="101"/>
    <x v="49"/>
    <x v="1"/>
    <n v="100000"/>
    <x v="18"/>
    <s v="F"/>
    <x v="63"/>
    <x v="3"/>
  </r>
  <r>
    <n v="1314895"/>
    <n v="1512"/>
    <s v="Denmark"/>
    <d v="2023-12-18T22:37:00"/>
    <x v="1"/>
    <x v="35"/>
    <n v="1560"/>
    <s v="Denmark"/>
    <x v="11"/>
    <x v="218"/>
    <x v="4"/>
    <n v="100000"/>
    <x v="15"/>
    <s v="F"/>
    <x v="9"/>
    <x v="1"/>
  </r>
  <r>
    <n v="1316887"/>
    <n v="1739"/>
    <s v="Spain"/>
    <d v="2023-04-07T23:33:00"/>
    <x v="2"/>
    <x v="23"/>
    <n v="951"/>
    <s v="Spain"/>
    <x v="194"/>
    <x v="62"/>
    <x v="0"/>
    <n v="1000000"/>
    <x v="12"/>
    <s v="F"/>
    <x v="60"/>
    <x v="1"/>
  </r>
  <r>
    <n v="1317983"/>
    <n v="997"/>
    <s v="India"/>
    <d v="2023-12-12T01:27:00"/>
    <x v="2"/>
    <x v="60"/>
    <n v="7185"/>
    <s v="India"/>
    <x v="92"/>
    <x v="219"/>
    <x v="1"/>
    <n v="100000"/>
    <x v="26"/>
    <s v="F"/>
    <x v="30"/>
    <x v="0"/>
  </r>
  <r>
    <n v="1318200"/>
    <n v="1657"/>
    <s v="Germany"/>
    <d v="2023-12-09T00:24:00"/>
    <x v="2"/>
    <x v="39"/>
    <n v="7368"/>
    <s v="Germany"/>
    <x v="100"/>
    <x v="115"/>
    <x v="3"/>
    <n v="1000000"/>
    <x v="6"/>
    <s v="F"/>
    <x v="29"/>
    <x v="1"/>
  </r>
  <r>
    <n v="1318274"/>
    <n v="304"/>
    <s v="India"/>
    <d v="2023-03-05T23:33:00"/>
    <x v="2"/>
    <x v="39"/>
    <n v="2657"/>
    <s v="India"/>
    <x v="346"/>
    <x v="62"/>
    <x v="3"/>
    <n v="1000000"/>
    <x v="6"/>
    <s v="F"/>
    <x v="37"/>
    <x v="2"/>
  </r>
  <r>
    <n v="1318579"/>
    <n v="1120"/>
    <s v="Denmark"/>
    <d v="2023-11-02T01:55:00"/>
    <x v="3"/>
    <x v="61"/>
    <n v="8857"/>
    <s v="Denmark"/>
    <x v="105"/>
    <x v="220"/>
    <x v="4"/>
    <n v="200000"/>
    <x v="28"/>
    <s v="F"/>
    <x v="62"/>
    <x v="3"/>
  </r>
  <r>
    <n v="1319964"/>
    <n v="281"/>
    <s v="USA"/>
    <d v="2023-02-02T23:45:00"/>
    <x v="2"/>
    <x v="58"/>
    <n v="2954"/>
    <s v="USA"/>
    <x v="139"/>
    <x v="164"/>
    <x v="3"/>
    <n v="100000"/>
    <x v="20"/>
    <s v="M"/>
    <x v="21"/>
    <x v="2"/>
  </r>
  <r>
    <n v="1320558"/>
    <n v="1243"/>
    <s v="Spain"/>
    <d v="2023-07-12T23:36:00"/>
    <x v="2"/>
    <x v="66"/>
    <n v="6197"/>
    <s v="Spain"/>
    <x v="222"/>
    <x v="135"/>
    <x v="1"/>
    <n v="100000"/>
    <x v="8"/>
    <s v="M"/>
    <x v="32"/>
    <x v="3"/>
  </r>
  <r>
    <n v="1321272"/>
    <n v="1045"/>
    <s v="Spain"/>
    <d v="2023-07-27T00:09:00"/>
    <x v="3"/>
    <x v="67"/>
    <n v="4967"/>
    <s v="Spain"/>
    <x v="85"/>
    <x v="81"/>
    <x v="3"/>
    <n v="150000"/>
    <x v="29"/>
    <s v="F"/>
    <x v="11"/>
    <x v="3"/>
  </r>
  <r>
    <n v="1322635"/>
    <n v="481"/>
    <s v="Australia"/>
    <d v="2023-02-25T23:46:00"/>
    <x v="1"/>
    <x v="39"/>
    <n v="1854"/>
    <s v="Australia"/>
    <x v="84"/>
    <x v="9"/>
    <x v="3"/>
    <n v="1000000"/>
    <x v="6"/>
    <s v="F"/>
    <x v="22"/>
    <x v="2"/>
  </r>
  <r>
    <n v="1323847"/>
    <n v="1742"/>
    <s v="USA"/>
    <d v="2023-04-21T01:37:00"/>
    <x v="1"/>
    <x v="41"/>
    <n v="4644"/>
    <s v="USA"/>
    <x v="276"/>
    <x v="109"/>
    <x v="0"/>
    <n v="100000"/>
    <x v="0"/>
    <s v="F"/>
    <x v="22"/>
    <x v="1"/>
  </r>
  <r>
    <n v="1325889"/>
    <n v="399"/>
    <s v="India"/>
    <d v="2023-07-03T00:40:00"/>
    <x v="1"/>
    <x v="54"/>
    <n v="4141"/>
    <s v="India"/>
    <x v="32"/>
    <x v="51"/>
    <x v="1"/>
    <n v="80000"/>
    <x v="17"/>
    <s v="F"/>
    <x v="69"/>
    <x v="2"/>
  </r>
  <r>
    <n v="1326076"/>
    <n v="1939"/>
    <s v="USA"/>
    <d v="2023-03-23T00:54:00"/>
    <x v="3"/>
    <x v="63"/>
    <n v="9937"/>
    <s v="USA"/>
    <x v="320"/>
    <x v="73"/>
    <x v="0"/>
    <n v="100000"/>
    <x v="16"/>
    <s v="M"/>
    <x v="60"/>
    <x v="1"/>
  </r>
  <r>
    <n v="1329378"/>
    <n v="985"/>
    <s v="USA"/>
    <d v="2023-02-10T23:33:00"/>
    <x v="2"/>
    <x v="7"/>
    <n v="5704"/>
    <s v="USA"/>
    <x v="115"/>
    <x v="62"/>
    <x v="1"/>
    <n v="150000"/>
    <x v="7"/>
    <s v="M"/>
    <x v="45"/>
    <x v="0"/>
  </r>
  <r>
    <n v="1330979"/>
    <n v="546"/>
    <s v="USA"/>
    <d v="2023-01-03T23:33:00"/>
    <x v="3"/>
    <x v="40"/>
    <n v="4461"/>
    <s v="USA"/>
    <x v="54"/>
    <x v="62"/>
    <x v="2"/>
    <n v="150000"/>
    <x v="2"/>
    <s v="M"/>
    <x v="56"/>
    <x v="0"/>
  </r>
  <r>
    <n v="1331311"/>
    <n v="106"/>
    <s v="Australia"/>
    <d v="2023-01-07T00:48:00"/>
    <x v="1"/>
    <x v="23"/>
    <n v="1909"/>
    <s v="Australia"/>
    <x v="336"/>
    <x v="88"/>
    <x v="0"/>
    <n v="1000000"/>
    <x v="12"/>
    <s v="F"/>
    <x v="28"/>
    <x v="2"/>
  </r>
  <r>
    <n v="1332449"/>
    <n v="1433"/>
    <s v="Australia"/>
    <d v="2023-12-09T00:38:00"/>
    <x v="3"/>
    <x v="23"/>
    <n v="4463"/>
    <s v="Australia"/>
    <x v="100"/>
    <x v="162"/>
    <x v="0"/>
    <n v="1000000"/>
    <x v="12"/>
    <s v="F"/>
    <x v="9"/>
    <x v="3"/>
  </r>
  <r>
    <n v="1334431"/>
    <n v="522"/>
    <s v="USA"/>
    <d v="2023-09-26T00:42:00"/>
    <x v="1"/>
    <x v="69"/>
    <n v="6918"/>
    <s v="USA"/>
    <x v="239"/>
    <x v="215"/>
    <x v="4"/>
    <n v="150000"/>
    <x v="25"/>
    <s v="F"/>
    <x v="55"/>
    <x v="0"/>
  </r>
  <r>
    <n v="1335084"/>
    <n v="1170"/>
    <s v="Germany"/>
    <d v="2023-07-21T00:37:00"/>
    <x v="1"/>
    <x v="60"/>
    <n v="5783"/>
    <s v="Germany"/>
    <x v="77"/>
    <x v="201"/>
    <x v="1"/>
    <n v="100000"/>
    <x v="26"/>
    <s v="F"/>
    <x v="48"/>
    <x v="3"/>
  </r>
  <r>
    <n v="1335543"/>
    <n v="1191"/>
    <s v="Australia"/>
    <d v="2023-02-02T00:54:00"/>
    <x v="2"/>
    <x v="22"/>
    <n v="2295"/>
    <s v="Australia"/>
    <x v="139"/>
    <x v="73"/>
    <x v="3"/>
    <n v="100000"/>
    <x v="13"/>
    <s v="M"/>
    <x v="68"/>
    <x v="3"/>
  </r>
  <r>
    <n v="1335910"/>
    <n v="902"/>
    <s v="USA"/>
    <d v="2023-12-18T23:26:00"/>
    <x v="0"/>
    <x v="70"/>
    <n v="355"/>
    <s v="USA"/>
    <x v="11"/>
    <x v="191"/>
    <x v="3"/>
    <n v="150000"/>
    <x v="29"/>
    <s v="F"/>
    <x v="43"/>
    <x v="0"/>
  </r>
  <r>
    <n v="1335994"/>
    <n v="1510"/>
    <s v="Norway"/>
    <d v="2023-12-16T00:26:00"/>
    <x v="1"/>
    <x v="84"/>
    <n v="7950"/>
    <s v="Norway"/>
    <x v="257"/>
    <x v="151"/>
    <x v="2"/>
    <n v="100000"/>
    <x v="3"/>
    <s v="M"/>
    <x v="12"/>
    <x v="1"/>
  </r>
  <r>
    <n v="1336012"/>
    <n v="856"/>
    <s v="USA"/>
    <d v="2023-04-12T23:39:00"/>
    <x v="1"/>
    <x v="69"/>
    <n v="7915"/>
    <s v="USA"/>
    <x v="361"/>
    <x v="101"/>
    <x v="4"/>
    <n v="150000"/>
    <x v="25"/>
    <s v="M"/>
    <x v="0"/>
    <x v="0"/>
  </r>
  <r>
    <n v="1336024"/>
    <n v="1011"/>
    <s v="France"/>
    <d v="2023-08-24T00:18:00"/>
    <x v="0"/>
    <x v="85"/>
    <n v="8888"/>
    <s v="France"/>
    <x v="15"/>
    <x v="139"/>
    <x v="2"/>
    <n v="150000"/>
    <x v="21"/>
    <s v="M"/>
    <x v="1"/>
    <x v="3"/>
  </r>
  <r>
    <n v="1336827"/>
    <n v="1247"/>
    <s v="USA"/>
    <d v="2023-04-17T23:41:00"/>
    <x v="3"/>
    <x v="68"/>
    <n v="8526"/>
    <s v="USA"/>
    <x v="107"/>
    <x v="155"/>
    <x v="1"/>
    <n v="150000"/>
    <x v="26"/>
    <s v="F"/>
    <x v="32"/>
    <x v="3"/>
  </r>
  <r>
    <n v="1337570"/>
    <n v="143"/>
    <s v="USA"/>
    <d v="2023-02-06T23:10:00"/>
    <x v="1"/>
    <x v="21"/>
    <n v="518"/>
    <s v="USA"/>
    <x v="49"/>
    <x v="176"/>
    <x v="0"/>
    <n v="100000"/>
    <x v="4"/>
    <s v="M"/>
    <x v="7"/>
    <x v="2"/>
  </r>
  <r>
    <n v="1337603"/>
    <n v="1915"/>
    <s v="USA"/>
    <d v="2023-02-11T00:15:00"/>
    <x v="3"/>
    <x v="45"/>
    <n v="5719"/>
    <s v="USA"/>
    <x v="104"/>
    <x v="123"/>
    <x v="4"/>
    <n v="100000"/>
    <x v="25"/>
    <s v="M"/>
    <x v="8"/>
    <x v="1"/>
  </r>
  <r>
    <n v="1338945"/>
    <n v="627"/>
    <s v="Finland"/>
    <d v="2023-02-24T00:15:00"/>
    <x v="1"/>
    <x v="10"/>
    <n v="4854"/>
    <s v="Finland"/>
    <x v="160"/>
    <x v="123"/>
    <x v="0"/>
    <n v="250000"/>
    <x v="10"/>
    <s v="M"/>
    <x v="14"/>
    <x v="0"/>
  </r>
  <r>
    <n v="1339556"/>
    <n v="1216"/>
    <s v="Australia"/>
    <d v="2023-09-23T01:20:00"/>
    <x v="2"/>
    <x v="23"/>
    <n v="1757"/>
    <s v="Australia"/>
    <x v="71"/>
    <x v="8"/>
    <x v="0"/>
    <n v="1000000"/>
    <x v="12"/>
    <s v="M"/>
    <x v="42"/>
    <x v="3"/>
  </r>
  <r>
    <n v="1340302"/>
    <n v="1142"/>
    <s v="USA"/>
    <d v="2023-12-03T01:17:00"/>
    <x v="1"/>
    <x v="73"/>
    <n v="9786"/>
    <s v="USA"/>
    <x v="201"/>
    <x v="210"/>
    <x v="4"/>
    <n v="100000"/>
    <x v="25"/>
    <s v="F"/>
    <x v="0"/>
    <x v="3"/>
  </r>
  <r>
    <n v="1343250"/>
    <n v="681"/>
    <s v="USA"/>
    <d v="2023-11-04T23:02:00"/>
    <x v="3"/>
    <x v="23"/>
    <n v="6365"/>
    <s v="USA"/>
    <x v="244"/>
    <x v="114"/>
    <x v="0"/>
    <n v="1000000"/>
    <x v="12"/>
    <s v="M"/>
    <x v="14"/>
    <x v="0"/>
  </r>
  <r>
    <n v="1343766"/>
    <n v="1191"/>
    <s v="Australia"/>
    <d v="2023-04-21T00:01:00"/>
    <x v="3"/>
    <x v="39"/>
    <n v="7282"/>
    <s v="Australia"/>
    <x v="276"/>
    <x v="63"/>
    <x v="3"/>
    <n v="1000000"/>
    <x v="6"/>
    <s v="M"/>
    <x v="68"/>
    <x v="3"/>
  </r>
  <r>
    <n v="1343925"/>
    <n v="1400"/>
    <s v="USA"/>
    <d v="2023-03-31T00:50:00"/>
    <x v="2"/>
    <x v="83"/>
    <n v="9178"/>
    <s v="USA"/>
    <x v="60"/>
    <x v="0"/>
    <x v="2"/>
    <n v="100000"/>
    <x v="19"/>
    <s v="F"/>
    <x v="6"/>
    <x v="3"/>
  </r>
  <r>
    <n v="1343941"/>
    <n v="135"/>
    <s v="Spain"/>
    <d v="2023-08-09T23:14:00"/>
    <x v="0"/>
    <x v="19"/>
    <n v="6934"/>
    <s v="Spain"/>
    <x v="282"/>
    <x v="70"/>
    <x v="0"/>
    <n v="150000"/>
    <x v="16"/>
    <s v="F"/>
    <x v="18"/>
    <x v="2"/>
  </r>
  <r>
    <n v="1345016"/>
    <n v="1994"/>
    <s v="Singapore"/>
    <d v="2023-02-15T23:37:00"/>
    <x v="2"/>
    <x v="86"/>
    <n v="9058"/>
    <s v="Singapore"/>
    <x v="146"/>
    <x v="78"/>
    <x v="0"/>
    <n v="150000"/>
    <x v="11"/>
    <s v="M"/>
    <x v="64"/>
    <x v="1"/>
  </r>
  <r>
    <n v="1346080"/>
    <n v="254"/>
    <s v="France"/>
    <d v="2023-09-24T23:34:00"/>
    <x v="0"/>
    <x v="19"/>
    <n v="9148"/>
    <s v="France"/>
    <x v="56"/>
    <x v="99"/>
    <x v="0"/>
    <n v="150000"/>
    <x v="16"/>
    <s v="F"/>
    <x v="51"/>
    <x v="2"/>
  </r>
  <r>
    <n v="1347158"/>
    <n v="621"/>
    <s v="USA"/>
    <d v="2023-08-23T23:25:00"/>
    <x v="2"/>
    <x v="88"/>
    <n v="468"/>
    <s v="USA"/>
    <x v="333"/>
    <x v="141"/>
    <x v="3"/>
    <n v="30000"/>
    <x v="29"/>
    <s v="F"/>
    <x v="63"/>
    <x v="0"/>
  </r>
  <r>
    <n v="1347250"/>
    <n v="1624"/>
    <s v="USA"/>
    <d v="2023-06-12T00:50:00"/>
    <x v="3"/>
    <x v="50"/>
    <n v="3030"/>
    <s v="USA"/>
    <x v="342"/>
    <x v="0"/>
    <x v="2"/>
    <n v="100000"/>
    <x v="27"/>
    <s v="M"/>
    <x v="24"/>
    <x v="1"/>
  </r>
  <r>
    <n v="1347720"/>
    <n v="82"/>
    <s v="Spain"/>
    <d v="2023-12-14T23:40:00"/>
    <x v="0"/>
    <x v="16"/>
    <n v="6776"/>
    <s v="Spain"/>
    <x v="94"/>
    <x v="1"/>
    <x v="4"/>
    <n v="150000"/>
    <x v="15"/>
    <s v="F"/>
    <x v="9"/>
    <x v="2"/>
  </r>
  <r>
    <n v="1347929"/>
    <n v="105"/>
    <s v="USA"/>
    <d v="2023-02-16T00:21:00"/>
    <x v="2"/>
    <x v="5"/>
    <n v="5624"/>
    <s v="USA"/>
    <x v="197"/>
    <x v="2"/>
    <x v="2"/>
    <n v="150000"/>
    <x v="5"/>
    <s v="M"/>
    <x v="16"/>
    <x v="2"/>
  </r>
  <r>
    <n v="1348880"/>
    <n v="735"/>
    <s v="India"/>
    <d v="2023-01-25T00:31:00"/>
    <x v="1"/>
    <x v="51"/>
    <n v="9491"/>
    <s v="India"/>
    <x v="308"/>
    <x v="3"/>
    <x v="2"/>
    <n v="100000"/>
    <x v="22"/>
    <s v="F"/>
    <x v="53"/>
    <x v="0"/>
  </r>
  <r>
    <n v="1350108"/>
    <n v="453"/>
    <s v="France"/>
    <d v="2023-04-11T23:11:00"/>
    <x v="2"/>
    <x v="66"/>
    <n v="4256"/>
    <s v="France"/>
    <x v="147"/>
    <x v="4"/>
    <x v="1"/>
    <n v="100000"/>
    <x v="8"/>
    <s v="M"/>
    <x v="44"/>
    <x v="2"/>
  </r>
  <r>
    <n v="1350840"/>
    <n v="1282"/>
    <s v="France"/>
    <d v="2023-07-01T22:52:00"/>
    <x v="2"/>
    <x v="44"/>
    <n v="6519"/>
    <s v="France"/>
    <x v="41"/>
    <x v="5"/>
    <x v="0"/>
    <n v="100000"/>
    <x v="12"/>
    <s v="M"/>
    <x v="31"/>
    <x v="3"/>
  </r>
  <r>
    <n v="1352087"/>
    <n v="1051"/>
    <s v="Spain"/>
    <d v="2023-06-18T00:23:00"/>
    <x v="3"/>
    <x v="55"/>
    <n v="4016"/>
    <s v="Spain"/>
    <x v="345"/>
    <x v="6"/>
    <x v="2"/>
    <n v="80000"/>
    <x v="27"/>
    <s v="M"/>
    <x v="40"/>
    <x v="3"/>
  </r>
  <r>
    <n v="1352182"/>
    <n v="1238"/>
    <s v="USA"/>
    <d v="2023-05-08T01:10:00"/>
    <x v="2"/>
    <x v="57"/>
    <n v="2508"/>
    <s v="USA"/>
    <x v="215"/>
    <x v="7"/>
    <x v="0"/>
    <n v="80000"/>
    <x v="0"/>
    <s v="F"/>
    <x v="48"/>
    <x v="3"/>
  </r>
  <r>
    <n v="1353569"/>
    <n v="276"/>
    <s v="India"/>
    <d v="2023-07-28T01:20:00"/>
    <x v="1"/>
    <x v="61"/>
    <n v="7760"/>
    <s v="India"/>
    <x v="209"/>
    <x v="8"/>
    <x v="4"/>
    <n v="200000"/>
    <x v="28"/>
    <s v="F"/>
    <x v="0"/>
    <x v="2"/>
  </r>
  <r>
    <n v="1354438"/>
    <n v="1076"/>
    <s v="India"/>
    <d v="2023-02-03T23:46:00"/>
    <x v="3"/>
    <x v="23"/>
    <n v="4766"/>
    <s v="India"/>
    <x v="151"/>
    <x v="9"/>
    <x v="0"/>
    <n v="1000000"/>
    <x v="12"/>
    <s v="F"/>
    <x v="65"/>
    <x v="3"/>
  </r>
  <r>
    <n v="1354758"/>
    <n v="892"/>
    <s v="USA"/>
    <d v="2023-11-08T00:11:00"/>
    <x v="2"/>
    <x v="14"/>
    <n v="4217"/>
    <s v="USA"/>
    <x v="27"/>
    <x v="10"/>
    <x v="3"/>
    <n v="200000"/>
    <x v="13"/>
    <s v="F"/>
    <x v="6"/>
    <x v="0"/>
  </r>
  <r>
    <n v="1355256"/>
    <n v="332"/>
    <s v="India"/>
    <d v="2023-02-20T00:39:00"/>
    <x v="1"/>
    <x v="85"/>
    <n v="2173"/>
    <s v="India"/>
    <x v="31"/>
    <x v="11"/>
    <x v="2"/>
    <n v="150000"/>
    <x v="21"/>
    <s v="M"/>
    <x v="61"/>
    <x v="2"/>
  </r>
  <r>
    <n v="1355679"/>
    <n v="1315"/>
    <s v="USA"/>
    <d v="2023-10-03T01:05:00"/>
    <x v="1"/>
    <x v="89"/>
    <n v="8855"/>
    <s v="USA"/>
    <x v="307"/>
    <x v="12"/>
    <x v="4"/>
    <n v="30000"/>
    <x v="23"/>
    <s v="F"/>
    <x v="15"/>
    <x v="3"/>
  </r>
  <r>
    <n v="1356717"/>
    <n v="59"/>
    <s v="Australia"/>
    <d v="2023-03-11T22:29:00"/>
    <x v="3"/>
    <x v="47"/>
    <n v="4472"/>
    <s v="Australia"/>
    <x v="250"/>
    <x v="13"/>
    <x v="3"/>
    <n v="100000"/>
    <x v="20"/>
    <s v="F"/>
    <x v="41"/>
    <x v="2"/>
  </r>
  <r>
    <n v="1357382"/>
    <n v="463"/>
    <s v="Germany"/>
    <d v="2023-12-14T01:42:00"/>
    <x v="2"/>
    <x v="59"/>
    <n v="2708"/>
    <s v="Germany"/>
    <x v="94"/>
    <x v="14"/>
    <x v="1"/>
    <n v="100000"/>
    <x v="1"/>
    <s v="M"/>
    <x v="39"/>
    <x v="2"/>
  </r>
  <r>
    <n v="1358333"/>
    <n v="1755"/>
    <s v="Spain"/>
    <d v="2023-03-16T23:13:00"/>
    <x v="3"/>
    <x v="86"/>
    <n v="1585"/>
    <s v="Spain"/>
    <x v="29"/>
    <x v="15"/>
    <x v="0"/>
    <n v="150000"/>
    <x v="11"/>
    <s v="M"/>
    <x v="50"/>
    <x v="1"/>
  </r>
  <r>
    <n v="1358621"/>
    <n v="909"/>
    <s v="India"/>
    <d v="2023-11-23T22:52:00"/>
    <x v="3"/>
    <x v="35"/>
    <n v="7200"/>
    <s v="India"/>
    <x v="7"/>
    <x v="5"/>
    <x v="4"/>
    <n v="100000"/>
    <x v="15"/>
    <s v="M"/>
    <x v="37"/>
    <x v="0"/>
  </r>
  <r>
    <n v="1358679"/>
    <n v="144"/>
    <s v="Denmark"/>
    <d v="2023-03-26T01:01:00"/>
    <x v="2"/>
    <x v="49"/>
    <n v="3276"/>
    <s v="Denmark"/>
    <x v="132"/>
    <x v="16"/>
    <x v="0"/>
    <n v="100000"/>
    <x v="10"/>
    <s v="M"/>
    <x v="18"/>
    <x v="2"/>
  </r>
  <r>
    <n v="1359265"/>
    <n v="1458"/>
    <s v="France"/>
    <d v="2023-08-02T22:33:00"/>
    <x v="3"/>
    <x v="20"/>
    <n v="7400"/>
    <s v="France"/>
    <x v="159"/>
    <x v="17"/>
    <x v="1"/>
    <n v="200000"/>
    <x v="17"/>
    <s v="M"/>
    <x v="25"/>
    <x v="3"/>
  </r>
  <r>
    <n v="1359304"/>
    <n v="1033"/>
    <s v="India"/>
    <d v="2023-07-16T23:16:00"/>
    <x v="3"/>
    <x v="60"/>
    <n v="941"/>
    <s v="India"/>
    <x v="220"/>
    <x v="18"/>
    <x v="1"/>
    <n v="100000"/>
    <x v="26"/>
    <s v="F"/>
    <x v="72"/>
    <x v="3"/>
  </r>
  <r>
    <n v="1359599"/>
    <n v="883"/>
    <s v="USA"/>
    <d v="2023-09-19T00:12:00"/>
    <x v="0"/>
    <x v="23"/>
    <n v="2508"/>
    <s v="USA"/>
    <x v="274"/>
    <x v="19"/>
    <x v="0"/>
    <n v="1000000"/>
    <x v="12"/>
    <s v="M"/>
    <x v="49"/>
    <x v="0"/>
  </r>
  <r>
    <n v="1360263"/>
    <n v="1782"/>
    <s v="Spain"/>
    <d v="2023-07-24T00:17:00"/>
    <x v="1"/>
    <x v="1"/>
    <n v="7986"/>
    <s v="Spain"/>
    <x v="200"/>
    <x v="20"/>
    <x v="1"/>
    <n v="200000"/>
    <x v="1"/>
    <s v="M"/>
    <x v="63"/>
    <x v="1"/>
  </r>
  <r>
    <n v="1360843"/>
    <n v="760"/>
    <s v="India"/>
    <d v="2023-06-02T00:34:00"/>
    <x v="2"/>
    <x v="12"/>
    <n v="2752"/>
    <s v="India"/>
    <x v="266"/>
    <x v="21"/>
    <x v="0"/>
    <n v="80000"/>
    <x v="11"/>
    <s v="M"/>
    <x v="13"/>
    <x v="0"/>
  </r>
  <r>
    <n v="1361770"/>
    <n v="1061"/>
    <s v="Finland"/>
    <d v="2023-04-26T00:06:00"/>
    <x v="3"/>
    <x v="70"/>
    <n v="8962"/>
    <s v="Finland"/>
    <x v="48"/>
    <x v="22"/>
    <x v="3"/>
    <n v="150000"/>
    <x v="29"/>
    <s v="F"/>
    <x v="57"/>
    <x v="3"/>
  </r>
  <r>
    <n v="1361969"/>
    <n v="1350"/>
    <s v="Spain"/>
    <d v="2023-05-05T02:00:00"/>
    <x v="1"/>
    <x v="40"/>
    <n v="3695"/>
    <s v="Spain"/>
    <x v="106"/>
    <x v="23"/>
    <x v="2"/>
    <n v="150000"/>
    <x v="2"/>
    <s v="M"/>
    <x v="66"/>
    <x v="3"/>
  </r>
  <r>
    <n v="1362369"/>
    <n v="230"/>
    <s v="USA"/>
    <d v="2023-01-05T01:01:00"/>
    <x v="0"/>
    <x v="77"/>
    <n v="9795"/>
    <s v="USA"/>
    <x v="111"/>
    <x v="16"/>
    <x v="1"/>
    <n v="250000"/>
    <x v="24"/>
    <s v="M"/>
    <x v="33"/>
    <x v="2"/>
  </r>
  <r>
    <n v="1362785"/>
    <n v="61"/>
    <s v="Spain"/>
    <d v="2023-12-24T23:19:00"/>
    <x v="0"/>
    <x v="84"/>
    <n v="3114"/>
    <s v="Spain"/>
    <x v="231"/>
    <x v="24"/>
    <x v="2"/>
    <n v="100000"/>
    <x v="3"/>
    <s v="F"/>
    <x v="59"/>
    <x v="2"/>
  </r>
  <r>
    <n v="1365205"/>
    <n v="298"/>
    <s v="Spain"/>
    <d v="2023-01-23T22:59:00"/>
    <x v="2"/>
    <x v="82"/>
    <n v="7140"/>
    <s v="Spain"/>
    <x v="21"/>
    <x v="25"/>
    <x v="2"/>
    <n v="100000"/>
    <x v="19"/>
    <s v="M"/>
    <x v="6"/>
    <x v="2"/>
  </r>
  <r>
    <n v="1365442"/>
    <n v="1707"/>
    <s v="France"/>
    <d v="2023-03-14T00:17:00"/>
    <x v="0"/>
    <x v="4"/>
    <n v="8105"/>
    <s v="France"/>
    <x v="97"/>
    <x v="20"/>
    <x v="0"/>
    <n v="200000"/>
    <x v="4"/>
    <s v="F"/>
    <x v="67"/>
    <x v="1"/>
  </r>
  <r>
    <n v="1365869"/>
    <n v="1763"/>
    <s v="USA"/>
    <d v="2023-10-18T22:56:00"/>
    <x v="3"/>
    <x v="86"/>
    <n v="8523"/>
    <s v="USA"/>
    <x v="47"/>
    <x v="26"/>
    <x v="0"/>
    <n v="150000"/>
    <x v="11"/>
    <s v="F"/>
    <x v="58"/>
    <x v="1"/>
  </r>
  <r>
    <n v="1366020"/>
    <n v="659"/>
    <s v="Australia"/>
    <d v="2023-08-10T23:20:00"/>
    <x v="3"/>
    <x v="39"/>
    <n v="9989"/>
    <s v="Australia"/>
    <x v="347"/>
    <x v="27"/>
    <x v="3"/>
    <n v="1000000"/>
    <x v="6"/>
    <s v="F"/>
    <x v="57"/>
    <x v="0"/>
  </r>
  <r>
    <n v="1366848"/>
    <n v="1433"/>
    <s v="Australia"/>
    <d v="2023-06-13T00:58:00"/>
    <x v="1"/>
    <x v="87"/>
    <n v="2562"/>
    <s v="Australia"/>
    <x v="252"/>
    <x v="28"/>
    <x v="0"/>
    <n v="100000"/>
    <x v="16"/>
    <s v="F"/>
    <x v="9"/>
    <x v="3"/>
  </r>
  <r>
    <n v="1366911"/>
    <n v="1017"/>
    <s v="India"/>
    <d v="2023-08-30T23:40:00"/>
    <x v="0"/>
    <x v="74"/>
    <n v="1302"/>
    <s v="India"/>
    <x v="74"/>
    <x v="1"/>
    <x v="1"/>
    <n v="200000"/>
    <x v="18"/>
    <s v="M"/>
    <x v="4"/>
    <x v="3"/>
  </r>
  <r>
    <n v="1366955"/>
    <n v="1529"/>
    <s v="Finland"/>
    <d v="2023-03-20T00:45:00"/>
    <x v="2"/>
    <x v="25"/>
    <n v="5336"/>
    <s v="Finland"/>
    <x v="171"/>
    <x v="29"/>
    <x v="1"/>
    <n v="150000"/>
    <x v="17"/>
    <s v="M"/>
    <x v="18"/>
    <x v="1"/>
  </r>
  <r>
    <n v="1368464"/>
    <n v="414"/>
    <s v="India"/>
    <d v="2023-11-22T00:52:00"/>
    <x v="0"/>
    <x v="30"/>
    <n v="7424"/>
    <s v="India"/>
    <x v="357"/>
    <x v="30"/>
    <x v="2"/>
    <n v="150000"/>
    <x v="21"/>
    <s v="M"/>
    <x v="46"/>
    <x v="2"/>
  </r>
  <r>
    <n v="1369791"/>
    <n v="588"/>
    <s v="Italy"/>
    <d v="2023-02-07T01:07:00"/>
    <x v="3"/>
    <x v="79"/>
    <n v="6758"/>
    <s v="Italy"/>
    <x v="73"/>
    <x v="31"/>
    <x v="1"/>
    <n v="200000"/>
    <x v="9"/>
    <s v="F"/>
    <x v="53"/>
    <x v="0"/>
  </r>
  <r>
    <n v="1370327"/>
    <n v="374"/>
    <s v="Denmark"/>
    <d v="2023-12-18T01:13:00"/>
    <x v="2"/>
    <x v="36"/>
    <n v="9133"/>
    <s v="Denmark"/>
    <x v="11"/>
    <x v="32"/>
    <x v="0"/>
    <n v="150000"/>
    <x v="10"/>
    <s v="M"/>
    <x v="37"/>
    <x v="2"/>
  </r>
  <r>
    <n v="1370775"/>
    <n v="462"/>
    <s v="USA"/>
    <d v="2023-04-23T01:49:00"/>
    <x v="2"/>
    <x v="65"/>
    <n v="1949"/>
    <s v="USA"/>
    <x v="218"/>
    <x v="33"/>
    <x v="4"/>
    <n v="250000"/>
    <x v="28"/>
    <s v="F"/>
    <x v="16"/>
    <x v="2"/>
  </r>
  <r>
    <n v="1371197"/>
    <n v="1891"/>
    <s v="Singapore"/>
    <d v="2023-03-28T00:12:00"/>
    <x v="3"/>
    <x v="81"/>
    <n v="5430"/>
    <s v="Singapore"/>
    <x v="83"/>
    <x v="19"/>
    <x v="4"/>
    <n v="100000"/>
    <x v="15"/>
    <s v="M"/>
    <x v="26"/>
    <x v="1"/>
  </r>
  <r>
    <n v="1371439"/>
    <n v="633"/>
    <s v="France"/>
    <d v="2023-10-18T00:07:00"/>
    <x v="0"/>
    <x v="39"/>
    <n v="4266"/>
    <s v="France"/>
    <x v="47"/>
    <x v="34"/>
    <x v="3"/>
    <n v="1000000"/>
    <x v="6"/>
    <s v="F"/>
    <x v="51"/>
    <x v="0"/>
  </r>
  <r>
    <n v="1371917"/>
    <n v="1407"/>
    <s v="USA"/>
    <d v="2023-07-25T00:49:00"/>
    <x v="3"/>
    <x v="77"/>
    <n v="7060"/>
    <s v="USA"/>
    <x v="331"/>
    <x v="35"/>
    <x v="1"/>
    <n v="250000"/>
    <x v="24"/>
    <s v="F"/>
    <x v="2"/>
    <x v="3"/>
  </r>
  <r>
    <n v="1373309"/>
    <n v="718"/>
    <s v="Norway"/>
    <d v="2023-06-24T00:53:00"/>
    <x v="0"/>
    <x v="84"/>
    <n v="2634"/>
    <s v="Norway"/>
    <x v="53"/>
    <x v="36"/>
    <x v="2"/>
    <n v="100000"/>
    <x v="3"/>
    <s v="F"/>
    <x v="55"/>
    <x v="0"/>
  </r>
  <r>
    <n v="1373323"/>
    <n v="1893"/>
    <s v="Australia"/>
    <d v="2023-02-14T01:08:00"/>
    <x v="3"/>
    <x v="39"/>
    <n v="8546"/>
    <s v="Australia"/>
    <x v="157"/>
    <x v="37"/>
    <x v="3"/>
    <n v="1000000"/>
    <x v="6"/>
    <s v="M"/>
    <x v="59"/>
    <x v="1"/>
  </r>
  <r>
    <n v="1373414"/>
    <n v="613"/>
    <s v="India"/>
    <d v="2023-02-13T23:46:00"/>
    <x v="1"/>
    <x v="23"/>
    <n v="5539"/>
    <s v="India"/>
    <x v="301"/>
    <x v="9"/>
    <x v="0"/>
    <n v="1000000"/>
    <x v="12"/>
    <s v="F"/>
    <x v="66"/>
    <x v="0"/>
  </r>
  <r>
    <n v="1374086"/>
    <n v="206"/>
    <s v="USA"/>
    <d v="2023-09-10T23:42:00"/>
    <x v="0"/>
    <x v="35"/>
    <n v="622"/>
    <s v="USA"/>
    <x v="22"/>
    <x v="38"/>
    <x v="4"/>
    <n v="100000"/>
    <x v="15"/>
    <s v="F"/>
    <x v="72"/>
    <x v="2"/>
  </r>
  <r>
    <n v="1376137"/>
    <n v="1472"/>
    <s v="USA"/>
    <d v="2023-11-05T00:28:00"/>
    <x v="1"/>
    <x v="20"/>
    <n v="7325"/>
    <s v="USA"/>
    <x v="36"/>
    <x v="39"/>
    <x v="1"/>
    <n v="200000"/>
    <x v="17"/>
    <s v="F"/>
    <x v="69"/>
    <x v="3"/>
  </r>
  <r>
    <n v="1376176"/>
    <n v="1887"/>
    <s v="Spain"/>
    <d v="2023-02-17T23:46:00"/>
    <x v="2"/>
    <x v="23"/>
    <n v="9141"/>
    <s v="Spain"/>
    <x v="38"/>
    <x v="9"/>
    <x v="0"/>
    <n v="1000000"/>
    <x v="12"/>
    <s v="M"/>
    <x v="20"/>
    <x v="1"/>
  </r>
  <r>
    <n v="1376269"/>
    <n v="1006"/>
    <s v="Australia"/>
    <d v="2023-09-11T00:31:00"/>
    <x v="2"/>
    <x v="27"/>
    <n v="1068"/>
    <s v="Australia"/>
    <x v="241"/>
    <x v="3"/>
    <x v="1"/>
    <n v="80000"/>
    <x v="7"/>
    <s v="F"/>
    <x v="65"/>
    <x v="3"/>
  </r>
  <r>
    <n v="1376427"/>
    <n v="1430"/>
    <s v="USA"/>
    <d v="2023-09-07T23:07:00"/>
    <x v="0"/>
    <x v="74"/>
    <n v="9138"/>
    <s v="USA"/>
    <x v="196"/>
    <x v="40"/>
    <x v="1"/>
    <n v="200000"/>
    <x v="18"/>
    <s v="F"/>
    <x v="43"/>
    <x v="3"/>
  </r>
  <r>
    <n v="1376435"/>
    <n v="145"/>
    <s v="Italy"/>
    <d v="2023-03-06T23:40:00"/>
    <x v="3"/>
    <x v="73"/>
    <n v="8109"/>
    <s v="Italy"/>
    <x v="281"/>
    <x v="1"/>
    <x v="4"/>
    <n v="100000"/>
    <x v="25"/>
    <s v="M"/>
    <x v="65"/>
    <x v="2"/>
  </r>
  <r>
    <n v="1379500"/>
    <n v="1128"/>
    <s v="France"/>
    <d v="2023-07-25T02:22:00"/>
    <x v="1"/>
    <x v="28"/>
    <n v="4248"/>
    <s v="France"/>
    <x v="331"/>
    <x v="41"/>
    <x v="3"/>
    <n v="80000"/>
    <x v="20"/>
    <s v="F"/>
    <x v="65"/>
    <x v="3"/>
  </r>
  <r>
    <n v="1380014"/>
    <n v="914"/>
    <s v="USA"/>
    <d v="2023-12-14T00:57:00"/>
    <x v="0"/>
    <x v="26"/>
    <n v="5389"/>
    <s v="USA"/>
    <x v="94"/>
    <x v="42"/>
    <x v="2"/>
    <n v="200000"/>
    <x v="19"/>
    <s v="F"/>
    <x v="16"/>
    <x v="0"/>
  </r>
  <r>
    <n v="1383231"/>
    <n v="900"/>
    <s v="USA"/>
    <d v="2023-07-27T23:49:00"/>
    <x v="1"/>
    <x v="70"/>
    <n v="2730"/>
    <s v="USA"/>
    <x v="85"/>
    <x v="43"/>
    <x v="3"/>
    <n v="150000"/>
    <x v="29"/>
    <s v="M"/>
    <x v="26"/>
    <x v="0"/>
  </r>
  <r>
    <n v="1383522"/>
    <n v="1792"/>
    <s v="Denmark"/>
    <d v="2023-04-04T00:55:00"/>
    <x v="1"/>
    <x v="81"/>
    <n v="9147"/>
    <s v="Denmark"/>
    <x v="127"/>
    <x v="44"/>
    <x v="4"/>
    <n v="100000"/>
    <x v="15"/>
    <s v="M"/>
    <x v="0"/>
    <x v="1"/>
  </r>
  <r>
    <n v="1383688"/>
    <n v="271"/>
    <s v="USA"/>
    <d v="2023-02-14T01:50:00"/>
    <x v="0"/>
    <x v="47"/>
    <n v="240"/>
    <s v="USA"/>
    <x v="157"/>
    <x v="45"/>
    <x v="3"/>
    <n v="100000"/>
    <x v="20"/>
    <s v="M"/>
    <x v="17"/>
    <x v="2"/>
  </r>
  <r>
    <n v="1384019"/>
    <n v="1408"/>
    <s v="USA"/>
    <d v="2023-11-21T01:48:00"/>
    <x v="1"/>
    <x v="64"/>
    <n v="4853"/>
    <s v="USA"/>
    <x v="185"/>
    <x v="46"/>
    <x v="2"/>
    <n v="100000"/>
    <x v="3"/>
    <s v="F"/>
    <x v="17"/>
    <x v="3"/>
  </r>
  <r>
    <n v="1385078"/>
    <n v="146"/>
    <s v="Norway"/>
    <d v="2023-07-19T01:33:00"/>
    <x v="3"/>
    <x v="75"/>
    <n v="1972"/>
    <s v="Norway"/>
    <x v="316"/>
    <x v="47"/>
    <x v="1"/>
    <n v="50000"/>
    <x v="7"/>
    <s v="M"/>
    <x v="67"/>
    <x v="2"/>
  </r>
  <r>
    <n v="1385605"/>
    <n v="1850"/>
    <s v="Germany"/>
    <d v="2023-05-16T00:05:00"/>
    <x v="2"/>
    <x v="72"/>
    <n v="6075"/>
    <s v="Germany"/>
    <x v="144"/>
    <x v="48"/>
    <x v="0"/>
    <n v="80000"/>
    <x v="4"/>
    <s v="M"/>
    <x v="52"/>
    <x v="1"/>
  </r>
  <r>
    <n v="1385745"/>
    <n v="1686"/>
    <s v="France"/>
    <d v="2023-02-01T01:28:00"/>
    <x v="0"/>
    <x v="23"/>
    <n v="5128"/>
    <s v="France"/>
    <x v="363"/>
    <x v="49"/>
    <x v="0"/>
    <n v="1000000"/>
    <x v="12"/>
    <s v="M"/>
    <x v="62"/>
    <x v="1"/>
  </r>
  <r>
    <n v="1386514"/>
    <n v="1892"/>
    <s v="USA"/>
    <d v="2023-05-24T00:29:00"/>
    <x v="2"/>
    <x v="39"/>
    <n v="2382"/>
    <s v="USA"/>
    <x v="164"/>
    <x v="50"/>
    <x v="3"/>
    <n v="1000000"/>
    <x v="6"/>
    <s v="M"/>
    <x v="71"/>
    <x v="1"/>
  </r>
  <r>
    <n v="1386601"/>
    <n v="1276"/>
    <s v="France"/>
    <d v="2023-04-10T00:40:00"/>
    <x v="3"/>
    <x v="39"/>
    <n v="4677"/>
    <s v="France"/>
    <x v="162"/>
    <x v="51"/>
    <x v="3"/>
    <n v="1000000"/>
    <x v="6"/>
    <s v="M"/>
    <x v="51"/>
    <x v="3"/>
  </r>
  <r>
    <n v="1387867"/>
    <n v="322"/>
    <s v="India"/>
    <d v="2023-05-22T01:12:00"/>
    <x v="2"/>
    <x v="0"/>
    <n v="7080"/>
    <s v="India"/>
    <x v="310"/>
    <x v="52"/>
    <x v="0"/>
    <n v="200000"/>
    <x v="0"/>
    <s v="M"/>
    <x v="13"/>
    <x v="2"/>
  </r>
  <r>
    <n v="1389485"/>
    <n v="607"/>
    <s v="Singapore"/>
    <d v="2023-11-06T00:33:00"/>
    <x v="2"/>
    <x v="15"/>
    <n v="8449"/>
    <s v="Singapore"/>
    <x v="175"/>
    <x v="53"/>
    <x v="0"/>
    <n v="150000"/>
    <x v="14"/>
    <s v="F"/>
    <x v="10"/>
    <x v="0"/>
  </r>
  <r>
    <n v="1389680"/>
    <n v="888"/>
    <s v="Denmark"/>
    <d v="2023-01-10T00:22:00"/>
    <x v="1"/>
    <x v="78"/>
    <n v="9670"/>
    <s v="Denmark"/>
    <x v="293"/>
    <x v="54"/>
    <x v="0"/>
    <n v="100000"/>
    <x v="12"/>
    <s v="M"/>
    <x v="37"/>
    <x v="0"/>
  </r>
  <r>
    <n v="1391439"/>
    <n v="811"/>
    <s v="India"/>
    <d v="2023-11-16T22:35:00"/>
    <x v="2"/>
    <x v="17"/>
    <n v="6152"/>
    <s v="India"/>
    <x v="40"/>
    <x v="55"/>
    <x v="0"/>
    <n v="150000"/>
    <x v="14"/>
    <s v="F"/>
    <x v="24"/>
    <x v="0"/>
  </r>
  <r>
    <n v="1391623"/>
    <n v="606"/>
    <s v="USA"/>
    <d v="2023-07-10T23:24:00"/>
    <x v="2"/>
    <x v="62"/>
    <n v="6445"/>
    <s v="USA"/>
    <x v="311"/>
    <x v="56"/>
    <x v="2"/>
    <n v="150000"/>
    <x v="27"/>
    <s v="M"/>
    <x v="65"/>
    <x v="0"/>
  </r>
  <r>
    <n v="1392838"/>
    <n v="1138"/>
    <s v="Australia"/>
    <d v="2023-07-30T23:31:00"/>
    <x v="0"/>
    <x v="74"/>
    <n v="1617"/>
    <s v="Australia"/>
    <x v="113"/>
    <x v="57"/>
    <x v="1"/>
    <n v="200000"/>
    <x v="18"/>
    <s v="F"/>
    <x v="69"/>
    <x v="3"/>
  </r>
  <r>
    <n v="1393397"/>
    <n v="73"/>
    <s v="Germany"/>
    <d v="2023-04-05T00:32:00"/>
    <x v="0"/>
    <x v="1"/>
    <n v="7174"/>
    <s v="Germany"/>
    <x v="95"/>
    <x v="58"/>
    <x v="1"/>
    <n v="200000"/>
    <x v="1"/>
    <s v="F"/>
    <x v="6"/>
    <x v="2"/>
  </r>
  <r>
    <n v="1393864"/>
    <n v="1794"/>
    <s v="Australia"/>
    <d v="2023-07-07T01:45:00"/>
    <x v="3"/>
    <x v="39"/>
    <n v="3135"/>
    <s v="Australia"/>
    <x v="264"/>
    <x v="59"/>
    <x v="3"/>
    <n v="1000000"/>
    <x v="6"/>
    <s v="M"/>
    <x v="10"/>
    <x v="1"/>
  </r>
  <r>
    <n v="1395655"/>
    <n v="345"/>
    <s v="India"/>
    <d v="2023-08-12T00:41:00"/>
    <x v="2"/>
    <x v="23"/>
    <n v="8180"/>
    <s v="India"/>
    <x v="166"/>
    <x v="60"/>
    <x v="0"/>
    <n v="1000000"/>
    <x v="12"/>
    <s v="F"/>
    <x v="34"/>
    <x v="2"/>
  </r>
  <r>
    <n v="1395839"/>
    <n v="163"/>
    <s v="USA"/>
    <d v="2023-05-24T00:16:00"/>
    <x v="2"/>
    <x v="23"/>
    <n v="2045"/>
    <s v="USA"/>
    <x v="164"/>
    <x v="61"/>
    <x v="0"/>
    <n v="1000000"/>
    <x v="12"/>
    <s v="F"/>
    <x v="49"/>
    <x v="2"/>
  </r>
  <r>
    <n v="1396020"/>
    <n v="1139"/>
    <s v="USA"/>
    <d v="2023-12-22T23:33:00"/>
    <x v="0"/>
    <x v="23"/>
    <n v="5055"/>
    <s v="USA"/>
    <x v="217"/>
    <x v="62"/>
    <x v="0"/>
    <n v="1000000"/>
    <x v="12"/>
    <s v="F"/>
    <x v="58"/>
    <x v="3"/>
  </r>
  <r>
    <n v="1396650"/>
    <n v="1751"/>
    <s v="USA"/>
    <d v="2023-12-12T00:33:00"/>
    <x v="3"/>
    <x v="17"/>
    <n v="9911"/>
    <s v="USA"/>
    <x v="92"/>
    <x v="53"/>
    <x v="0"/>
    <n v="150000"/>
    <x v="14"/>
    <s v="M"/>
    <x v="61"/>
    <x v="1"/>
  </r>
  <r>
    <n v="1398659"/>
    <n v="1366"/>
    <s v="USA"/>
    <d v="2023-11-29T00:01:00"/>
    <x v="3"/>
    <x v="8"/>
    <n v="1845"/>
    <s v="USA"/>
    <x v="178"/>
    <x v="63"/>
    <x v="1"/>
    <n v="150000"/>
    <x v="8"/>
    <s v="M"/>
    <x v="60"/>
    <x v="3"/>
  </r>
  <r>
    <n v="1399773"/>
    <n v="1990"/>
    <s v="USA"/>
    <d v="2023-01-03T00:04:00"/>
    <x v="0"/>
    <x v="25"/>
    <n v="6970"/>
    <s v="USA"/>
    <x v="54"/>
    <x v="64"/>
    <x v="1"/>
    <n v="150000"/>
    <x v="17"/>
    <s v="F"/>
    <x v="20"/>
    <x v="1"/>
  </r>
  <r>
    <n v="1400564"/>
    <n v="768"/>
    <s v="USA"/>
    <d v="2023-09-19T01:26:00"/>
    <x v="3"/>
    <x v="20"/>
    <n v="5190"/>
    <s v="USA"/>
    <x v="274"/>
    <x v="65"/>
    <x v="1"/>
    <n v="200000"/>
    <x v="17"/>
    <s v="F"/>
    <x v="4"/>
    <x v="0"/>
  </r>
  <r>
    <n v="1400596"/>
    <n v="367"/>
    <s v="India"/>
    <d v="2023-08-21T23:08:00"/>
    <x v="1"/>
    <x v="82"/>
    <n v="680"/>
    <s v="India"/>
    <x v="233"/>
    <x v="66"/>
    <x v="2"/>
    <n v="100000"/>
    <x v="19"/>
    <s v="M"/>
    <x v="12"/>
    <x v="2"/>
  </r>
  <r>
    <n v="1401727"/>
    <n v="637"/>
    <s v="USA"/>
    <d v="2023-08-14T00:35:00"/>
    <x v="0"/>
    <x v="27"/>
    <n v="4277"/>
    <s v="USA"/>
    <x v="192"/>
    <x v="67"/>
    <x v="1"/>
    <n v="80000"/>
    <x v="7"/>
    <s v="M"/>
    <x v="4"/>
    <x v="0"/>
  </r>
  <r>
    <n v="1404328"/>
    <n v="1469"/>
    <s v="Italy"/>
    <d v="2023-02-23T00:20:00"/>
    <x v="3"/>
    <x v="86"/>
    <n v="4532"/>
    <s v="Italy"/>
    <x v="39"/>
    <x v="68"/>
    <x v="0"/>
    <n v="150000"/>
    <x v="11"/>
    <s v="F"/>
    <x v="4"/>
    <x v="3"/>
  </r>
  <r>
    <n v="1404963"/>
    <n v="69"/>
    <s v="USA"/>
    <d v="2023-12-18T00:55:00"/>
    <x v="2"/>
    <x v="29"/>
    <n v="1572"/>
    <s v="USA"/>
    <x v="11"/>
    <x v="44"/>
    <x v="3"/>
    <n v="100000"/>
    <x v="13"/>
    <s v="M"/>
    <x v="36"/>
    <x v="2"/>
  </r>
  <r>
    <n v="1405341"/>
    <n v="749"/>
    <s v="Singapore"/>
    <d v="2023-07-08T01:28:00"/>
    <x v="2"/>
    <x v="87"/>
    <n v="1177"/>
    <s v="Singapore"/>
    <x v="210"/>
    <x v="49"/>
    <x v="0"/>
    <n v="100000"/>
    <x v="16"/>
    <s v="F"/>
    <x v="43"/>
    <x v="0"/>
  </r>
  <r>
    <n v="1405517"/>
    <n v="1790"/>
    <s v="USA"/>
    <d v="2023-05-29T00:53:00"/>
    <x v="1"/>
    <x v="31"/>
    <n v="8268"/>
    <s v="USA"/>
    <x v="42"/>
    <x v="36"/>
    <x v="2"/>
    <n v="100000"/>
    <x v="22"/>
    <s v="M"/>
    <x v="67"/>
    <x v="1"/>
  </r>
  <r>
    <n v="1407976"/>
    <n v="569"/>
    <s v="USA"/>
    <d v="2023-04-02T23:21:00"/>
    <x v="0"/>
    <x v="32"/>
    <n v="8751"/>
    <s v="USA"/>
    <x v="67"/>
    <x v="69"/>
    <x v="4"/>
    <n v="100000"/>
    <x v="23"/>
    <s v="M"/>
    <x v="14"/>
    <x v="0"/>
  </r>
  <r>
    <n v="1409071"/>
    <n v="807"/>
    <s v="Finland"/>
    <d v="2023-04-25T23:14:00"/>
    <x v="1"/>
    <x v="33"/>
    <n v="1067"/>
    <s v="Finland"/>
    <x v="134"/>
    <x v="70"/>
    <x v="2"/>
    <n v="100000"/>
    <x v="2"/>
    <s v="F"/>
    <x v="72"/>
    <x v="0"/>
  </r>
  <r>
    <n v="1409253"/>
    <n v="1099"/>
    <s v="France"/>
    <d v="2023-04-03T23:29:00"/>
    <x v="1"/>
    <x v="23"/>
    <n v="136"/>
    <s v="France"/>
    <x v="129"/>
    <x v="71"/>
    <x v="0"/>
    <n v="1000000"/>
    <x v="12"/>
    <s v="F"/>
    <x v="15"/>
    <x v="3"/>
  </r>
  <r>
    <n v="1409459"/>
    <n v="843"/>
    <s v="USA"/>
    <d v="2023-05-21T00:22:00"/>
    <x v="3"/>
    <x v="61"/>
    <n v="6955"/>
    <s v="USA"/>
    <x v="176"/>
    <x v="54"/>
    <x v="4"/>
    <n v="200000"/>
    <x v="28"/>
    <s v="F"/>
    <x v="2"/>
    <x v="0"/>
  </r>
  <r>
    <n v="1409549"/>
    <n v="915"/>
    <s v="France"/>
    <d v="2023-07-22T00:03:00"/>
    <x v="3"/>
    <x v="19"/>
    <n v="8235"/>
    <s v="France"/>
    <x v="302"/>
    <x v="72"/>
    <x v="0"/>
    <n v="150000"/>
    <x v="16"/>
    <s v="M"/>
    <x v="36"/>
    <x v="0"/>
  </r>
  <r>
    <n v="1409687"/>
    <n v="1475"/>
    <s v="Spain"/>
    <d v="2023-04-03T00:54:00"/>
    <x v="1"/>
    <x v="36"/>
    <n v="3268"/>
    <s v="Spain"/>
    <x v="129"/>
    <x v="73"/>
    <x v="0"/>
    <n v="150000"/>
    <x v="10"/>
    <s v="F"/>
    <x v="5"/>
    <x v="3"/>
  </r>
  <r>
    <n v="1411077"/>
    <n v="1545"/>
    <s v="Norway"/>
    <d v="2023-06-15T00:04:00"/>
    <x v="1"/>
    <x v="91"/>
    <n v="6186"/>
    <s v="Norway"/>
    <x v="123"/>
    <x v="64"/>
    <x v="1"/>
    <n v="30000"/>
    <x v="24"/>
    <s v="F"/>
    <x v="35"/>
    <x v="1"/>
  </r>
  <r>
    <n v="1411455"/>
    <n v="1416"/>
    <s v="USA"/>
    <d v="2023-03-25T23:35:00"/>
    <x v="0"/>
    <x v="38"/>
    <n v="8932"/>
    <s v="USA"/>
    <x v="118"/>
    <x v="74"/>
    <x v="2"/>
    <n v="100000"/>
    <x v="22"/>
    <s v="F"/>
    <x v="58"/>
    <x v="3"/>
  </r>
  <r>
    <n v="1412551"/>
    <n v="610"/>
    <s v="France"/>
    <d v="2023-09-07T00:11:00"/>
    <x v="0"/>
    <x v="39"/>
    <n v="425"/>
    <s v="France"/>
    <x v="196"/>
    <x v="10"/>
    <x v="3"/>
    <n v="1000000"/>
    <x v="6"/>
    <s v="F"/>
    <x v="14"/>
    <x v="0"/>
  </r>
  <r>
    <n v="1414158"/>
    <n v="789"/>
    <s v="France"/>
    <d v="2023-03-20T01:05:00"/>
    <x v="3"/>
    <x v="11"/>
    <n v="8686"/>
    <s v="France"/>
    <x v="171"/>
    <x v="12"/>
    <x v="1"/>
    <n v="150000"/>
    <x v="1"/>
    <s v="M"/>
    <x v="14"/>
    <x v="0"/>
  </r>
  <r>
    <n v="1416529"/>
    <n v="1980"/>
    <s v="Switzerland"/>
    <d v="2023-06-27T00:07:00"/>
    <x v="3"/>
    <x v="8"/>
    <n v="576"/>
    <s v="Switzerland"/>
    <x v="328"/>
    <x v="34"/>
    <x v="1"/>
    <n v="150000"/>
    <x v="8"/>
    <s v="M"/>
    <x v="56"/>
    <x v="1"/>
  </r>
  <r>
    <n v="1417112"/>
    <n v="1938"/>
    <s v="USA"/>
    <d v="2023-05-18T00:47:00"/>
    <x v="1"/>
    <x v="25"/>
    <n v="2520"/>
    <s v="USA"/>
    <x v="153"/>
    <x v="75"/>
    <x v="1"/>
    <n v="150000"/>
    <x v="17"/>
    <s v="M"/>
    <x v="41"/>
    <x v="1"/>
  </r>
  <r>
    <n v="1417673"/>
    <n v="1947"/>
    <s v="Spain"/>
    <d v="2023-05-03T01:40:00"/>
    <x v="2"/>
    <x v="23"/>
    <n v="8765"/>
    <s v="Spain"/>
    <x v="141"/>
    <x v="76"/>
    <x v="0"/>
    <n v="1000000"/>
    <x v="12"/>
    <s v="F"/>
    <x v="19"/>
    <x v="1"/>
  </r>
  <r>
    <n v="1418125"/>
    <n v="1496"/>
    <s v="USA"/>
    <d v="2023-08-12T00:46:00"/>
    <x v="2"/>
    <x v="41"/>
    <n v="8586"/>
    <s v="USA"/>
    <x v="166"/>
    <x v="77"/>
    <x v="0"/>
    <n v="100000"/>
    <x v="0"/>
    <s v="F"/>
    <x v="8"/>
    <x v="3"/>
  </r>
  <r>
    <n v="1420227"/>
    <n v="1540"/>
    <s v="Australia"/>
    <d v="2023-03-22T00:32:00"/>
    <x v="2"/>
    <x v="39"/>
    <n v="615"/>
    <s v="Australia"/>
    <x v="296"/>
    <x v="58"/>
    <x v="3"/>
    <n v="1000000"/>
    <x v="6"/>
    <s v="M"/>
    <x v="30"/>
    <x v="1"/>
  </r>
  <r>
    <n v="1420448"/>
    <n v="1708"/>
    <s v="France"/>
    <d v="2023-04-09T23:37:00"/>
    <x v="2"/>
    <x v="56"/>
    <n v="5060"/>
    <s v="France"/>
    <x v="364"/>
    <x v="78"/>
    <x v="4"/>
    <n v="100000"/>
    <x v="28"/>
    <s v="M"/>
    <x v="27"/>
    <x v="1"/>
  </r>
  <r>
    <n v="1420854"/>
    <n v="1759"/>
    <s v="Spain"/>
    <d v="2023-10-06T23:27:00"/>
    <x v="2"/>
    <x v="86"/>
    <n v="1964"/>
    <s v="Spain"/>
    <x v="45"/>
    <x v="79"/>
    <x v="0"/>
    <n v="150000"/>
    <x v="11"/>
    <s v="F"/>
    <x v="13"/>
    <x v="1"/>
  </r>
  <r>
    <n v="1421840"/>
    <n v="1128"/>
    <s v="France"/>
    <d v="2023-09-09T23:38:00"/>
    <x v="3"/>
    <x v="10"/>
    <n v="1084"/>
    <s v="France"/>
    <x v="360"/>
    <x v="80"/>
    <x v="0"/>
    <n v="250000"/>
    <x v="10"/>
    <s v="F"/>
    <x v="65"/>
    <x v="3"/>
  </r>
  <r>
    <n v="1422378"/>
    <n v="684"/>
    <s v="Finland"/>
    <d v="2023-11-06T00:11:00"/>
    <x v="2"/>
    <x v="23"/>
    <n v="3274"/>
    <s v="Finland"/>
    <x v="175"/>
    <x v="10"/>
    <x v="0"/>
    <n v="1000000"/>
    <x v="12"/>
    <s v="F"/>
    <x v="51"/>
    <x v="0"/>
  </r>
  <r>
    <n v="1422755"/>
    <n v="830"/>
    <s v="France"/>
    <d v="2023-10-27T00:04:00"/>
    <x v="3"/>
    <x v="3"/>
    <n v="7502"/>
    <s v="France"/>
    <x v="34"/>
    <x v="64"/>
    <x v="2"/>
    <n v="150000"/>
    <x v="3"/>
    <s v="M"/>
    <x v="21"/>
    <x v="0"/>
  </r>
  <r>
    <n v="1423052"/>
    <n v="536"/>
    <s v="Germany"/>
    <d v="2023-01-27T00:58:00"/>
    <x v="2"/>
    <x v="5"/>
    <n v="8357"/>
    <s v="Germany"/>
    <x v="128"/>
    <x v="28"/>
    <x v="2"/>
    <n v="150000"/>
    <x v="5"/>
    <s v="F"/>
    <x v="45"/>
    <x v="0"/>
  </r>
  <r>
    <n v="1424219"/>
    <n v="1706"/>
    <s v="USA"/>
    <d v="2023-08-01T00:09:00"/>
    <x v="3"/>
    <x v="44"/>
    <n v="2522"/>
    <s v="USA"/>
    <x v="238"/>
    <x v="81"/>
    <x v="0"/>
    <n v="100000"/>
    <x v="12"/>
    <s v="F"/>
    <x v="59"/>
    <x v="1"/>
  </r>
  <r>
    <n v="1424531"/>
    <n v="1425"/>
    <s v="Australia"/>
    <d v="2023-04-08T22:59:00"/>
    <x v="3"/>
    <x v="10"/>
    <n v="5390"/>
    <s v="Australia"/>
    <x v="348"/>
    <x v="25"/>
    <x v="0"/>
    <n v="250000"/>
    <x v="10"/>
    <s v="F"/>
    <x v="33"/>
    <x v="3"/>
  </r>
  <r>
    <n v="1424927"/>
    <n v="176"/>
    <s v="France"/>
    <d v="2023-12-04T00:05:00"/>
    <x v="2"/>
    <x v="57"/>
    <n v="9104"/>
    <s v="France"/>
    <x v="354"/>
    <x v="48"/>
    <x v="0"/>
    <n v="80000"/>
    <x v="0"/>
    <s v="M"/>
    <x v="7"/>
    <x v="2"/>
  </r>
  <r>
    <n v="1425405"/>
    <n v="1220"/>
    <s v="USA"/>
    <d v="2023-05-24T00:07:00"/>
    <x v="1"/>
    <x v="61"/>
    <n v="6403"/>
    <s v="USA"/>
    <x v="164"/>
    <x v="34"/>
    <x v="4"/>
    <n v="200000"/>
    <x v="28"/>
    <s v="M"/>
    <x v="30"/>
    <x v="3"/>
  </r>
  <r>
    <n v="1426596"/>
    <n v="1768"/>
    <s v="USA"/>
    <d v="2023-12-21T00:34:00"/>
    <x v="3"/>
    <x v="13"/>
    <n v="3187"/>
    <s v="USA"/>
    <x v="103"/>
    <x v="21"/>
    <x v="0"/>
    <n v="100000"/>
    <x v="12"/>
    <s v="F"/>
    <x v="49"/>
    <x v="1"/>
  </r>
  <r>
    <n v="1427947"/>
    <n v="823"/>
    <s v="France"/>
    <d v="2023-01-25T02:12:00"/>
    <x v="2"/>
    <x v="14"/>
    <n v="4859"/>
    <s v="France"/>
    <x v="308"/>
    <x v="82"/>
    <x v="3"/>
    <n v="200000"/>
    <x v="13"/>
    <s v="F"/>
    <x v="42"/>
    <x v="0"/>
  </r>
  <r>
    <n v="1428296"/>
    <n v="80"/>
    <s v="USA"/>
    <d v="2023-05-20T00:55:00"/>
    <x v="3"/>
    <x v="85"/>
    <n v="1637"/>
    <s v="USA"/>
    <x v="125"/>
    <x v="44"/>
    <x v="2"/>
    <n v="150000"/>
    <x v="21"/>
    <s v="M"/>
    <x v="2"/>
    <x v="2"/>
  </r>
  <r>
    <n v="1428328"/>
    <n v="1988"/>
    <s v="USA"/>
    <d v="2023-04-28T01:23:00"/>
    <x v="2"/>
    <x v="75"/>
    <n v="2435"/>
    <s v="USA"/>
    <x v="335"/>
    <x v="83"/>
    <x v="1"/>
    <n v="50000"/>
    <x v="7"/>
    <s v="M"/>
    <x v="50"/>
    <x v="1"/>
  </r>
  <r>
    <n v="1429209"/>
    <n v="701"/>
    <s v="India"/>
    <d v="2023-12-04T01:16:00"/>
    <x v="1"/>
    <x v="47"/>
    <n v="1494"/>
    <s v="India"/>
    <x v="354"/>
    <x v="84"/>
    <x v="3"/>
    <n v="100000"/>
    <x v="20"/>
    <s v="M"/>
    <x v="54"/>
    <x v="0"/>
  </r>
  <r>
    <n v="1432252"/>
    <n v="286"/>
    <s v="USA"/>
    <d v="2023-01-04T00:44:00"/>
    <x v="1"/>
    <x v="5"/>
    <n v="4443"/>
    <s v="USA"/>
    <x v="203"/>
    <x v="85"/>
    <x v="2"/>
    <n v="150000"/>
    <x v="5"/>
    <s v="M"/>
    <x v="33"/>
    <x v="2"/>
  </r>
  <r>
    <n v="1433358"/>
    <n v="125"/>
    <s v="Spain"/>
    <d v="2023-05-30T00:20:00"/>
    <x v="0"/>
    <x v="86"/>
    <n v="7762"/>
    <s v="Spain"/>
    <x v="243"/>
    <x v="68"/>
    <x v="0"/>
    <n v="150000"/>
    <x v="11"/>
    <s v="F"/>
    <x v="30"/>
    <x v="2"/>
  </r>
  <r>
    <n v="1436270"/>
    <n v="1052"/>
    <s v="Germany"/>
    <d v="2023-06-24T01:41:00"/>
    <x v="3"/>
    <x v="53"/>
    <n v="1360"/>
    <s v="Germany"/>
    <x v="53"/>
    <x v="86"/>
    <x v="0"/>
    <n v="50000"/>
    <x v="11"/>
    <s v="M"/>
    <x v="50"/>
    <x v="3"/>
  </r>
  <r>
    <n v="1437527"/>
    <n v="1495"/>
    <s v="Denmark"/>
    <d v="2023-02-25T00:47:00"/>
    <x v="2"/>
    <x v="88"/>
    <n v="2234"/>
    <s v="Denmark"/>
    <x v="84"/>
    <x v="75"/>
    <x v="3"/>
    <n v="30000"/>
    <x v="29"/>
    <s v="M"/>
    <x v="6"/>
    <x v="3"/>
  </r>
  <r>
    <n v="1437873"/>
    <n v="493"/>
    <s v="USA"/>
    <d v="2023-05-06T23:51:00"/>
    <x v="2"/>
    <x v="20"/>
    <n v="5373"/>
    <s v="USA"/>
    <x v="288"/>
    <x v="87"/>
    <x v="1"/>
    <n v="200000"/>
    <x v="17"/>
    <s v="F"/>
    <x v="43"/>
    <x v="2"/>
  </r>
  <r>
    <n v="1438232"/>
    <n v="1388"/>
    <s v="Singapore"/>
    <d v="2023-03-31T00:48:00"/>
    <x v="1"/>
    <x v="14"/>
    <n v="8781"/>
    <s v="Singapore"/>
    <x v="60"/>
    <x v="88"/>
    <x v="3"/>
    <n v="200000"/>
    <x v="13"/>
    <s v="F"/>
    <x v="48"/>
    <x v="3"/>
  </r>
  <r>
    <n v="1438726"/>
    <n v="1037"/>
    <s v="India"/>
    <d v="2023-09-25T00:02:00"/>
    <x v="1"/>
    <x v="23"/>
    <n v="2991"/>
    <s v="India"/>
    <x v="43"/>
    <x v="89"/>
    <x v="0"/>
    <n v="1000000"/>
    <x v="12"/>
    <s v="F"/>
    <x v="29"/>
    <x v="3"/>
  </r>
  <r>
    <n v="1438926"/>
    <n v="367"/>
    <s v="India"/>
    <d v="2023-04-26T22:39:00"/>
    <x v="3"/>
    <x v="1"/>
    <n v="3956"/>
    <s v="India"/>
    <x v="48"/>
    <x v="90"/>
    <x v="1"/>
    <n v="200000"/>
    <x v="1"/>
    <s v="M"/>
    <x v="12"/>
    <x v="2"/>
  </r>
  <r>
    <n v="1439951"/>
    <n v="1852"/>
    <s v="Italy"/>
    <d v="2023-08-08T23:32:00"/>
    <x v="1"/>
    <x v="12"/>
    <n v="1905"/>
    <s v="Italy"/>
    <x v="98"/>
    <x v="91"/>
    <x v="0"/>
    <n v="80000"/>
    <x v="11"/>
    <s v="M"/>
    <x v="27"/>
    <x v="1"/>
  </r>
  <r>
    <n v="1440438"/>
    <n v="531"/>
    <s v="USA"/>
    <d v="2023-01-05T01:09:00"/>
    <x v="2"/>
    <x v="70"/>
    <n v="1288"/>
    <s v="USA"/>
    <x v="111"/>
    <x v="92"/>
    <x v="3"/>
    <n v="150000"/>
    <x v="29"/>
    <s v="F"/>
    <x v="64"/>
    <x v="0"/>
  </r>
  <r>
    <n v="1440486"/>
    <n v="898"/>
    <s v="USA"/>
    <d v="2023-11-23T00:28:00"/>
    <x v="2"/>
    <x v="66"/>
    <n v="7417"/>
    <s v="USA"/>
    <x v="7"/>
    <x v="39"/>
    <x v="1"/>
    <n v="100000"/>
    <x v="8"/>
    <s v="M"/>
    <x v="71"/>
    <x v="0"/>
  </r>
  <r>
    <n v="1441153"/>
    <n v="1510"/>
    <s v="Norway"/>
    <d v="2023-10-14T00:39:00"/>
    <x v="3"/>
    <x v="67"/>
    <n v="3392"/>
    <s v="Norway"/>
    <x v="256"/>
    <x v="11"/>
    <x v="3"/>
    <n v="150000"/>
    <x v="29"/>
    <s v="M"/>
    <x v="12"/>
    <x v="1"/>
  </r>
  <r>
    <n v="1441631"/>
    <n v="1359"/>
    <s v="USA"/>
    <d v="2023-05-17T00:51:00"/>
    <x v="2"/>
    <x v="39"/>
    <n v="6438"/>
    <s v="USA"/>
    <x v="46"/>
    <x v="93"/>
    <x v="3"/>
    <n v="1000000"/>
    <x v="6"/>
    <s v="M"/>
    <x v="61"/>
    <x v="3"/>
  </r>
  <r>
    <n v="1441698"/>
    <n v="118"/>
    <s v="USA"/>
    <d v="2023-05-06T23:52:00"/>
    <x v="2"/>
    <x v="41"/>
    <n v="4154"/>
    <s v="USA"/>
    <x v="288"/>
    <x v="94"/>
    <x v="0"/>
    <n v="100000"/>
    <x v="0"/>
    <s v="F"/>
    <x v="5"/>
    <x v="2"/>
  </r>
  <r>
    <n v="1443406"/>
    <n v="1141"/>
    <s v="France"/>
    <d v="2023-07-24T01:19:00"/>
    <x v="1"/>
    <x v="4"/>
    <n v="8328"/>
    <s v="France"/>
    <x v="200"/>
    <x v="95"/>
    <x v="0"/>
    <n v="200000"/>
    <x v="4"/>
    <s v="M"/>
    <x v="52"/>
    <x v="3"/>
  </r>
  <r>
    <n v="1443815"/>
    <n v="623"/>
    <s v="India"/>
    <d v="2023-01-26T23:58:00"/>
    <x v="3"/>
    <x v="42"/>
    <n v="9333"/>
    <s v="India"/>
    <x v="112"/>
    <x v="96"/>
    <x v="0"/>
    <n v="200000"/>
    <x v="14"/>
    <s v="F"/>
    <x v="16"/>
    <x v="0"/>
  </r>
  <r>
    <n v="1444534"/>
    <n v="1217"/>
    <s v="USA"/>
    <d v="2023-12-14T00:40:00"/>
    <x v="1"/>
    <x v="6"/>
    <n v="4597"/>
    <s v="USA"/>
    <x v="94"/>
    <x v="51"/>
    <x v="3"/>
    <n v="150000"/>
    <x v="6"/>
    <s v="F"/>
    <x v="17"/>
    <x v="3"/>
  </r>
  <r>
    <n v="1444921"/>
    <n v="973"/>
    <s v="USA"/>
    <d v="2023-09-17T00:13:00"/>
    <x v="3"/>
    <x v="68"/>
    <n v="7329"/>
    <s v="USA"/>
    <x v="213"/>
    <x v="97"/>
    <x v="1"/>
    <n v="150000"/>
    <x v="26"/>
    <s v="M"/>
    <x v="63"/>
    <x v="0"/>
  </r>
  <r>
    <n v="1445405"/>
    <n v="226"/>
    <s v="USA"/>
    <d v="2023-04-26T01:08:00"/>
    <x v="2"/>
    <x v="9"/>
    <n v="4037"/>
    <s v="USA"/>
    <x v="48"/>
    <x v="37"/>
    <x v="1"/>
    <n v="150000"/>
    <x v="9"/>
    <s v="M"/>
    <x v="34"/>
    <x v="2"/>
  </r>
  <r>
    <n v="1445568"/>
    <n v="550"/>
    <s v="USA"/>
    <d v="2023-07-23T02:16:00"/>
    <x v="3"/>
    <x v="69"/>
    <n v="3612"/>
    <s v="USA"/>
    <x v="205"/>
    <x v="98"/>
    <x v="4"/>
    <n v="150000"/>
    <x v="25"/>
    <s v="M"/>
    <x v="34"/>
    <x v="0"/>
  </r>
  <r>
    <n v="1446428"/>
    <n v="1271"/>
    <s v="France"/>
    <d v="2023-12-31T23:34:00"/>
    <x v="0"/>
    <x v="48"/>
    <n v="4354"/>
    <s v="France"/>
    <x v="279"/>
    <x v="99"/>
    <x v="1"/>
    <n v="100000"/>
    <x v="9"/>
    <s v="F"/>
    <x v="64"/>
    <x v="3"/>
  </r>
  <r>
    <n v="1448149"/>
    <n v="340"/>
    <s v="France"/>
    <d v="2023-05-12T23:47:00"/>
    <x v="1"/>
    <x v="9"/>
    <n v="8948"/>
    <s v="France"/>
    <x v="57"/>
    <x v="100"/>
    <x v="1"/>
    <n v="150000"/>
    <x v="9"/>
    <s v="M"/>
    <x v="17"/>
    <x v="2"/>
  </r>
  <r>
    <n v="1448694"/>
    <n v="75"/>
    <s v="Australia"/>
    <d v="2023-05-22T23:39:00"/>
    <x v="3"/>
    <x v="58"/>
    <n v="1873"/>
    <s v="Australia"/>
    <x v="310"/>
    <x v="101"/>
    <x v="3"/>
    <n v="100000"/>
    <x v="20"/>
    <s v="F"/>
    <x v="40"/>
    <x v="2"/>
  </r>
  <r>
    <n v="1448727"/>
    <n v="1583"/>
    <s v="Singapore"/>
    <d v="2023-01-25T01:53:00"/>
    <x v="1"/>
    <x v="71"/>
    <n v="8355"/>
    <s v="Singapore"/>
    <x v="308"/>
    <x v="102"/>
    <x v="1"/>
    <n v="50000"/>
    <x v="8"/>
    <s v="F"/>
    <x v="38"/>
    <x v="1"/>
  </r>
  <r>
    <n v="1449298"/>
    <n v="1511"/>
    <s v="USA"/>
    <d v="2023-06-26T01:29:00"/>
    <x v="2"/>
    <x v="69"/>
    <n v="837"/>
    <s v="USA"/>
    <x v="314"/>
    <x v="103"/>
    <x v="4"/>
    <n v="150000"/>
    <x v="25"/>
    <s v="M"/>
    <x v="11"/>
    <x v="1"/>
  </r>
  <r>
    <n v="1449763"/>
    <n v="465"/>
    <s v="USA"/>
    <d v="2023-03-12T01:07:00"/>
    <x v="3"/>
    <x v="16"/>
    <n v="425"/>
    <s v="USA"/>
    <x v="242"/>
    <x v="31"/>
    <x v="4"/>
    <n v="150000"/>
    <x v="15"/>
    <s v="M"/>
    <x v="22"/>
    <x v="2"/>
  </r>
  <r>
    <n v="1449820"/>
    <n v="1828"/>
    <s v="Finland"/>
    <d v="2023-11-29T23:40:00"/>
    <x v="0"/>
    <x v="68"/>
    <n v="1844"/>
    <s v="Finland"/>
    <x v="178"/>
    <x v="1"/>
    <x v="1"/>
    <n v="150000"/>
    <x v="26"/>
    <s v="F"/>
    <x v="66"/>
    <x v="1"/>
  </r>
  <r>
    <n v="1449918"/>
    <n v="1881"/>
    <s v="France"/>
    <d v="2023-03-22T01:51:00"/>
    <x v="2"/>
    <x v="79"/>
    <n v="8835"/>
    <s v="France"/>
    <x v="296"/>
    <x v="104"/>
    <x v="1"/>
    <n v="200000"/>
    <x v="9"/>
    <s v="F"/>
    <x v="69"/>
    <x v="1"/>
  </r>
  <r>
    <n v="1452068"/>
    <n v="658"/>
    <s v="India"/>
    <d v="2023-09-30T01:26:00"/>
    <x v="2"/>
    <x v="45"/>
    <n v="1299"/>
    <s v="India"/>
    <x v="261"/>
    <x v="65"/>
    <x v="4"/>
    <n v="100000"/>
    <x v="25"/>
    <s v="M"/>
    <x v="53"/>
    <x v="0"/>
  </r>
  <r>
    <n v="1452251"/>
    <n v="1276"/>
    <s v="France"/>
    <d v="2023-03-24T22:54:00"/>
    <x v="0"/>
    <x v="1"/>
    <n v="9140"/>
    <s v="France"/>
    <x v="294"/>
    <x v="105"/>
    <x v="1"/>
    <n v="200000"/>
    <x v="1"/>
    <s v="M"/>
    <x v="51"/>
    <x v="3"/>
  </r>
  <r>
    <n v="1453632"/>
    <n v="26"/>
    <s v="France"/>
    <d v="2023-05-25T00:49:00"/>
    <x v="3"/>
    <x v="23"/>
    <n v="1681"/>
    <s v="France"/>
    <x v="262"/>
    <x v="35"/>
    <x v="0"/>
    <n v="1000000"/>
    <x v="12"/>
    <s v="M"/>
    <x v="18"/>
    <x v="2"/>
  </r>
  <r>
    <n v="1453804"/>
    <n v="727"/>
    <s v="France"/>
    <d v="2023-01-15T22:36:00"/>
    <x v="3"/>
    <x v="73"/>
    <n v="9801"/>
    <s v="France"/>
    <x v="161"/>
    <x v="106"/>
    <x v="4"/>
    <n v="100000"/>
    <x v="25"/>
    <s v="M"/>
    <x v="71"/>
    <x v="0"/>
  </r>
  <r>
    <n v="1454237"/>
    <n v="604"/>
    <s v="Austria"/>
    <d v="2023-11-20T00:40:00"/>
    <x v="3"/>
    <x v="23"/>
    <n v="8617"/>
    <s v="Austria"/>
    <x v="216"/>
    <x v="51"/>
    <x v="0"/>
    <n v="1000000"/>
    <x v="12"/>
    <s v="F"/>
    <x v="67"/>
    <x v="0"/>
  </r>
  <r>
    <n v="1454722"/>
    <n v="557"/>
    <s v="Germany"/>
    <d v="2023-06-14T00:51:00"/>
    <x v="0"/>
    <x v="39"/>
    <n v="7460"/>
    <s v="Germany"/>
    <x v="124"/>
    <x v="93"/>
    <x v="3"/>
    <n v="1000000"/>
    <x v="6"/>
    <s v="M"/>
    <x v="58"/>
    <x v="0"/>
  </r>
  <r>
    <n v="1454915"/>
    <n v="1109"/>
    <s v="India"/>
    <d v="2023-09-26T23:40:00"/>
    <x v="1"/>
    <x v="17"/>
    <n v="5760"/>
    <s v="India"/>
    <x v="239"/>
    <x v="1"/>
    <x v="0"/>
    <n v="150000"/>
    <x v="14"/>
    <s v="F"/>
    <x v="46"/>
    <x v="3"/>
  </r>
  <r>
    <n v="1455334"/>
    <n v="1735"/>
    <s v="Finland"/>
    <d v="2023-12-06T00:10:00"/>
    <x v="1"/>
    <x v="62"/>
    <n v="8911"/>
    <s v="Finland"/>
    <x v="136"/>
    <x v="107"/>
    <x v="2"/>
    <n v="150000"/>
    <x v="27"/>
    <s v="M"/>
    <x v="15"/>
    <x v="1"/>
  </r>
  <r>
    <n v="1456673"/>
    <n v="275"/>
    <s v="Italy"/>
    <d v="2023-07-06T00:10:00"/>
    <x v="0"/>
    <x v="25"/>
    <n v="4862"/>
    <s v="Italy"/>
    <x v="191"/>
    <x v="107"/>
    <x v="1"/>
    <n v="150000"/>
    <x v="17"/>
    <s v="F"/>
    <x v="53"/>
    <x v="2"/>
  </r>
  <r>
    <n v="1457155"/>
    <n v="418"/>
    <s v="Singapore"/>
    <d v="2023-09-13T00:13:00"/>
    <x v="2"/>
    <x v="5"/>
    <n v="2807"/>
    <s v="Singapore"/>
    <x v="268"/>
    <x v="97"/>
    <x v="2"/>
    <n v="150000"/>
    <x v="5"/>
    <s v="F"/>
    <x v="13"/>
    <x v="2"/>
  </r>
  <r>
    <n v="1459990"/>
    <n v="85"/>
    <s v="Italy"/>
    <d v="2023-06-21T23:31:00"/>
    <x v="2"/>
    <x v="60"/>
    <n v="1384"/>
    <s v="Italy"/>
    <x v="240"/>
    <x v="57"/>
    <x v="1"/>
    <n v="100000"/>
    <x v="26"/>
    <s v="M"/>
    <x v="1"/>
    <x v="2"/>
  </r>
  <r>
    <n v="1460179"/>
    <n v="331"/>
    <s v="Singapore"/>
    <d v="2023-07-03T01:12:00"/>
    <x v="3"/>
    <x v="63"/>
    <n v="7781"/>
    <s v="Singapore"/>
    <x v="32"/>
    <x v="52"/>
    <x v="0"/>
    <n v="100000"/>
    <x v="16"/>
    <s v="M"/>
    <x v="32"/>
    <x v="2"/>
  </r>
  <r>
    <n v="1460925"/>
    <n v="1141"/>
    <s v="France"/>
    <d v="2023-02-06T00:27:00"/>
    <x v="3"/>
    <x v="49"/>
    <n v="2472"/>
    <s v="France"/>
    <x v="49"/>
    <x v="108"/>
    <x v="0"/>
    <n v="100000"/>
    <x v="10"/>
    <s v="M"/>
    <x v="52"/>
    <x v="3"/>
  </r>
  <r>
    <n v="1461194"/>
    <n v="1262"/>
    <s v="USA"/>
    <d v="2023-04-29T01:37:00"/>
    <x v="3"/>
    <x v="81"/>
    <n v="9700"/>
    <s v="USA"/>
    <x v="1"/>
    <x v="109"/>
    <x v="4"/>
    <n v="100000"/>
    <x v="15"/>
    <s v="M"/>
    <x v="10"/>
    <x v="3"/>
  </r>
  <r>
    <n v="1461613"/>
    <n v="1086"/>
    <s v="France"/>
    <d v="2023-10-27T23:19:00"/>
    <x v="0"/>
    <x v="30"/>
    <n v="8282"/>
    <s v="France"/>
    <x v="34"/>
    <x v="24"/>
    <x v="2"/>
    <n v="150000"/>
    <x v="21"/>
    <s v="M"/>
    <x v="42"/>
    <x v="3"/>
  </r>
  <r>
    <n v="1461756"/>
    <n v="1743"/>
    <s v="USA"/>
    <d v="2023-06-21T00:23:00"/>
    <x v="2"/>
    <x v="64"/>
    <n v="3339"/>
    <s v="USA"/>
    <x v="240"/>
    <x v="6"/>
    <x v="2"/>
    <n v="100000"/>
    <x v="3"/>
    <s v="F"/>
    <x v="35"/>
    <x v="1"/>
  </r>
  <r>
    <n v="1461908"/>
    <n v="311"/>
    <s v="Australia"/>
    <d v="2023-07-06T22:57:00"/>
    <x v="0"/>
    <x v="65"/>
    <n v="6698"/>
    <s v="Australia"/>
    <x v="191"/>
    <x v="110"/>
    <x v="4"/>
    <n v="250000"/>
    <x v="28"/>
    <s v="M"/>
    <x v="23"/>
    <x v="2"/>
  </r>
  <r>
    <n v="1462009"/>
    <n v="1803"/>
    <s v="Spain"/>
    <d v="2023-01-02T00:35:00"/>
    <x v="1"/>
    <x v="39"/>
    <n v="5184"/>
    <s v="Spain"/>
    <x v="80"/>
    <x v="67"/>
    <x v="3"/>
    <n v="1000000"/>
    <x v="6"/>
    <s v="F"/>
    <x v="56"/>
    <x v="1"/>
  </r>
  <r>
    <n v="1462495"/>
    <n v="243"/>
    <s v="USA"/>
    <d v="2023-10-28T00:45:00"/>
    <x v="2"/>
    <x v="34"/>
    <n v="2850"/>
    <s v="USA"/>
    <x v="65"/>
    <x v="29"/>
    <x v="1"/>
    <n v="100000"/>
    <x v="24"/>
    <s v="M"/>
    <x v="65"/>
    <x v="2"/>
  </r>
  <r>
    <n v="1465193"/>
    <n v="87"/>
    <s v="India"/>
    <d v="2023-04-25T00:30:00"/>
    <x v="2"/>
    <x v="65"/>
    <n v="7107"/>
    <s v="India"/>
    <x v="134"/>
    <x v="111"/>
    <x v="4"/>
    <n v="250000"/>
    <x v="28"/>
    <s v="M"/>
    <x v="14"/>
    <x v="2"/>
  </r>
  <r>
    <n v="1465254"/>
    <n v="1992"/>
    <s v="Denmark"/>
    <d v="2023-09-01T00:43:00"/>
    <x v="2"/>
    <x v="20"/>
    <n v="5514"/>
    <s v="Denmark"/>
    <x v="271"/>
    <x v="112"/>
    <x v="1"/>
    <n v="200000"/>
    <x v="17"/>
    <s v="F"/>
    <x v="50"/>
    <x v="1"/>
  </r>
  <r>
    <n v="1466316"/>
    <n v="122"/>
    <s v="Spain"/>
    <d v="2023-01-07T01:51:00"/>
    <x v="1"/>
    <x v="18"/>
    <n v="1672"/>
    <s v="Spain"/>
    <x v="336"/>
    <x v="104"/>
    <x v="2"/>
    <n v="100000"/>
    <x v="5"/>
    <s v="M"/>
    <x v="10"/>
    <x v="2"/>
  </r>
  <r>
    <n v="1466372"/>
    <n v="1073"/>
    <s v="Spain"/>
    <d v="2023-11-16T22:59:00"/>
    <x v="2"/>
    <x v="37"/>
    <n v="8940"/>
    <s v="Spain"/>
    <x v="40"/>
    <x v="25"/>
    <x v="3"/>
    <n v="150000"/>
    <x v="6"/>
    <s v="F"/>
    <x v="52"/>
    <x v="3"/>
  </r>
  <r>
    <n v="1466718"/>
    <n v="453"/>
    <s v="France"/>
    <d v="2023-05-26T00:01:00"/>
    <x v="2"/>
    <x v="15"/>
    <n v="9174"/>
    <s v="France"/>
    <x v="221"/>
    <x v="63"/>
    <x v="0"/>
    <n v="150000"/>
    <x v="14"/>
    <s v="M"/>
    <x v="44"/>
    <x v="2"/>
  </r>
  <r>
    <n v="1467283"/>
    <n v="113"/>
    <s v="USA"/>
    <d v="2023-08-04T02:26:00"/>
    <x v="2"/>
    <x v="31"/>
    <n v="722"/>
    <s v="USA"/>
    <x v="353"/>
    <x v="113"/>
    <x v="2"/>
    <n v="100000"/>
    <x v="22"/>
    <s v="F"/>
    <x v="54"/>
    <x v="2"/>
  </r>
  <r>
    <n v="1469052"/>
    <n v="376"/>
    <s v="India"/>
    <d v="2023-06-15T23:29:00"/>
    <x v="3"/>
    <x v="11"/>
    <n v="4580"/>
    <s v="India"/>
    <x v="123"/>
    <x v="71"/>
    <x v="1"/>
    <n v="150000"/>
    <x v="1"/>
    <s v="F"/>
    <x v="20"/>
    <x v="2"/>
  </r>
  <r>
    <n v="1469471"/>
    <n v="736"/>
    <s v="USA"/>
    <d v="2023-04-27T00:10:00"/>
    <x v="3"/>
    <x v="39"/>
    <n v="4917"/>
    <s v="USA"/>
    <x v="321"/>
    <x v="107"/>
    <x v="3"/>
    <n v="1000000"/>
    <x v="6"/>
    <s v="M"/>
    <x v="63"/>
    <x v="0"/>
  </r>
  <r>
    <n v="1470933"/>
    <n v="1285"/>
    <s v="Spain"/>
    <d v="2023-08-02T00:55:00"/>
    <x v="0"/>
    <x v="25"/>
    <n v="5249"/>
    <s v="Spain"/>
    <x v="159"/>
    <x v="44"/>
    <x v="1"/>
    <n v="150000"/>
    <x v="17"/>
    <s v="F"/>
    <x v="72"/>
    <x v="3"/>
  </r>
  <r>
    <n v="1471380"/>
    <n v="139"/>
    <s v="USA"/>
    <d v="2023-08-28T23:02:00"/>
    <x v="0"/>
    <x v="23"/>
    <n v="2139"/>
    <s v="USA"/>
    <x v="207"/>
    <x v="114"/>
    <x v="0"/>
    <n v="1000000"/>
    <x v="12"/>
    <s v="F"/>
    <x v="21"/>
    <x v="2"/>
  </r>
  <r>
    <n v="1471535"/>
    <n v="668"/>
    <s v="France"/>
    <d v="2023-12-24T23:07:00"/>
    <x v="3"/>
    <x v="39"/>
    <n v="6311"/>
    <s v="France"/>
    <x v="231"/>
    <x v="40"/>
    <x v="3"/>
    <n v="1000000"/>
    <x v="6"/>
    <s v="F"/>
    <x v="70"/>
    <x v="0"/>
  </r>
  <r>
    <n v="1472021"/>
    <n v="1564"/>
    <s v="Singapore"/>
    <d v="2023-12-22T00:24:00"/>
    <x v="3"/>
    <x v="39"/>
    <n v="7609"/>
    <s v="Singapore"/>
    <x v="217"/>
    <x v="115"/>
    <x v="3"/>
    <n v="1000000"/>
    <x v="6"/>
    <s v="M"/>
    <x v="20"/>
    <x v="1"/>
  </r>
  <r>
    <n v="1472256"/>
    <n v="196"/>
    <s v="USA"/>
    <d v="2023-12-14T00:09:00"/>
    <x v="3"/>
    <x v="43"/>
    <n v="2311"/>
    <s v="USA"/>
    <x v="94"/>
    <x v="81"/>
    <x v="2"/>
    <n v="100000"/>
    <x v="21"/>
    <s v="M"/>
    <x v="55"/>
    <x v="2"/>
  </r>
  <r>
    <n v="1472426"/>
    <n v="338"/>
    <s v="India"/>
    <d v="2023-09-16T23:57:00"/>
    <x v="0"/>
    <x v="14"/>
    <n v="2068"/>
    <s v="India"/>
    <x v="254"/>
    <x v="116"/>
    <x v="3"/>
    <n v="200000"/>
    <x v="13"/>
    <s v="F"/>
    <x v="66"/>
    <x v="2"/>
  </r>
  <r>
    <n v="1472446"/>
    <n v="1614"/>
    <s v="USA"/>
    <d v="2023-11-03T01:48:00"/>
    <x v="1"/>
    <x v="0"/>
    <n v="7570"/>
    <s v="USA"/>
    <x v="9"/>
    <x v="46"/>
    <x v="0"/>
    <n v="200000"/>
    <x v="0"/>
    <s v="M"/>
    <x v="2"/>
    <x v="1"/>
  </r>
  <r>
    <n v="1473392"/>
    <n v="1230"/>
    <s v="Spain"/>
    <d v="2023-09-14T01:42:00"/>
    <x v="1"/>
    <x v="10"/>
    <n v="4758"/>
    <s v="Spain"/>
    <x v="237"/>
    <x v="14"/>
    <x v="0"/>
    <n v="250000"/>
    <x v="10"/>
    <s v="F"/>
    <x v="16"/>
    <x v="3"/>
  </r>
  <r>
    <n v="1474092"/>
    <n v="1710"/>
    <s v="Spain"/>
    <d v="2023-06-02T23:51:00"/>
    <x v="2"/>
    <x v="23"/>
    <n v="7733"/>
    <s v="Spain"/>
    <x v="266"/>
    <x v="87"/>
    <x v="0"/>
    <n v="1000000"/>
    <x v="12"/>
    <s v="F"/>
    <x v="58"/>
    <x v="1"/>
  </r>
  <r>
    <n v="1474156"/>
    <n v="1822"/>
    <s v="USA"/>
    <d v="2023-05-30T23:52:00"/>
    <x v="0"/>
    <x v="3"/>
    <n v="597"/>
    <s v="USA"/>
    <x v="243"/>
    <x v="94"/>
    <x v="2"/>
    <n v="150000"/>
    <x v="3"/>
    <s v="M"/>
    <x v="72"/>
    <x v="1"/>
  </r>
  <r>
    <n v="1474744"/>
    <n v="1900"/>
    <s v="Singapore"/>
    <d v="2023-04-22T00:58:00"/>
    <x v="2"/>
    <x v="5"/>
    <n v="9529"/>
    <s v="Singapore"/>
    <x v="246"/>
    <x v="28"/>
    <x v="2"/>
    <n v="150000"/>
    <x v="5"/>
    <s v="F"/>
    <x v="9"/>
    <x v="1"/>
  </r>
  <r>
    <n v="1474867"/>
    <n v="1837"/>
    <s v="Switzerland"/>
    <d v="2023-12-08T00:11:00"/>
    <x v="0"/>
    <x v="7"/>
    <n v="6262"/>
    <s v="Switzerland"/>
    <x v="263"/>
    <x v="10"/>
    <x v="1"/>
    <n v="150000"/>
    <x v="7"/>
    <s v="F"/>
    <x v="27"/>
    <x v="1"/>
  </r>
  <r>
    <n v="1475178"/>
    <n v="466"/>
    <s v="Italy"/>
    <d v="2023-04-12T00:10:00"/>
    <x v="1"/>
    <x v="44"/>
    <n v="1408"/>
    <s v="Italy"/>
    <x v="361"/>
    <x v="107"/>
    <x v="0"/>
    <n v="100000"/>
    <x v="12"/>
    <s v="F"/>
    <x v="24"/>
    <x v="2"/>
  </r>
  <r>
    <n v="1475354"/>
    <n v="1633"/>
    <s v="Australia"/>
    <d v="2023-10-09T00:27:00"/>
    <x v="0"/>
    <x v="10"/>
    <n v="7693"/>
    <s v="Australia"/>
    <x v="208"/>
    <x v="108"/>
    <x v="0"/>
    <n v="250000"/>
    <x v="10"/>
    <s v="M"/>
    <x v="71"/>
    <x v="1"/>
  </r>
  <r>
    <n v="1477405"/>
    <n v="1342"/>
    <s v="USA"/>
    <d v="2023-10-04T01:32:00"/>
    <x v="1"/>
    <x v="57"/>
    <n v="6068"/>
    <s v="USA"/>
    <x v="14"/>
    <x v="117"/>
    <x v="0"/>
    <n v="80000"/>
    <x v="0"/>
    <s v="M"/>
    <x v="32"/>
    <x v="3"/>
  </r>
  <r>
    <n v="1477894"/>
    <n v="1834"/>
    <s v="Australia"/>
    <d v="2023-01-22T23:33:00"/>
    <x v="2"/>
    <x v="61"/>
    <n v="9471"/>
    <s v="Australia"/>
    <x v="304"/>
    <x v="62"/>
    <x v="4"/>
    <n v="200000"/>
    <x v="28"/>
    <s v="M"/>
    <x v="52"/>
    <x v="1"/>
  </r>
  <r>
    <n v="1478839"/>
    <n v="896"/>
    <s v="Australia"/>
    <d v="2023-02-07T01:43:00"/>
    <x v="2"/>
    <x v="13"/>
    <n v="6444"/>
    <s v="Australia"/>
    <x v="73"/>
    <x v="118"/>
    <x v="0"/>
    <n v="100000"/>
    <x v="12"/>
    <s v="F"/>
    <x v="33"/>
    <x v="0"/>
  </r>
  <r>
    <n v="1479085"/>
    <n v="510"/>
    <s v="USA"/>
    <d v="2023-11-21T22:41:00"/>
    <x v="0"/>
    <x v="14"/>
    <n v="6503"/>
    <s v="USA"/>
    <x v="185"/>
    <x v="119"/>
    <x v="3"/>
    <n v="200000"/>
    <x v="13"/>
    <s v="F"/>
    <x v="36"/>
    <x v="0"/>
  </r>
  <r>
    <n v="1479736"/>
    <n v="1363"/>
    <s v="France"/>
    <d v="2023-10-07T00:44:00"/>
    <x v="0"/>
    <x v="15"/>
    <n v="2193"/>
    <s v="France"/>
    <x v="286"/>
    <x v="85"/>
    <x v="0"/>
    <n v="150000"/>
    <x v="14"/>
    <s v="F"/>
    <x v="49"/>
    <x v="3"/>
  </r>
  <r>
    <n v="1479812"/>
    <n v="340"/>
    <s v="France"/>
    <d v="2023-06-13T00:53:00"/>
    <x v="1"/>
    <x v="75"/>
    <n v="7134"/>
    <s v="France"/>
    <x v="252"/>
    <x v="36"/>
    <x v="1"/>
    <n v="50000"/>
    <x v="7"/>
    <s v="M"/>
    <x v="17"/>
    <x v="2"/>
  </r>
  <r>
    <n v="1480087"/>
    <n v="26"/>
    <s v="France"/>
    <d v="2023-07-08T23:57:00"/>
    <x v="2"/>
    <x v="47"/>
    <n v="9335"/>
    <s v="France"/>
    <x v="210"/>
    <x v="116"/>
    <x v="3"/>
    <n v="100000"/>
    <x v="20"/>
    <s v="M"/>
    <x v="18"/>
    <x v="2"/>
  </r>
  <r>
    <n v="1480394"/>
    <n v="1003"/>
    <s v="USA"/>
    <d v="2023-06-04T00:36:00"/>
    <x v="2"/>
    <x v="18"/>
    <n v="2616"/>
    <s v="USA"/>
    <x v="190"/>
    <x v="120"/>
    <x v="2"/>
    <n v="100000"/>
    <x v="5"/>
    <s v="F"/>
    <x v="71"/>
    <x v="3"/>
  </r>
  <r>
    <n v="1480900"/>
    <n v="866"/>
    <s v="Singapore"/>
    <d v="2023-01-02T00:12:00"/>
    <x v="3"/>
    <x v="0"/>
    <n v="2284"/>
    <s v="Singapore"/>
    <x v="80"/>
    <x v="19"/>
    <x v="0"/>
    <n v="200000"/>
    <x v="0"/>
    <s v="F"/>
    <x v="50"/>
    <x v="0"/>
  </r>
  <r>
    <n v="1480961"/>
    <n v="550"/>
    <s v="USA"/>
    <d v="2023-01-16T01:04:00"/>
    <x v="2"/>
    <x v="53"/>
    <n v="8407"/>
    <s v="USA"/>
    <x v="181"/>
    <x v="121"/>
    <x v="0"/>
    <n v="50000"/>
    <x v="11"/>
    <s v="M"/>
    <x v="34"/>
    <x v="0"/>
  </r>
  <r>
    <n v="1481396"/>
    <n v="619"/>
    <s v="USA"/>
    <d v="2023-11-23T01:11:00"/>
    <x v="3"/>
    <x v="88"/>
    <n v="3557"/>
    <s v="USA"/>
    <x v="7"/>
    <x v="122"/>
    <x v="3"/>
    <n v="30000"/>
    <x v="29"/>
    <s v="F"/>
    <x v="4"/>
    <x v="0"/>
  </r>
  <r>
    <n v="1482389"/>
    <n v="1928"/>
    <s v="Australia"/>
    <d v="2023-10-17T00:15:00"/>
    <x v="1"/>
    <x v="73"/>
    <n v="32"/>
    <s v="Australia"/>
    <x v="152"/>
    <x v="123"/>
    <x v="4"/>
    <n v="100000"/>
    <x v="25"/>
    <s v="M"/>
    <x v="14"/>
    <x v="1"/>
  </r>
  <r>
    <n v="1483729"/>
    <n v="1668"/>
    <s v="USA"/>
    <d v="2023-09-14T23:47:00"/>
    <x v="1"/>
    <x v="14"/>
    <n v="1625"/>
    <s v="USA"/>
    <x v="237"/>
    <x v="100"/>
    <x v="3"/>
    <n v="200000"/>
    <x v="13"/>
    <s v="F"/>
    <x v="17"/>
    <x v="1"/>
  </r>
  <r>
    <n v="1483901"/>
    <n v="1708"/>
    <s v="France"/>
    <d v="2023-07-08T00:50:00"/>
    <x v="1"/>
    <x v="26"/>
    <n v="9214"/>
    <s v="France"/>
    <x v="210"/>
    <x v="0"/>
    <x v="2"/>
    <n v="200000"/>
    <x v="19"/>
    <s v="M"/>
    <x v="27"/>
    <x v="1"/>
  </r>
  <r>
    <n v="1483931"/>
    <n v="1980"/>
    <s v="Switzerland"/>
    <d v="2023-04-15T01:24:00"/>
    <x v="2"/>
    <x v="12"/>
    <n v="4382"/>
    <s v="Switzerland"/>
    <x v="245"/>
    <x v="124"/>
    <x v="0"/>
    <n v="80000"/>
    <x v="11"/>
    <s v="M"/>
    <x v="56"/>
    <x v="1"/>
  </r>
  <r>
    <n v="1485067"/>
    <n v="1608"/>
    <s v="USA"/>
    <d v="2023-02-06T00:09:00"/>
    <x v="1"/>
    <x v="70"/>
    <n v="3382"/>
    <s v="USA"/>
    <x v="49"/>
    <x v="81"/>
    <x v="3"/>
    <n v="150000"/>
    <x v="29"/>
    <s v="M"/>
    <x v="64"/>
    <x v="1"/>
  </r>
  <r>
    <n v="1485425"/>
    <n v="980"/>
    <s v="USA"/>
    <d v="2023-07-18T22:55:00"/>
    <x v="3"/>
    <x v="66"/>
    <n v="9648"/>
    <s v="USA"/>
    <x v="334"/>
    <x v="125"/>
    <x v="1"/>
    <n v="100000"/>
    <x v="8"/>
    <s v="F"/>
    <x v="34"/>
    <x v="0"/>
  </r>
  <r>
    <n v="1485939"/>
    <n v="899"/>
    <s v="USA"/>
    <d v="2023-02-23T00:00:00"/>
    <x v="1"/>
    <x v="67"/>
    <n v="902"/>
    <s v="USA"/>
    <x v="39"/>
    <x v="126"/>
    <x v="3"/>
    <n v="150000"/>
    <x v="29"/>
    <s v="F"/>
    <x v="21"/>
    <x v="0"/>
  </r>
  <r>
    <n v="1486000"/>
    <n v="545"/>
    <s v="USA"/>
    <d v="2023-12-23T01:10:00"/>
    <x v="2"/>
    <x v="39"/>
    <n v="2377"/>
    <s v="USA"/>
    <x v="8"/>
    <x v="7"/>
    <x v="3"/>
    <n v="1000000"/>
    <x v="6"/>
    <s v="M"/>
    <x v="15"/>
    <x v="0"/>
  </r>
  <r>
    <n v="1486426"/>
    <n v="1244"/>
    <s v="Spain"/>
    <d v="2023-10-30T23:38:00"/>
    <x v="3"/>
    <x v="3"/>
    <n v="8227"/>
    <s v="Spain"/>
    <x v="300"/>
    <x v="80"/>
    <x v="2"/>
    <n v="150000"/>
    <x v="3"/>
    <s v="F"/>
    <x v="1"/>
    <x v="3"/>
  </r>
  <r>
    <n v="1487293"/>
    <n v="1157"/>
    <s v="Singapore"/>
    <d v="2023-01-26T01:15:00"/>
    <x v="1"/>
    <x v="4"/>
    <n v="2092"/>
    <s v="Singapore"/>
    <x v="112"/>
    <x v="127"/>
    <x v="0"/>
    <n v="200000"/>
    <x v="4"/>
    <s v="F"/>
    <x v="41"/>
    <x v="3"/>
  </r>
  <r>
    <n v="1487429"/>
    <n v="1983"/>
    <s v="Spain"/>
    <d v="2023-03-05T23:31:00"/>
    <x v="1"/>
    <x v="42"/>
    <n v="5465"/>
    <s v="Spain"/>
    <x v="346"/>
    <x v="57"/>
    <x v="0"/>
    <n v="200000"/>
    <x v="14"/>
    <s v="F"/>
    <x v="31"/>
    <x v="1"/>
  </r>
  <r>
    <n v="1488818"/>
    <n v="827"/>
    <s v="Singapore"/>
    <d v="2023-05-06T00:49:00"/>
    <x v="0"/>
    <x v="6"/>
    <n v="8763"/>
    <s v="Singapore"/>
    <x v="288"/>
    <x v="35"/>
    <x v="3"/>
    <n v="150000"/>
    <x v="6"/>
    <s v="M"/>
    <x v="28"/>
    <x v="0"/>
  </r>
  <r>
    <n v="1488979"/>
    <n v="1787"/>
    <s v="France"/>
    <d v="2023-08-18T01:21:00"/>
    <x v="3"/>
    <x v="23"/>
    <n v="8980"/>
    <s v="France"/>
    <x v="150"/>
    <x v="128"/>
    <x v="0"/>
    <n v="1000000"/>
    <x v="12"/>
    <s v="F"/>
    <x v="68"/>
    <x v="1"/>
  </r>
  <r>
    <n v="1489446"/>
    <n v="1158"/>
    <s v="Norway"/>
    <d v="2023-10-26T02:00:00"/>
    <x v="2"/>
    <x v="9"/>
    <n v="4889"/>
    <s v="Norway"/>
    <x v="4"/>
    <x v="23"/>
    <x v="1"/>
    <n v="150000"/>
    <x v="9"/>
    <s v="M"/>
    <x v="0"/>
    <x v="3"/>
  </r>
  <r>
    <n v="1489846"/>
    <n v="1501"/>
    <s v="USA"/>
    <d v="2023-05-31T01:46:00"/>
    <x v="3"/>
    <x v="6"/>
    <n v="1094"/>
    <s v="USA"/>
    <x v="179"/>
    <x v="129"/>
    <x v="3"/>
    <n v="150000"/>
    <x v="6"/>
    <s v="M"/>
    <x v="66"/>
    <x v="1"/>
  </r>
  <r>
    <n v="1490112"/>
    <n v="348"/>
    <s v="France"/>
    <d v="2023-08-26T01:03:00"/>
    <x v="0"/>
    <x v="11"/>
    <n v="7429"/>
    <s v="France"/>
    <x v="230"/>
    <x v="130"/>
    <x v="1"/>
    <n v="150000"/>
    <x v="1"/>
    <s v="M"/>
    <x v="57"/>
    <x v="2"/>
  </r>
  <r>
    <n v="1490458"/>
    <n v="1820"/>
    <s v="USA"/>
    <d v="2023-04-04T01:19:00"/>
    <x v="1"/>
    <x v="9"/>
    <n v="3873"/>
    <s v="USA"/>
    <x v="127"/>
    <x v="95"/>
    <x v="1"/>
    <n v="150000"/>
    <x v="9"/>
    <s v="M"/>
    <x v="37"/>
    <x v="1"/>
  </r>
  <r>
    <n v="1490598"/>
    <n v="1613"/>
    <s v="USA"/>
    <d v="2023-09-15T00:13:00"/>
    <x v="2"/>
    <x v="58"/>
    <n v="2270"/>
    <s v="USA"/>
    <x v="90"/>
    <x v="97"/>
    <x v="3"/>
    <n v="100000"/>
    <x v="20"/>
    <s v="M"/>
    <x v="37"/>
    <x v="1"/>
  </r>
  <r>
    <n v="1491354"/>
    <n v="1812"/>
    <s v="Spain"/>
    <d v="2023-10-26T02:07:00"/>
    <x v="3"/>
    <x v="71"/>
    <n v="86"/>
    <s v="Spain"/>
    <x v="4"/>
    <x v="131"/>
    <x v="1"/>
    <n v="50000"/>
    <x v="8"/>
    <s v="M"/>
    <x v="22"/>
    <x v="1"/>
  </r>
  <r>
    <n v="1491897"/>
    <n v="1955"/>
    <s v="Spain"/>
    <d v="2023-10-06T01:46:00"/>
    <x v="1"/>
    <x v="15"/>
    <n v="9703"/>
    <s v="Spain"/>
    <x v="45"/>
    <x v="129"/>
    <x v="0"/>
    <n v="150000"/>
    <x v="14"/>
    <s v="F"/>
    <x v="17"/>
    <x v="1"/>
  </r>
  <r>
    <n v="1492578"/>
    <n v="1234"/>
    <s v="USA"/>
    <d v="2023-08-26T00:22:00"/>
    <x v="1"/>
    <x v="16"/>
    <n v="3400"/>
    <s v="USA"/>
    <x v="230"/>
    <x v="54"/>
    <x v="4"/>
    <n v="150000"/>
    <x v="15"/>
    <s v="M"/>
    <x v="20"/>
    <x v="3"/>
  </r>
  <r>
    <n v="1493135"/>
    <n v="378"/>
    <s v="Switzerland"/>
    <d v="2023-08-08T23:20:00"/>
    <x v="1"/>
    <x v="68"/>
    <n v="8000"/>
    <s v="Switzerland"/>
    <x v="98"/>
    <x v="27"/>
    <x v="1"/>
    <n v="150000"/>
    <x v="26"/>
    <s v="M"/>
    <x v="45"/>
    <x v="2"/>
  </r>
  <r>
    <n v="1494087"/>
    <n v="118"/>
    <s v="USA"/>
    <d v="2023-04-23T01:37:00"/>
    <x v="2"/>
    <x v="79"/>
    <n v="6162"/>
    <s v="USA"/>
    <x v="218"/>
    <x v="109"/>
    <x v="1"/>
    <n v="200000"/>
    <x v="9"/>
    <s v="F"/>
    <x v="5"/>
    <x v="2"/>
  </r>
  <r>
    <n v="1494182"/>
    <n v="1512"/>
    <s v="Denmark"/>
    <d v="2023-11-24T23:39:00"/>
    <x v="3"/>
    <x v="45"/>
    <n v="775"/>
    <s v="Denmark"/>
    <x v="126"/>
    <x v="101"/>
    <x v="4"/>
    <n v="100000"/>
    <x v="25"/>
    <s v="F"/>
    <x v="9"/>
    <x v="1"/>
  </r>
  <r>
    <n v="1494501"/>
    <n v="1519"/>
    <s v="Spain"/>
    <d v="2023-09-29T23:29:00"/>
    <x v="0"/>
    <x v="1"/>
    <n v="5248"/>
    <s v="Spain"/>
    <x v="359"/>
    <x v="71"/>
    <x v="1"/>
    <n v="200000"/>
    <x v="1"/>
    <s v="M"/>
    <x v="1"/>
    <x v="1"/>
  </r>
  <r>
    <n v="1494544"/>
    <n v="651"/>
    <s v="USA"/>
    <d v="2023-06-20T01:59:00"/>
    <x v="3"/>
    <x v="23"/>
    <n v="1370"/>
    <s v="USA"/>
    <x v="168"/>
    <x v="132"/>
    <x v="0"/>
    <n v="1000000"/>
    <x v="12"/>
    <s v="F"/>
    <x v="57"/>
    <x v="0"/>
  </r>
  <r>
    <n v="1495611"/>
    <n v="1863"/>
    <s v="Spain"/>
    <d v="2023-10-19T23:24:00"/>
    <x v="3"/>
    <x v="67"/>
    <n v="3590"/>
    <s v="Spain"/>
    <x v="16"/>
    <x v="56"/>
    <x v="3"/>
    <n v="150000"/>
    <x v="29"/>
    <s v="F"/>
    <x v="29"/>
    <x v="1"/>
  </r>
  <r>
    <n v="1496982"/>
    <n v="616"/>
    <s v="France"/>
    <d v="2023-07-02T01:03:00"/>
    <x v="2"/>
    <x v="23"/>
    <n v="4824"/>
    <s v="France"/>
    <x v="143"/>
    <x v="130"/>
    <x v="0"/>
    <n v="1000000"/>
    <x v="12"/>
    <s v="M"/>
    <x v="28"/>
    <x v="0"/>
  </r>
  <r>
    <n v="1497326"/>
    <n v="1050"/>
    <s v="France"/>
    <d v="2023-11-29T01:29:00"/>
    <x v="2"/>
    <x v="39"/>
    <n v="1670"/>
    <s v="France"/>
    <x v="178"/>
    <x v="103"/>
    <x v="3"/>
    <n v="1000000"/>
    <x v="6"/>
    <s v="F"/>
    <x v="34"/>
    <x v="3"/>
  </r>
  <r>
    <n v="1498622"/>
    <n v="1094"/>
    <s v="India"/>
    <d v="2023-09-22T00:11:00"/>
    <x v="3"/>
    <x v="22"/>
    <n v="6659"/>
    <s v="India"/>
    <x v="64"/>
    <x v="10"/>
    <x v="3"/>
    <n v="100000"/>
    <x v="13"/>
    <s v="M"/>
    <x v="50"/>
    <x v="3"/>
  </r>
  <r>
    <n v="1499914"/>
    <n v="684"/>
    <s v="Finland"/>
    <d v="2023-02-07T22:41:00"/>
    <x v="1"/>
    <x v="23"/>
    <n v="7716"/>
    <s v="Finland"/>
    <x v="73"/>
    <x v="119"/>
    <x v="0"/>
    <n v="1000000"/>
    <x v="12"/>
    <s v="F"/>
    <x v="51"/>
    <x v="0"/>
  </r>
  <r>
    <n v="1500165"/>
    <n v="979"/>
    <s v="Australia"/>
    <d v="2023-05-15T23:21:00"/>
    <x v="1"/>
    <x v="62"/>
    <n v="3867"/>
    <s v="Australia"/>
    <x v="116"/>
    <x v="69"/>
    <x v="2"/>
    <n v="150000"/>
    <x v="27"/>
    <s v="F"/>
    <x v="59"/>
    <x v="0"/>
  </r>
  <r>
    <n v="1500373"/>
    <n v="746"/>
    <s v="USA"/>
    <d v="2023-04-19T22:50:00"/>
    <x v="1"/>
    <x v="74"/>
    <n v="1017"/>
    <s v="USA"/>
    <x v="108"/>
    <x v="133"/>
    <x v="1"/>
    <n v="200000"/>
    <x v="18"/>
    <s v="F"/>
    <x v="21"/>
    <x v="0"/>
  </r>
  <r>
    <n v="1500639"/>
    <n v="298"/>
    <s v="Spain"/>
    <d v="2023-06-22T00:55:00"/>
    <x v="2"/>
    <x v="73"/>
    <n v="611"/>
    <s v="Spain"/>
    <x v="82"/>
    <x v="44"/>
    <x v="4"/>
    <n v="100000"/>
    <x v="25"/>
    <s v="M"/>
    <x v="6"/>
    <x v="2"/>
  </r>
  <r>
    <n v="1501027"/>
    <n v="1645"/>
    <s v="Australia"/>
    <d v="2023-07-06T00:27:00"/>
    <x v="1"/>
    <x v="60"/>
    <n v="7105"/>
    <s v="Australia"/>
    <x v="191"/>
    <x v="108"/>
    <x v="1"/>
    <n v="100000"/>
    <x v="26"/>
    <s v="M"/>
    <x v="46"/>
    <x v="1"/>
  </r>
  <r>
    <n v="1502119"/>
    <n v="214"/>
    <s v="USA"/>
    <d v="2023-09-23T23:28:00"/>
    <x v="3"/>
    <x v="26"/>
    <n v="8968"/>
    <s v="USA"/>
    <x v="71"/>
    <x v="134"/>
    <x v="2"/>
    <n v="200000"/>
    <x v="19"/>
    <s v="F"/>
    <x v="65"/>
    <x v="2"/>
  </r>
  <r>
    <n v="1502209"/>
    <n v="1512"/>
    <s v="Denmark"/>
    <d v="2023-02-27T23:36:00"/>
    <x v="2"/>
    <x v="49"/>
    <n v="9349"/>
    <s v="Denmark"/>
    <x v="298"/>
    <x v="135"/>
    <x v="0"/>
    <n v="100000"/>
    <x v="10"/>
    <s v="F"/>
    <x v="9"/>
    <x v="1"/>
  </r>
  <r>
    <n v="1503185"/>
    <n v="738"/>
    <s v="France"/>
    <d v="2023-08-02T00:34:00"/>
    <x v="1"/>
    <x v="81"/>
    <n v="7706"/>
    <s v="France"/>
    <x v="159"/>
    <x v="21"/>
    <x v="4"/>
    <n v="100000"/>
    <x v="15"/>
    <s v="M"/>
    <x v="5"/>
    <x v="0"/>
  </r>
  <r>
    <n v="1503619"/>
    <n v="621"/>
    <s v="USA"/>
    <d v="2023-01-17T00:54:00"/>
    <x v="0"/>
    <x v="47"/>
    <n v="4436"/>
    <s v="USA"/>
    <x v="89"/>
    <x v="73"/>
    <x v="3"/>
    <n v="100000"/>
    <x v="20"/>
    <s v="F"/>
    <x v="63"/>
    <x v="0"/>
  </r>
  <r>
    <n v="1503941"/>
    <n v="1910"/>
    <s v="France"/>
    <d v="2023-11-14T02:00:00"/>
    <x v="1"/>
    <x v="64"/>
    <n v="4898"/>
    <s v="France"/>
    <x v="362"/>
    <x v="23"/>
    <x v="2"/>
    <n v="100000"/>
    <x v="3"/>
    <s v="M"/>
    <x v="66"/>
    <x v="1"/>
  </r>
  <r>
    <n v="1506022"/>
    <n v="949"/>
    <s v="Norway"/>
    <d v="2023-01-06T00:29:00"/>
    <x v="1"/>
    <x v="82"/>
    <n v="8624"/>
    <s v="Norway"/>
    <x v="79"/>
    <x v="50"/>
    <x v="2"/>
    <n v="100000"/>
    <x v="19"/>
    <s v="M"/>
    <x v="37"/>
    <x v="0"/>
  </r>
  <r>
    <n v="1506385"/>
    <n v="294"/>
    <s v="France"/>
    <d v="2023-12-08T23:15:00"/>
    <x v="0"/>
    <x v="39"/>
    <n v="5490"/>
    <s v="France"/>
    <x v="263"/>
    <x v="136"/>
    <x v="3"/>
    <n v="1000000"/>
    <x v="6"/>
    <s v="F"/>
    <x v="35"/>
    <x v="2"/>
  </r>
  <r>
    <n v="1507608"/>
    <n v="1886"/>
    <s v="Australia"/>
    <d v="2023-05-31T01:04:00"/>
    <x v="1"/>
    <x v="23"/>
    <n v="8078"/>
    <s v="Australia"/>
    <x v="179"/>
    <x v="121"/>
    <x v="0"/>
    <n v="1000000"/>
    <x v="12"/>
    <s v="F"/>
    <x v="9"/>
    <x v="1"/>
  </r>
  <r>
    <n v="1508121"/>
    <n v="1786"/>
    <s v="Singapore"/>
    <d v="2023-04-22T00:58:00"/>
    <x v="1"/>
    <x v="65"/>
    <n v="4650"/>
    <s v="Singapore"/>
    <x v="246"/>
    <x v="28"/>
    <x v="4"/>
    <n v="250000"/>
    <x v="28"/>
    <s v="F"/>
    <x v="61"/>
    <x v="1"/>
  </r>
  <r>
    <n v="1508428"/>
    <n v="1815"/>
    <s v="Austria"/>
    <d v="2023-03-30T00:48:00"/>
    <x v="0"/>
    <x v="39"/>
    <n v="5995"/>
    <s v="Austria"/>
    <x v="101"/>
    <x v="88"/>
    <x v="3"/>
    <n v="1000000"/>
    <x v="6"/>
    <s v="M"/>
    <x v="64"/>
    <x v="1"/>
  </r>
  <r>
    <n v="1508568"/>
    <n v="979"/>
    <s v="Australia"/>
    <d v="2023-12-24T00:49:00"/>
    <x v="0"/>
    <x v="18"/>
    <n v="3218"/>
    <s v="Australia"/>
    <x v="231"/>
    <x v="35"/>
    <x v="2"/>
    <n v="100000"/>
    <x v="5"/>
    <s v="F"/>
    <x v="59"/>
    <x v="0"/>
  </r>
  <r>
    <n v="1508707"/>
    <n v="376"/>
    <s v="India"/>
    <d v="2023-02-07T23:22:00"/>
    <x v="3"/>
    <x v="0"/>
    <n v="8491"/>
    <s v="India"/>
    <x v="73"/>
    <x v="137"/>
    <x v="0"/>
    <n v="200000"/>
    <x v="0"/>
    <s v="F"/>
    <x v="20"/>
    <x v="2"/>
  </r>
  <r>
    <n v="1508738"/>
    <n v="1408"/>
    <s v="USA"/>
    <d v="2023-08-26T00:50:00"/>
    <x v="0"/>
    <x v="15"/>
    <n v="8503"/>
    <s v="USA"/>
    <x v="230"/>
    <x v="0"/>
    <x v="0"/>
    <n v="150000"/>
    <x v="14"/>
    <s v="F"/>
    <x v="17"/>
    <x v="3"/>
  </r>
  <r>
    <n v="1509554"/>
    <n v="610"/>
    <s v="France"/>
    <d v="2023-04-16T00:34:00"/>
    <x v="3"/>
    <x v="31"/>
    <n v="4098"/>
    <s v="France"/>
    <x v="193"/>
    <x v="21"/>
    <x v="2"/>
    <n v="100000"/>
    <x v="22"/>
    <s v="F"/>
    <x v="14"/>
    <x v="0"/>
  </r>
  <r>
    <n v="1509587"/>
    <n v="822"/>
    <s v="USA"/>
    <d v="2023-12-08T00:16:00"/>
    <x v="1"/>
    <x v="17"/>
    <n v="43"/>
    <s v="USA"/>
    <x v="263"/>
    <x v="61"/>
    <x v="0"/>
    <n v="150000"/>
    <x v="14"/>
    <s v="F"/>
    <x v="65"/>
    <x v="0"/>
  </r>
  <r>
    <n v="1509701"/>
    <n v="1109"/>
    <s v="India"/>
    <d v="2023-10-27T00:35:00"/>
    <x v="0"/>
    <x v="39"/>
    <n v="1460"/>
    <s v="India"/>
    <x v="34"/>
    <x v="67"/>
    <x v="3"/>
    <n v="1000000"/>
    <x v="6"/>
    <s v="F"/>
    <x v="46"/>
    <x v="3"/>
  </r>
  <r>
    <n v="1512442"/>
    <n v="1243"/>
    <s v="Spain"/>
    <d v="2023-06-18T00:35:00"/>
    <x v="3"/>
    <x v="74"/>
    <n v="7379"/>
    <s v="Spain"/>
    <x v="345"/>
    <x v="67"/>
    <x v="1"/>
    <n v="200000"/>
    <x v="18"/>
    <s v="M"/>
    <x v="32"/>
    <x v="3"/>
  </r>
  <r>
    <n v="1512481"/>
    <n v="1560"/>
    <s v="Singapore"/>
    <d v="2023-02-06T00:54:00"/>
    <x v="0"/>
    <x v="1"/>
    <n v="1363"/>
    <s v="Singapore"/>
    <x v="49"/>
    <x v="73"/>
    <x v="1"/>
    <n v="200000"/>
    <x v="1"/>
    <s v="M"/>
    <x v="40"/>
    <x v="1"/>
  </r>
  <r>
    <n v="1513008"/>
    <n v="1980"/>
    <s v="Switzerland"/>
    <d v="2023-07-26T00:57:00"/>
    <x v="3"/>
    <x v="39"/>
    <n v="4837"/>
    <s v="Switzerland"/>
    <x v="10"/>
    <x v="42"/>
    <x v="3"/>
    <n v="1000000"/>
    <x v="6"/>
    <s v="M"/>
    <x v="56"/>
    <x v="1"/>
  </r>
  <r>
    <n v="1513475"/>
    <n v="375"/>
    <s v="Australia"/>
    <d v="2023-06-02T00:50:00"/>
    <x v="3"/>
    <x v="23"/>
    <n v="7352"/>
    <s v="Australia"/>
    <x v="266"/>
    <x v="0"/>
    <x v="0"/>
    <n v="1000000"/>
    <x v="12"/>
    <s v="F"/>
    <x v="23"/>
    <x v="2"/>
  </r>
  <r>
    <n v="1513796"/>
    <n v="218"/>
    <s v="France"/>
    <d v="2023-06-23T23:56:00"/>
    <x v="0"/>
    <x v="23"/>
    <n v="520"/>
    <s v="France"/>
    <x v="93"/>
    <x v="138"/>
    <x v="0"/>
    <n v="1000000"/>
    <x v="12"/>
    <s v="F"/>
    <x v="6"/>
    <x v="2"/>
  </r>
  <r>
    <n v="1513980"/>
    <n v="1164"/>
    <s v="USA"/>
    <d v="2023-02-14T23:42:00"/>
    <x v="2"/>
    <x v="23"/>
    <n v="5236"/>
    <s v="USA"/>
    <x v="157"/>
    <x v="38"/>
    <x v="0"/>
    <n v="1000000"/>
    <x v="12"/>
    <s v="M"/>
    <x v="42"/>
    <x v="3"/>
  </r>
  <r>
    <n v="1514182"/>
    <n v="992"/>
    <s v="USA"/>
    <d v="2023-01-14T00:18:00"/>
    <x v="3"/>
    <x v="14"/>
    <n v="4187"/>
    <s v="USA"/>
    <x v="170"/>
    <x v="139"/>
    <x v="3"/>
    <n v="200000"/>
    <x v="13"/>
    <s v="M"/>
    <x v="66"/>
    <x v="0"/>
  </r>
  <r>
    <n v="1515579"/>
    <n v="982"/>
    <s v="USA"/>
    <d v="2023-05-06T00:51:00"/>
    <x v="3"/>
    <x v="23"/>
    <n v="811"/>
    <s v="USA"/>
    <x v="288"/>
    <x v="93"/>
    <x v="0"/>
    <n v="1000000"/>
    <x v="12"/>
    <s v="F"/>
    <x v="31"/>
    <x v="0"/>
  </r>
  <r>
    <n v="1516849"/>
    <n v="108"/>
    <s v="Spain"/>
    <d v="2023-06-03T00:22:00"/>
    <x v="3"/>
    <x v="90"/>
    <n v="5536"/>
    <s v="Spain"/>
    <x v="24"/>
    <x v="54"/>
    <x v="1"/>
    <n v="50000"/>
    <x v="18"/>
    <s v="M"/>
    <x v="42"/>
    <x v="2"/>
  </r>
  <r>
    <n v="1516974"/>
    <n v="136"/>
    <s v="USA"/>
    <d v="2023-05-11T00:55:00"/>
    <x v="0"/>
    <x v="74"/>
    <n v="1042"/>
    <s v="USA"/>
    <x v="44"/>
    <x v="44"/>
    <x v="1"/>
    <n v="200000"/>
    <x v="18"/>
    <s v="F"/>
    <x v="40"/>
    <x v="2"/>
  </r>
  <r>
    <n v="1519463"/>
    <n v="266"/>
    <s v="USA"/>
    <d v="2023-01-10T23:28:00"/>
    <x v="1"/>
    <x v="39"/>
    <n v="5361"/>
    <s v="USA"/>
    <x v="293"/>
    <x v="134"/>
    <x v="3"/>
    <n v="1000000"/>
    <x v="6"/>
    <s v="F"/>
    <x v="2"/>
    <x v="2"/>
  </r>
  <r>
    <n v="1520253"/>
    <n v="1775"/>
    <s v="USA"/>
    <d v="2023-09-23T23:52:00"/>
    <x v="2"/>
    <x v="28"/>
    <n v="429"/>
    <s v="USA"/>
    <x v="71"/>
    <x v="94"/>
    <x v="3"/>
    <n v="80000"/>
    <x v="20"/>
    <s v="F"/>
    <x v="53"/>
    <x v="1"/>
  </r>
  <r>
    <n v="1521124"/>
    <n v="1828"/>
    <s v="Finland"/>
    <d v="2023-03-28T01:53:00"/>
    <x v="1"/>
    <x v="26"/>
    <n v="8408"/>
    <s v="Finland"/>
    <x v="83"/>
    <x v="102"/>
    <x v="2"/>
    <n v="200000"/>
    <x v="19"/>
    <s v="F"/>
    <x v="66"/>
    <x v="1"/>
  </r>
  <r>
    <n v="1521957"/>
    <n v="347"/>
    <s v="Denmark"/>
    <d v="2023-11-06T23:18:00"/>
    <x v="0"/>
    <x v="70"/>
    <n v="2198"/>
    <s v="Denmark"/>
    <x v="175"/>
    <x v="140"/>
    <x v="3"/>
    <n v="150000"/>
    <x v="29"/>
    <s v="F"/>
    <x v="0"/>
    <x v="2"/>
  </r>
  <r>
    <n v="1522932"/>
    <n v="1737"/>
    <s v="Singapore"/>
    <d v="2023-11-08T00:44:00"/>
    <x v="3"/>
    <x v="81"/>
    <n v="2633"/>
    <s v="Singapore"/>
    <x v="27"/>
    <x v="85"/>
    <x v="4"/>
    <n v="100000"/>
    <x v="15"/>
    <s v="M"/>
    <x v="52"/>
    <x v="1"/>
  </r>
  <r>
    <n v="1524093"/>
    <n v="104"/>
    <s v="Australia"/>
    <d v="2023-10-17T23:20:00"/>
    <x v="2"/>
    <x v="47"/>
    <n v="6754"/>
    <s v="Australia"/>
    <x v="152"/>
    <x v="27"/>
    <x v="3"/>
    <n v="100000"/>
    <x v="20"/>
    <s v="M"/>
    <x v="7"/>
    <x v="2"/>
  </r>
  <r>
    <n v="1524999"/>
    <n v="333"/>
    <s v="Germany"/>
    <d v="2023-01-17T23:25:00"/>
    <x v="0"/>
    <x v="64"/>
    <n v="1766"/>
    <s v="Germany"/>
    <x v="89"/>
    <x v="141"/>
    <x v="2"/>
    <n v="100000"/>
    <x v="3"/>
    <s v="M"/>
    <x v="64"/>
    <x v="2"/>
  </r>
  <r>
    <n v="1525718"/>
    <n v="255"/>
    <s v="Italy"/>
    <d v="2023-08-23T01:22:00"/>
    <x v="1"/>
    <x v="75"/>
    <n v="1434"/>
    <s v="Italy"/>
    <x v="333"/>
    <x v="142"/>
    <x v="1"/>
    <n v="50000"/>
    <x v="7"/>
    <s v="M"/>
    <x v="14"/>
    <x v="2"/>
  </r>
  <r>
    <n v="1526107"/>
    <n v="1781"/>
    <s v="Denmark"/>
    <d v="2023-05-05T22:36:00"/>
    <x v="2"/>
    <x v="72"/>
    <n v="399"/>
    <s v="Denmark"/>
    <x v="106"/>
    <x v="106"/>
    <x v="0"/>
    <n v="80000"/>
    <x v="4"/>
    <s v="F"/>
    <x v="3"/>
    <x v="1"/>
  </r>
  <r>
    <n v="1526749"/>
    <n v="1926"/>
    <s v="Spain"/>
    <d v="2023-08-13T00:40:00"/>
    <x v="3"/>
    <x v="73"/>
    <n v="7714"/>
    <s v="Spain"/>
    <x v="186"/>
    <x v="51"/>
    <x v="4"/>
    <n v="100000"/>
    <x v="25"/>
    <s v="F"/>
    <x v="32"/>
    <x v="1"/>
  </r>
  <r>
    <n v="1527612"/>
    <n v="1654"/>
    <s v="USA"/>
    <d v="2023-10-17T22:35:00"/>
    <x v="0"/>
    <x v="18"/>
    <n v="1813"/>
    <s v="USA"/>
    <x v="152"/>
    <x v="55"/>
    <x v="2"/>
    <n v="100000"/>
    <x v="5"/>
    <s v="F"/>
    <x v="72"/>
    <x v="1"/>
  </r>
  <r>
    <n v="1528079"/>
    <n v="150"/>
    <s v="USA"/>
    <d v="2023-12-13T00:05:00"/>
    <x v="0"/>
    <x v="39"/>
    <n v="8608"/>
    <s v="USA"/>
    <x v="88"/>
    <x v="48"/>
    <x v="3"/>
    <n v="1000000"/>
    <x v="6"/>
    <s v="F"/>
    <x v="34"/>
    <x v="2"/>
  </r>
  <r>
    <n v="1528540"/>
    <n v="913"/>
    <s v="USA"/>
    <d v="2023-02-03T01:54:00"/>
    <x v="1"/>
    <x v="0"/>
    <n v="9004"/>
    <s v="USA"/>
    <x v="151"/>
    <x v="143"/>
    <x v="0"/>
    <n v="200000"/>
    <x v="0"/>
    <s v="F"/>
    <x v="9"/>
    <x v="0"/>
  </r>
  <r>
    <n v="1529840"/>
    <n v="1794"/>
    <s v="Australia"/>
    <d v="2023-03-03T00:33:00"/>
    <x v="1"/>
    <x v="77"/>
    <n v="1054"/>
    <s v="Australia"/>
    <x v="30"/>
    <x v="53"/>
    <x v="1"/>
    <n v="250000"/>
    <x v="24"/>
    <s v="M"/>
    <x v="10"/>
    <x v="1"/>
  </r>
  <r>
    <n v="1530454"/>
    <n v="499"/>
    <s v="Australia"/>
    <d v="2023-04-27T23:01:00"/>
    <x v="2"/>
    <x v="78"/>
    <n v="7456"/>
    <s v="Australia"/>
    <x v="321"/>
    <x v="144"/>
    <x v="0"/>
    <n v="100000"/>
    <x v="12"/>
    <s v="M"/>
    <x v="20"/>
    <x v="2"/>
  </r>
  <r>
    <n v="1532546"/>
    <n v="1032"/>
    <s v="France"/>
    <d v="2023-11-15T00:35:00"/>
    <x v="3"/>
    <x v="17"/>
    <n v="5274"/>
    <s v="France"/>
    <x v="355"/>
    <x v="67"/>
    <x v="0"/>
    <n v="150000"/>
    <x v="14"/>
    <s v="M"/>
    <x v="29"/>
    <x v="3"/>
  </r>
  <r>
    <n v="1532610"/>
    <n v="1871"/>
    <s v="Italy"/>
    <d v="2023-08-21T00:03:00"/>
    <x v="1"/>
    <x v="62"/>
    <n v="8644"/>
    <s v="Italy"/>
    <x v="233"/>
    <x v="72"/>
    <x v="2"/>
    <n v="150000"/>
    <x v="27"/>
    <s v="F"/>
    <x v="22"/>
    <x v="1"/>
  </r>
  <r>
    <n v="1534392"/>
    <n v="112"/>
    <s v="USA"/>
    <d v="2023-01-26T23:02:00"/>
    <x v="2"/>
    <x v="23"/>
    <n v="2347"/>
    <s v="USA"/>
    <x v="112"/>
    <x v="114"/>
    <x v="0"/>
    <n v="1000000"/>
    <x v="12"/>
    <s v="M"/>
    <x v="41"/>
    <x v="2"/>
  </r>
  <r>
    <n v="1535140"/>
    <n v="548"/>
    <s v="USA"/>
    <d v="2023-05-25T00:58:00"/>
    <x v="0"/>
    <x v="1"/>
    <n v="5570"/>
    <s v="USA"/>
    <x v="262"/>
    <x v="28"/>
    <x v="1"/>
    <n v="200000"/>
    <x v="1"/>
    <s v="M"/>
    <x v="68"/>
    <x v="0"/>
  </r>
  <r>
    <n v="1536418"/>
    <n v="760"/>
    <s v="India"/>
    <d v="2023-06-06T22:40:00"/>
    <x v="2"/>
    <x v="39"/>
    <n v="5883"/>
    <s v="India"/>
    <x v="174"/>
    <x v="145"/>
    <x v="3"/>
    <n v="1000000"/>
    <x v="6"/>
    <s v="M"/>
    <x v="13"/>
    <x v="0"/>
  </r>
  <r>
    <n v="1536698"/>
    <n v="127"/>
    <s v="Denmark"/>
    <d v="2023-11-10T02:07:00"/>
    <x v="1"/>
    <x v="23"/>
    <n v="2350"/>
    <s v="Denmark"/>
    <x v="283"/>
    <x v="131"/>
    <x v="0"/>
    <n v="1000000"/>
    <x v="12"/>
    <s v="F"/>
    <x v="56"/>
    <x v="2"/>
  </r>
  <r>
    <n v="1536890"/>
    <n v="1364"/>
    <s v="France"/>
    <d v="2023-08-16T01:22:00"/>
    <x v="3"/>
    <x v="23"/>
    <n v="7711"/>
    <s v="France"/>
    <x v="280"/>
    <x v="142"/>
    <x v="0"/>
    <n v="1000000"/>
    <x v="12"/>
    <s v="M"/>
    <x v="43"/>
    <x v="3"/>
  </r>
  <r>
    <n v="1536982"/>
    <n v="742"/>
    <s v="USA"/>
    <d v="2023-04-02T00:12:00"/>
    <x v="0"/>
    <x v="13"/>
    <n v="5486"/>
    <s v="USA"/>
    <x v="67"/>
    <x v="19"/>
    <x v="0"/>
    <n v="100000"/>
    <x v="12"/>
    <s v="F"/>
    <x v="42"/>
    <x v="0"/>
  </r>
  <r>
    <n v="1538322"/>
    <n v="1752"/>
    <s v="Australia"/>
    <d v="2023-10-20T23:44:00"/>
    <x v="2"/>
    <x v="17"/>
    <n v="6645"/>
    <s v="Australia"/>
    <x v="55"/>
    <x v="146"/>
    <x v="0"/>
    <n v="150000"/>
    <x v="14"/>
    <s v="F"/>
    <x v="63"/>
    <x v="1"/>
  </r>
  <r>
    <n v="1538360"/>
    <n v="1824"/>
    <s v="USA"/>
    <d v="2023-02-03T23:01:00"/>
    <x v="1"/>
    <x v="39"/>
    <n v="4448"/>
    <s v="USA"/>
    <x v="151"/>
    <x v="144"/>
    <x v="3"/>
    <n v="1000000"/>
    <x v="6"/>
    <s v="F"/>
    <x v="31"/>
    <x v="1"/>
  </r>
  <r>
    <n v="1541893"/>
    <n v="1860"/>
    <s v="Spain"/>
    <d v="2023-01-30T23:40:00"/>
    <x v="2"/>
    <x v="25"/>
    <n v="1027"/>
    <s v="Spain"/>
    <x v="214"/>
    <x v="1"/>
    <x v="1"/>
    <n v="150000"/>
    <x v="17"/>
    <s v="F"/>
    <x v="57"/>
    <x v="1"/>
  </r>
  <r>
    <n v="1542275"/>
    <n v="1647"/>
    <s v="USA"/>
    <d v="2023-08-27T01:43:00"/>
    <x v="1"/>
    <x v="5"/>
    <n v="8992"/>
    <s v="USA"/>
    <x v="352"/>
    <x v="118"/>
    <x v="2"/>
    <n v="150000"/>
    <x v="5"/>
    <s v="F"/>
    <x v="13"/>
    <x v="1"/>
  </r>
  <r>
    <n v="1542373"/>
    <n v="1267"/>
    <s v="Italy"/>
    <d v="2023-05-13T00:40:00"/>
    <x v="1"/>
    <x v="26"/>
    <n v="3468"/>
    <s v="Italy"/>
    <x v="99"/>
    <x v="51"/>
    <x v="2"/>
    <n v="200000"/>
    <x v="19"/>
    <s v="M"/>
    <x v="14"/>
    <x v="3"/>
  </r>
  <r>
    <n v="1543099"/>
    <n v="1489"/>
    <s v="Spain"/>
    <d v="2023-02-17T22:44:00"/>
    <x v="1"/>
    <x v="63"/>
    <n v="5530"/>
    <s v="Spain"/>
    <x v="38"/>
    <x v="147"/>
    <x v="0"/>
    <n v="100000"/>
    <x v="16"/>
    <s v="F"/>
    <x v="7"/>
    <x v="3"/>
  </r>
  <r>
    <n v="1543135"/>
    <n v="647"/>
    <s v="Australia"/>
    <d v="2023-06-07T01:04:00"/>
    <x v="3"/>
    <x v="49"/>
    <n v="9026"/>
    <s v="Australia"/>
    <x v="69"/>
    <x v="121"/>
    <x v="0"/>
    <n v="100000"/>
    <x v="10"/>
    <s v="M"/>
    <x v="15"/>
    <x v="0"/>
  </r>
  <r>
    <n v="1543232"/>
    <n v="871"/>
    <s v="Italy"/>
    <d v="2023-06-26T00:25:00"/>
    <x v="2"/>
    <x v="29"/>
    <n v="2237"/>
    <s v="Italy"/>
    <x v="314"/>
    <x v="148"/>
    <x v="3"/>
    <n v="100000"/>
    <x v="13"/>
    <s v="F"/>
    <x v="15"/>
    <x v="0"/>
  </r>
  <r>
    <n v="1543526"/>
    <n v="1554"/>
    <s v="Germany"/>
    <d v="2023-06-24T00:08:00"/>
    <x v="2"/>
    <x v="30"/>
    <n v="9175"/>
    <s v="Germany"/>
    <x v="53"/>
    <x v="149"/>
    <x v="2"/>
    <n v="150000"/>
    <x v="21"/>
    <s v="F"/>
    <x v="44"/>
    <x v="1"/>
  </r>
  <r>
    <n v="1544633"/>
    <n v="714"/>
    <s v="USA"/>
    <d v="2023-08-19T01:09:00"/>
    <x v="0"/>
    <x v="31"/>
    <n v="347"/>
    <s v="USA"/>
    <x v="158"/>
    <x v="92"/>
    <x v="2"/>
    <n v="100000"/>
    <x v="22"/>
    <s v="M"/>
    <x v="5"/>
    <x v="0"/>
  </r>
  <r>
    <n v="1545246"/>
    <n v="1069"/>
    <s v="Australia"/>
    <d v="2023-02-27T01:13:00"/>
    <x v="2"/>
    <x v="65"/>
    <n v="5132"/>
    <s v="Australia"/>
    <x v="298"/>
    <x v="32"/>
    <x v="4"/>
    <n v="250000"/>
    <x v="28"/>
    <s v="M"/>
    <x v="16"/>
    <x v="3"/>
  </r>
  <r>
    <n v="1546512"/>
    <n v="33"/>
    <s v="Spain"/>
    <d v="2023-12-24T00:56:00"/>
    <x v="0"/>
    <x v="39"/>
    <n v="9521"/>
    <s v="Spain"/>
    <x v="231"/>
    <x v="150"/>
    <x v="3"/>
    <n v="1000000"/>
    <x v="6"/>
    <s v="M"/>
    <x v="62"/>
    <x v="2"/>
  </r>
  <r>
    <n v="1546802"/>
    <n v="1394"/>
    <s v="USA"/>
    <d v="2023-09-01T00:26:00"/>
    <x v="2"/>
    <x v="34"/>
    <n v="8149"/>
    <s v="USA"/>
    <x v="271"/>
    <x v="151"/>
    <x v="1"/>
    <n v="100000"/>
    <x v="24"/>
    <s v="F"/>
    <x v="30"/>
    <x v="3"/>
  </r>
  <r>
    <n v="1547057"/>
    <n v="18"/>
    <s v="USA"/>
    <d v="2023-05-14T00:44:00"/>
    <x v="0"/>
    <x v="35"/>
    <n v="9727"/>
    <s v="USA"/>
    <x v="173"/>
    <x v="85"/>
    <x v="4"/>
    <n v="100000"/>
    <x v="15"/>
    <s v="F"/>
    <x v="67"/>
    <x v="2"/>
  </r>
  <r>
    <n v="1548032"/>
    <n v="1733"/>
    <s v="Italy"/>
    <d v="2023-10-17T01:23:00"/>
    <x v="1"/>
    <x v="20"/>
    <n v="3053"/>
    <s v="Italy"/>
    <x v="152"/>
    <x v="83"/>
    <x v="1"/>
    <n v="200000"/>
    <x v="17"/>
    <s v="M"/>
    <x v="24"/>
    <x v="1"/>
  </r>
  <r>
    <n v="1548655"/>
    <n v="327"/>
    <s v="India"/>
    <d v="2023-08-21T00:46:00"/>
    <x v="2"/>
    <x v="18"/>
    <n v="8582"/>
    <s v="India"/>
    <x v="233"/>
    <x v="77"/>
    <x v="2"/>
    <n v="100000"/>
    <x v="5"/>
    <s v="F"/>
    <x v="24"/>
    <x v="2"/>
  </r>
  <r>
    <n v="1548735"/>
    <n v="90"/>
    <s v="USA"/>
    <d v="2023-08-02T23:20:00"/>
    <x v="1"/>
    <x v="37"/>
    <n v="1069"/>
    <s v="USA"/>
    <x v="159"/>
    <x v="27"/>
    <x v="3"/>
    <n v="150000"/>
    <x v="6"/>
    <s v="F"/>
    <x v="68"/>
    <x v="2"/>
  </r>
  <r>
    <n v="1549353"/>
    <n v="1603"/>
    <s v="USA"/>
    <d v="2023-09-13T01:24:00"/>
    <x v="2"/>
    <x v="38"/>
    <n v="2101"/>
    <s v="USA"/>
    <x v="268"/>
    <x v="124"/>
    <x v="2"/>
    <n v="100000"/>
    <x v="22"/>
    <s v="M"/>
    <x v="38"/>
    <x v="1"/>
  </r>
  <r>
    <n v="1550005"/>
    <n v="1984"/>
    <s v="Australia"/>
    <d v="2023-03-17T00:55:00"/>
    <x v="2"/>
    <x v="31"/>
    <n v="2075"/>
    <s v="Australia"/>
    <x v="19"/>
    <x v="44"/>
    <x v="2"/>
    <n v="100000"/>
    <x v="22"/>
    <s v="M"/>
    <x v="23"/>
    <x v="1"/>
  </r>
  <r>
    <n v="1550154"/>
    <n v="1589"/>
    <s v="USA"/>
    <d v="2023-05-14T01:45:00"/>
    <x v="2"/>
    <x v="11"/>
    <n v="3729"/>
    <s v="USA"/>
    <x v="173"/>
    <x v="59"/>
    <x v="1"/>
    <n v="150000"/>
    <x v="1"/>
    <s v="F"/>
    <x v="1"/>
    <x v="1"/>
  </r>
  <r>
    <n v="1550175"/>
    <n v="308"/>
    <s v="Spain"/>
    <d v="2023-03-03T23:39:00"/>
    <x v="2"/>
    <x v="8"/>
    <n v="6486"/>
    <s v="Spain"/>
    <x v="30"/>
    <x v="101"/>
    <x v="1"/>
    <n v="150000"/>
    <x v="8"/>
    <s v="F"/>
    <x v="28"/>
    <x v="2"/>
  </r>
  <r>
    <n v="1551349"/>
    <n v="694"/>
    <s v="Finland"/>
    <d v="2023-10-28T01:13:00"/>
    <x v="3"/>
    <x v="25"/>
    <n v="9059"/>
    <s v="Finland"/>
    <x v="65"/>
    <x v="32"/>
    <x v="1"/>
    <n v="150000"/>
    <x v="17"/>
    <s v="M"/>
    <x v="40"/>
    <x v="0"/>
  </r>
  <r>
    <n v="1551563"/>
    <n v="394"/>
    <s v="India"/>
    <d v="2023-12-07T01:39:00"/>
    <x v="1"/>
    <x v="23"/>
    <n v="932"/>
    <s v="India"/>
    <x v="226"/>
    <x v="152"/>
    <x v="0"/>
    <n v="1000000"/>
    <x v="12"/>
    <s v="F"/>
    <x v="48"/>
    <x v="2"/>
  </r>
  <r>
    <n v="1552540"/>
    <n v="1457"/>
    <s v="Australia"/>
    <d v="2023-08-23T23:48:00"/>
    <x v="0"/>
    <x v="42"/>
    <n v="9266"/>
    <s v="Australia"/>
    <x v="333"/>
    <x v="153"/>
    <x v="0"/>
    <n v="200000"/>
    <x v="14"/>
    <s v="M"/>
    <x v="22"/>
    <x v="3"/>
  </r>
  <r>
    <n v="1553612"/>
    <n v="1628"/>
    <s v="USA"/>
    <d v="2023-05-09T00:16:00"/>
    <x v="2"/>
    <x v="39"/>
    <n v="6089"/>
    <s v="USA"/>
    <x v="182"/>
    <x v="61"/>
    <x v="3"/>
    <n v="1000000"/>
    <x v="6"/>
    <s v="F"/>
    <x v="33"/>
    <x v="1"/>
  </r>
  <r>
    <n v="1553858"/>
    <n v="699"/>
    <s v="USA"/>
    <d v="2023-08-31T01:16:00"/>
    <x v="3"/>
    <x v="43"/>
    <n v="7598"/>
    <s v="USA"/>
    <x v="198"/>
    <x v="84"/>
    <x v="2"/>
    <n v="100000"/>
    <x v="21"/>
    <s v="F"/>
    <x v="17"/>
    <x v="0"/>
  </r>
  <r>
    <n v="1555572"/>
    <n v="1665"/>
    <s v="Switzerland"/>
    <d v="2023-03-21T01:03:00"/>
    <x v="3"/>
    <x v="23"/>
    <n v="1259"/>
    <s v="Switzerland"/>
    <x v="28"/>
    <x v="130"/>
    <x v="0"/>
    <n v="1000000"/>
    <x v="12"/>
    <s v="F"/>
    <x v="11"/>
    <x v="1"/>
  </r>
  <r>
    <n v="1556551"/>
    <n v="556"/>
    <s v="France"/>
    <d v="2023-04-11T00:35:00"/>
    <x v="3"/>
    <x v="86"/>
    <n v="4482"/>
    <s v="France"/>
    <x v="147"/>
    <x v="67"/>
    <x v="0"/>
    <n v="150000"/>
    <x v="11"/>
    <s v="F"/>
    <x v="54"/>
    <x v="0"/>
  </r>
  <r>
    <n v="1557337"/>
    <n v="508"/>
    <s v="Switzerland"/>
    <d v="2023-01-31T00:49:00"/>
    <x v="3"/>
    <x v="10"/>
    <n v="4679"/>
    <s v="Switzerland"/>
    <x v="236"/>
    <x v="35"/>
    <x v="0"/>
    <n v="250000"/>
    <x v="10"/>
    <s v="F"/>
    <x v="48"/>
    <x v="0"/>
  </r>
  <r>
    <n v="1558722"/>
    <n v="623"/>
    <s v="India"/>
    <d v="2023-07-27T01:37:00"/>
    <x v="2"/>
    <x v="23"/>
    <n v="1232"/>
    <s v="India"/>
    <x v="85"/>
    <x v="109"/>
    <x v="0"/>
    <n v="1000000"/>
    <x v="12"/>
    <s v="F"/>
    <x v="16"/>
    <x v="0"/>
  </r>
  <r>
    <n v="1558773"/>
    <n v="1230"/>
    <s v="Spain"/>
    <d v="2023-08-05T00:57:00"/>
    <x v="2"/>
    <x v="90"/>
    <n v="5890"/>
    <s v="Spain"/>
    <x v="188"/>
    <x v="42"/>
    <x v="1"/>
    <n v="50000"/>
    <x v="18"/>
    <s v="F"/>
    <x v="16"/>
    <x v="3"/>
  </r>
  <r>
    <n v="1558851"/>
    <n v="431"/>
    <s v="India"/>
    <d v="2023-12-28T23:23:00"/>
    <x v="2"/>
    <x v="5"/>
    <n v="3075"/>
    <s v="India"/>
    <x v="259"/>
    <x v="154"/>
    <x v="2"/>
    <n v="150000"/>
    <x v="5"/>
    <s v="F"/>
    <x v="6"/>
    <x v="2"/>
  </r>
  <r>
    <n v="1558891"/>
    <n v="1358"/>
    <s v="Australia"/>
    <d v="2023-01-22T00:28:00"/>
    <x v="0"/>
    <x v="44"/>
    <n v="9227"/>
    <s v="Australia"/>
    <x v="304"/>
    <x v="39"/>
    <x v="0"/>
    <n v="100000"/>
    <x v="12"/>
    <s v="F"/>
    <x v="52"/>
    <x v="3"/>
  </r>
  <r>
    <n v="1560730"/>
    <n v="1689"/>
    <s v="Australia"/>
    <d v="2023-06-29T00:34:00"/>
    <x v="1"/>
    <x v="10"/>
    <n v="9570"/>
    <s v="Australia"/>
    <x v="305"/>
    <x v="21"/>
    <x v="0"/>
    <n v="250000"/>
    <x v="10"/>
    <s v="M"/>
    <x v="63"/>
    <x v="1"/>
  </r>
  <r>
    <n v="1561328"/>
    <n v="1031"/>
    <s v="Australia"/>
    <d v="2023-10-30T23:49:00"/>
    <x v="1"/>
    <x v="57"/>
    <n v="2619"/>
    <s v="Australia"/>
    <x v="300"/>
    <x v="43"/>
    <x v="0"/>
    <n v="80000"/>
    <x v="0"/>
    <s v="M"/>
    <x v="28"/>
    <x v="3"/>
  </r>
  <r>
    <n v="1561588"/>
    <n v="237"/>
    <s v="France"/>
    <d v="2023-08-24T23:18:00"/>
    <x v="0"/>
    <x v="61"/>
    <n v="7424"/>
    <s v="France"/>
    <x v="15"/>
    <x v="140"/>
    <x v="4"/>
    <n v="200000"/>
    <x v="28"/>
    <s v="F"/>
    <x v="56"/>
    <x v="2"/>
  </r>
  <r>
    <n v="1562667"/>
    <n v="984"/>
    <s v="France"/>
    <d v="2023-07-06T23:41:00"/>
    <x v="0"/>
    <x v="23"/>
    <n v="424"/>
    <s v="France"/>
    <x v="191"/>
    <x v="155"/>
    <x v="0"/>
    <n v="1000000"/>
    <x v="12"/>
    <s v="F"/>
    <x v="19"/>
    <x v="0"/>
  </r>
  <r>
    <n v="1562703"/>
    <n v="347"/>
    <s v="Denmark"/>
    <d v="2023-09-14T00:25:00"/>
    <x v="1"/>
    <x v="14"/>
    <n v="1845"/>
    <s v="Denmark"/>
    <x v="237"/>
    <x v="148"/>
    <x v="3"/>
    <n v="200000"/>
    <x v="13"/>
    <s v="F"/>
    <x v="0"/>
    <x v="2"/>
  </r>
  <r>
    <n v="1562821"/>
    <n v="917"/>
    <s v="Norway"/>
    <d v="2023-06-13T00:11:00"/>
    <x v="1"/>
    <x v="85"/>
    <n v="5545"/>
    <s v="Norway"/>
    <x v="252"/>
    <x v="10"/>
    <x v="2"/>
    <n v="150000"/>
    <x v="21"/>
    <s v="F"/>
    <x v="10"/>
    <x v="0"/>
  </r>
  <r>
    <n v="1563544"/>
    <n v="1905"/>
    <s v="Spain"/>
    <d v="2023-11-12T01:14:00"/>
    <x v="2"/>
    <x v="75"/>
    <n v="4596"/>
    <s v="Spain"/>
    <x v="109"/>
    <x v="156"/>
    <x v="1"/>
    <n v="50000"/>
    <x v="7"/>
    <s v="M"/>
    <x v="68"/>
    <x v="1"/>
  </r>
  <r>
    <n v="1563696"/>
    <n v="1079"/>
    <s v="India"/>
    <d v="2023-04-17T23:39:00"/>
    <x v="2"/>
    <x v="47"/>
    <n v="2297"/>
    <s v="India"/>
    <x v="107"/>
    <x v="101"/>
    <x v="3"/>
    <n v="100000"/>
    <x v="20"/>
    <s v="F"/>
    <x v="3"/>
    <x v="3"/>
  </r>
  <r>
    <n v="1564030"/>
    <n v="1844"/>
    <s v="Singapore"/>
    <d v="2023-12-30T00:00:00"/>
    <x v="0"/>
    <x v="59"/>
    <n v="9452"/>
    <s v="Singapore"/>
    <x v="2"/>
    <x v="126"/>
    <x v="1"/>
    <n v="100000"/>
    <x v="1"/>
    <s v="F"/>
    <x v="51"/>
    <x v="1"/>
  </r>
  <r>
    <n v="1564843"/>
    <n v="1271"/>
    <s v="France"/>
    <d v="2023-02-16T01:53:00"/>
    <x v="0"/>
    <x v="86"/>
    <n v="2114"/>
    <s v="France"/>
    <x v="197"/>
    <x v="102"/>
    <x v="0"/>
    <n v="150000"/>
    <x v="11"/>
    <s v="F"/>
    <x v="64"/>
    <x v="3"/>
  </r>
  <r>
    <n v="1564926"/>
    <n v="1519"/>
    <s v="Spain"/>
    <d v="2023-04-23T22:50:00"/>
    <x v="3"/>
    <x v="53"/>
    <n v="6988"/>
    <s v="Spain"/>
    <x v="218"/>
    <x v="133"/>
    <x v="0"/>
    <n v="50000"/>
    <x v="11"/>
    <s v="M"/>
    <x v="1"/>
    <x v="1"/>
  </r>
  <r>
    <n v="1565544"/>
    <n v="1432"/>
    <s v="USA"/>
    <d v="2023-01-10T00:53:00"/>
    <x v="1"/>
    <x v="88"/>
    <n v="1232"/>
    <s v="USA"/>
    <x v="293"/>
    <x v="36"/>
    <x v="3"/>
    <n v="30000"/>
    <x v="29"/>
    <s v="F"/>
    <x v="35"/>
    <x v="3"/>
  </r>
  <r>
    <n v="1566865"/>
    <n v="1937"/>
    <s v="Austria"/>
    <d v="2023-11-27T01:28:00"/>
    <x v="0"/>
    <x v="20"/>
    <n v="1543"/>
    <s v="Austria"/>
    <x v="13"/>
    <x v="49"/>
    <x v="1"/>
    <n v="200000"/>
    <x v="17"/>
    <s v="F"/>
    <x v="18"/>
    <x v="1"/>
  </r>
  <r>
    <n v="1567251"/>
    <n v="1808"/>
    <s v="Italy"/>
    <d v="2023-07-28T01:58:00"/>
    <x v="1"/>
    <x v="14"/>
    <n v="5439"/>
    <s v="Italy"/>
    <x v="209"/>
    <x v="157"/>
    <x v="3"/>
    <n v="200000"/>
    <x v="13"/>
    <s v="F"/>
    <x v="9"/>
    <x v="1"/>
  </r>
  <r>
    <n v="1567280"/>
    <n v="634"/>
    <s v="USA"/>
    <d v="2023-11-23T22:58:00"/>
    <x v="3"/>
    <x v="21"/>
    <n v="9698"/>
    <s v="USA"/>
    <x v="7"/>
    <x v="158"/>
    <x v="0"/>
    <n v="100000"/>
    <x v="4"/>
    <s v="M"/>
    <x v="14"/>
    <x v="0"/>
  </r>
  <r>
    <n v="1568848"/>
    <n v="1783"/>
    <s v="USA"/>
    <d v="2023-07-16T00:51:00"/>
    <x v="3"/>
    <x v="1"/>
    <n v="8771"/>
    <s v="USA"/>
    <x v="220"/>
    <x v="93"/>
    <x v="1"/>
    <n v="200000"/>
    <x v="1"/>
    <s v="M"/>
    <x v="18"/>
    <x v="1"/>
  </r>
  <r>
    <n v="1569922"/>
    <n v="1948"/>
    <s v="USA"/>
    <d v="2023-03-07T23:40:00"/>
    <x v="2"/>
    <x v="12"/>
    <n v="3425"/>
    <s v="USA"/>
    <x v="87"/>
    <x v="1"/>
    <x v="0"/>
    <n v="80000"/>
    <x v="11"/>
    <s v="F"/>
    <x v="33"/>
    <x v="1"/>
  </r>
  <r>
    <n v="1570720"/>
    <n v="1593"/>
    <s v="France"/>
    <d v="2023-10-21T22:35:00"/>
    <x v="2"/>
    <x v="70"/>
    <n v="414"/>
    <s v="France"/>
    <x v="96"/>
    <x v="55"/>
    <x v="3"/>
    <n v="150000"/>
    <x v="29"/>
    <s v="F"/>
    <x v="6"/>
    <x v="1"/>
  </r>
  <r>
    <n v="1571075"/>
    <n v="660"/>
    <s v="USA"/>
    <d v="2023-05-25T01:24:00"/>
    <x v="0"/>
    <x v="66"/>
    <n v="4346"/>
    <s v="USA"/>
    <x v="262"/>
    <x v="124"/>
    <x v="1"/>
    <n v="100000"/>
    <x v="8"/>
    <s v="M"/>
    <x v="12"/>
    <x v="0"/>
  </r>
  <r>
    <n v="1576077"/>
    <n v="1385"/>
    <s v="USA"/>
    <d v="2023-11-10T23:05:00"/>
    <x v="2"/>
    <x v="1"/>
    <n v="9058"/>
    <s v="USA"/>
    <x v="283"/>
    <x v="159"/>
    <x v="1"/>
    <n v="200000"/>
    <x v="1"/>
    <s v="M"/>
    <x v="24"/>
    <x v="3"/>
  </r>
  <r>
    <n v="1576972"/>
    <n v="1702"/>
    <s v="Italy"/>
    <d v="2023-10-25T00:58:00"/>
    <x v="0"/>
    <x v="39"/>
    <n v="8340"/>
    <s v="Italy"/>
    <x v="343"/>
    <x v="28"/>
    <x v="3"/>
    <n v="1000000"/>
    <x v="6"/>
    <s v="M"/>
    <x v="47"/>
    <x v="1"/>
  </r>
  <r>
    <n v="1578400"/>
    <n v="1795"/>
    <s v="France"/>
    <d v="2023-01-12T00:01:00"/>
    <x v="0"/>
    <x v="3"/>
    <n v="5568"/>
    <s v="France"/>
    <x v="76"/>
    <x v="63"/>
    <x v="2"/>
    <n v="150000"/>
    <x v="3"/>
    <s v="M"/>
    <x v="62"/>
    <x v="1"/>
  </r>
  <r>
    <n v="1579155"/>
    <n v="796"/>
    <s v="Finland"/>
    <d v="2023-02-16T00:54:00"/>
    <x v="3"/>
    <x v="4"/>
    <n v="799"/>
    <s v="Finland"/>
    <x v="197"/>
    <x v="73"/>
    <x v="0"/>
    <n v="200000"/>
    <x v="4"/>
    <s v="F"/>
    <x v="18"/>
    <x v="0"/>
  </r>
  <r>
    <n v="1580103"/>
    <n v="689"/>
    <s v="France"/>
    <d v="2023-03-07T00:57:00"/>
    <x v="0"/>
    <x v="42"/>
    <n v="5667"/>
    <s v="France"/>
    <x v="87"/>
    <x v="42"/>
    <x v="0"/>
    <n v="200000"/>
    <x v="14"/>
    <s v="F"/>
    <x v="10"/>
    <x v="0"/>
  </r>
  <r>
    <n v="1580615"/>
    <n v="932"/>
    <s v="Switzerland"/>
    <d v="2023-11-15T00:23:00"/>
    <x v="2"/>
    <x v="6"/>
    <n v="1629"/>
    <s v="Switzerland"/>
    <x v="355"/>
    <x v="6"/>
    <x v="3"/>
    <n v="150000"/>
    <x v="6"/>
    <s v="F"/>
    <x v="57"/>
    <x v="0"/>
  </r>
  <r>
    <n v="1580632"/>
    <n v="1084"/>
    <s v="India"/>
    <d v="2023-10-17T01:12:00"/>
    <x v="0"/>
    <x v="23"/>
    <n v="9219"/>
    <s v="India"/>
    <x v="152"/>
    <x v="52"/>
    <x v="0"/>
    <n v="1000000"/>
    <x v="12"/>
    <s v="M"/>
    <x v="21"/>
    <x v="3"/>
  </r>
  <r>
    <n v="1580986"/>
    <n v="523"/>
    <s v="USA"/>
    <d v="2023-09-06T02:05:00"/>
    <x v="2"/>
    <x v="9"/>
    <n v="438"/>
    <s v="USA"/>
    <x v="339"/>
    <x v="160"/>
    <x v="1"/>
    <n v="150000"/>
    <x v="9"/>
    <s v="M"/>
    <x v="47"/>
    <x v="0"/>
  </r>
  <r>
    <n v="1582168"/>
    <n v="1048"/>
    <s v="India"/>
    <d v="2023-11-24T00:52:00"/>
    <x v="2"/>
    <x v="6"/>
    <n v="9234"/>
    <s v="India"/>
    <x v="126"/>
    <x v="30"/>
    <x v="3"/>
    <n v="150000"/>
    <x v="6"/>
    <s v="F"/>
    <x v="47"/>
    <x v="3"/>
  </r>
  <r>
    <n v="1582591"/>
    <n v="618"/>
    <s v="Finland"/>
    <d v="2023-10-05T01:34:00"/>
    <x v="3"/>
    <x v="11"/>
    <n v="6609"/>
    <s v="Finland"/>
    <x v="75"/>
    <x v="161"/>
    <x v="1"/>
    <n v="150000"/>
    <x v="1"/>
    <s v="F"/>
    <x v="30"/>
    <x v="0"/>
  </r>
  <r>
    <n v="1583961"/>
    <n v="729"/>
    <s v="Italy"/>
    <d v="2023-05-06T00:39:00"/>
    <x v="1"/>
    <x v="9"/>
    <n v="6820"/>
    <s v="Italy"/>
    <x v="288"/>
    <x v="11"/>
    <x v="1"/>
    <n v="150000"/>
    <x v="9"/>
    <s v="M"/>
    <x v="50"/>
    <x v="0"/>
  </r>
  <r>
    <n v="1584433"/>
    <n v="1648"/>
    <s v="Germany"/>
    <d v="2023-01-04T01:51:00"/>
    <x v="2"/>
    <x v="58"/>
    <n v="1991"/>
    <s v="Germany"/>
    <x v="203"/>
    <x v="104"/>
    <x v="3"/>
    <n v="100000"/>
    <x v="20"/>
    <s v="M"/>
    <x v="61"/>
    <x v="1"/>
  </r>
  <r>
    <n v="1584769"/>
    <n v="1176"/>
    <s v="USA"/>
    <d v="2023-10-08T23:22:00"/>
    <x v="1"/>
    <x v="71"/>
    <n v="1945"/>
    <s v="USA"/>
    <x v="319"/>
    <x v="137"/>
    <x v="1"/>
    <n v="50000"/>
    <x v="8"/>
    <s v="F"/>
    <x v="20"/>
    <x v="3"/>
  </r>
  <r>
    <n v="1585229"/>
    <n v="187"/>
    <s v="France"/>
    <d v="2023-02-06T00:16:00"/>
    <x v="3"/>
    <x v="15"/>
    <n v="7994"/>
    <s v="France"/>
    <x v="49"/>
    <x v="61"/>
    <x v="0"/>
    <n v="150000"/>
    <x v="14"/>
    <s v="F"/>
    <x v="17"/>
    <x v="2"/>
  </r>
  <r>
    <n v="1585349"/>
    <n v="716"/>
    <s v="India"/>
    <d v="2023-02-25T23:13:00"/>
    <x v="3"/>
    <x v="16"/>
    <n v="9212"/>
    <s v="India"/>
    <x v="84"/>
    <x v="15"/>
    <x v="4"/>
    <n v="150000"/>
    <x v="15"/>
    <s v="M"/>
    <x v="46"/>
    <x v="0"/>
  </r>
  <r>
    <n v="1585425"/>
    <n v="1009"/>
    <s v="USA"/>
    <d v="2023-03-22T23:33:00"/>
    <x v="0"/>
    <x v="17"/>
    <n v="3322"/>
    <s v="USA"/>
    <x v="296"/>
    <x v="62"/>
    <x v="0"/>
    <n v="150000"/>
    <x v="14"/>
    <s v="F"/>
    <x v="60"/>
    <x v="3"/>
  </r>
  <r>
    <n v="1585483"/>
    <n v="1389"/>
    <s v="USA"/>
    <d v="2023-11-12T00:34:00"/>
    <x v="3"/>
    <x v="79"/>
    <n v="521"/>
    <s v="USA"/>
    <x v="109"/>
    <x v="21"/>
    <x v="1"/>
    <n v="200000"/>
    <x v="9"/>
    <s v="F"/>
    <x v="3"/>
    <x v="3"/>
  </r>
  <r>
    <n v="1586073"/>
    <n v="1330"/>
    <s v="Australia"/>
    <d v="2023-09-10T00:40:00"/>
    <x v="3"/>
    <x v="45"/>
    <n v="9985"/>
    <s v="Australia"/>
    <x v="22"/>
    <x v="51"/>
    <x v="4"/>
    <n v="100000"/>
    <x v="25"/>
    <s v="M"/>
    <x v="0"/>
    <x v="3"/>
  </r>
  <r>
    <n v="1586149"/>
    <n v="1596"/>
    <s v="USA"/>
    <d v="2023-03-25T23:29:00"/>
    <x v="3"/>
    <x v="19"/>
    <n v="5945"/>
    <s v="USA"/>
    <x v="118"/>
    <x v="71"/>
    <x v="0"/>
    <n v="150000"/>
    <x v="16"/>
    <s v="F"/>
    <x v="60"/>
    <x v="1"/>
  </r>
  <r>
    <n v="1586243"/>
    <n v="1472"/>
    <s v="USA"/>
    <d v="2023-07-08T01:42:00"/>
    <x v="2"/>
    <x v="23"/>
    <n v="2468"/>
    <s v="USA"/>
    <x v="210"/>
    <x v="14"/>
    <x v="0"/>
    <n v="1000000"/>
    <x v="12"/>
    <s v="F"/>
    <x v="69"/>
    <x v="3"/>
  </r>
  <r>
    <n v="1587760"/>
    <n v="1290"/>
    <s v="USA"/>
    <d v="2023-12-02T00:38:00"/>
    <x v="3"/>
    <x v="50"/>
    <n v="9238"/>
    <s v="USA"/>
    <x v="180"/>
    <x v="162"/>
    <x v="2"/>
    <n v="100000"/>
    <x v="27"/>
    <s v="M"/>
    <x v="34"/>
    <x v="3"/>
  </r>
  <r>
    <n v="1587777"/>
    <n v="1962"/>
    <s v="USA"/>
    <d v="2023-12-11T00:12:00"/>
    <x v="3"/>
    <x v="14"/>
    <n v="9310"/>
    <s v="USA"/>
    <x v="224"/>
    <x v="19"/>
    <x v="3"/>
    <n v="200000"/>
    <x v="13"/>
    <s v="M"/>
    <x v="12"/>
    <x v="1"/>
  </r>
  <r>
    <n v="1587832"/>
    <n v="1483"/>
    <s v="USA"/>
    <d v="2023-11-09T23:05:00"/>
    <x v="2"/>
    <x v="39"/>
    <n v="3831"/>
    <s v="USA"/>
    <x v="119"/>
    <x v="159"/>
    <x v="3"/>
    <n v="1000000"/>
    <x v="6"/>
    <s v="M"/>
    <x v="43"/>
    <x v="3"/>
  </r>
  <r>
    <n v="1587870"/>
    <n v="1515"/>
    <s v="USA"/>
    <d v="2023-06-01T23:06:00"/>
    <x v="2"/>
    <x v="22"/>
    <n v="3277"/>
    <s v="USA"/>
    <x v="228"/>
    <x v="163"/>
    <x v="3"/>
    <n v="100000"/>
    <x v="13"/>
    <s v="M"/>
    <x v="26"/>
    <x v="1"/>
  </r>
  <r>
    <n v="1587900"/>
    <n v="1466"/>
    <s v="Ireland"/>
    <d v="2023-05-26T00:18:00"/>
    <x v="1"/>
    <x v="86"/>
    <n v="465"/>
    <s v="Ireland"/>
    <x v="221"/>
    <x v="139"/>
    <x v="0"/>
    <n v="150000"/>
    <x v="11"/>
    <s v="F"/>
    <x v="36"/>
    <x v="3"/>
  </r>
  <r>
    <n v="1589059"/>
    <n v="1381"/>
    <s v="USA"/>
    <d v="2023-04-13T00:48:00"/>
    <x v="2"/>
    <x v="10"/>
    <n v="8578"/>
    <s v="USA"/>
    <x v="260"/>
    <x v="88"/>
    <x v="0"/>
    <n v="250000"/>
    <x v="10"/>
    <s v="M"/>
    <x v="9"/>
    <x v="3"/>
  </r>
  <r>
    <n v="1589657"/>
    <n v="880"/>
    <s v="India"/>
    <d v="2023-04-12T23:45:00"/>
    <x v="0"/>
    <x v="23"/>
    <n v="3223"/>
    <s v="India"/>
    <x v="361"/>
    <x v="164"/>
    <x v="0"/>
    <n v="1000000"/>
    <x v="12"/>
    <s v="M"/>
    <x v="60"/>
    <x v="0"/>
  </r>
  <r>
    <n v="1589664"/>
    <n v="98"/>
    <s v="Denmark"/>
    <d v="2023-10-18T01:39:00"/>
    <x v="2"/>
    <x v="50"/>
    <n v="9044"/>
    <s v="Denmark"/>
    <x v="47"/>
    <x v="152"/>
    <x v="2"/>
    <n v="100000"/>
    <x v="27"/>
    <s v="M"/>
    <x v="31"/>
    <x v="2"/>
  </r>
  <r>
    <n v="1590156"/>
    <n v="131"/>
    <s v="Italy"/>
    <d v="2023-03-30T23:46:00"/>
    <x v="3"/>
    <x v="23"/>
    <n v="8404"/>
    <s v="Italy"/>
    <x v="101"/>
    <x v="9"/>
    <x v="0"/>
    <n v="1000000"/>
    <x v="12"/>
    <s v="F"/>
    <x v="70"/>
    <x v="2"/>
  </r>
  <r>
    <n v="1592825"/>
    <n v="1447"/>
    <s v="Singapore"/>
    <d v="2023-07-06T01:23:00"/>
    <x v="3"/>
    <x v="5"/>
    <n v="7216"/>
    <s v="Singapore"/>
    <x v="191"/>
    <x v="83"/>
    <x v="2"/>
    <n v="150000"/>
    <x v="5"/>
    <s v="F"/>
    <x v="1"/>
    <x v="3"/>
  </r>
  <r>
    <n v="1594427"/>
    <n v="822"/>
    <s v="USA"/>
    <d v="2023-12-12T22:47:00"/>
    <x v="3"/>
    <x v="32"/>
    <n v="4417"/>
    <s v="USA"/>
    <x v="92"/>
    <x v="165"/>
    <x v="4"/>
    <n v="100000"/>
    <x v="23"/>
    <s v="F"/>
    <x v="65"/>
    <x v="0"/>
  </r>
  <r>
    <n v="1594617"/>
    <n v="1747"/>
    <s v="USA"/>
    <d v="2023-05-16T00:47:00"/>
    <x v="3"/>
    <x v="44"/>
    <n v="4361"/>
    <s v="USA"/>
    <x v="144"/>
    <x v="75"/>
    <x v="0"/>
    <n v="100000"/>
    <x v="12"/>
    <s v="F"/>
    <x v="57"/>
    <x v="1"/>
  </r>
  <r>
    <n v="1594721"/>
    <n v="1894"/>
    <s v="Spain"/>
    <d v="2023-07-16T23:55:00"/>
    <x v="0"/>
    <x v="10"/>
    <n v="5493"/>
    <s v="Spain"/>
    <x v="220"/>
    <x v="166"/>
    <x v="0"/>
    <n v="250000"/>
    <x v="10"/>
    <s v="M"/>
    <x v="45"/>
    <x v="1"/>
  </r>
  <r>
    <n v="1594992"/>
    <n v="114"/>
    <s v="USA"/>
    <d v="2023-12-10T23:18:00"/>
    <x v="3"/>
    <x v="57"/>
    <n v="1650"/>
    <s v="USA"/>
    <x v="309"/>
    <x v="140"/>
    <x v="0"/>
    <n v="80000"/>
    <x v="0"/>
    <s v="M"/>
    <x v="4"/>
    <x v="2"/>
  </r>
  <r>
    <n v="1595227"/>
    <n v="441"/>
    <s v="USA"/>
    <d v="2023-07-14T00:48:00"/>
    <x v="1"/>
    <x v="61"/>
    <n v="4974"/>
    <s v="USA"/>
    <x v="344"/>
    <x v="88"/>
    <x v="4"/>
    <n v="200000"/>
    <x v="28"/>
    <s v="M"/>
    <x v="55"/>
    <x v="2"/>
  </r>
  <r>
    <n v="1595262"/>
    <n v="1837"/>
    <s v="Switzerland"/>
    <d v="2023-09-20T23:31:00"/>
    <x v="0"/>
    <x v="23"/>
    <n v="8118"/>
    <s v="Switzerland"/>
    <x v="273"/>
    <x v="57"/>
    <x v="0"/>
    <n v="1000000"/>
    <x v="12"/>
    <s v="F"/>
    <x v="27"/>
    <x v="1"/>
  </r>
  <r>
    <n v="1597150"/>
    <n v="1599"/>
    <s v="USA"/>
    <d v="2023-11-12T00:19:00"/>
    <x v="1"/>
    <x v="14"/>
    <n v="3756"/>
    <s v="USA"/>
    <x v="109"/>
    <x v="167"/>
    <x v="3"/>
    <n v="200000"/>
    <x v="13"/>
    <s v="M"/>
    <x v="49"/>
    <x v="1"/>
  </r>
  <r>
    <n v="1598652"/>
    <n v="191"/>
    <s v="Germany"/>
    <d v="2023-10-26T23:32:00"/>
    <x v="3"/>
    <x v="85"/>
    <n v="2084"/>
    <s v="Germany"/>
    <x v="4"/>
    <x v="91"/>
    <x v="2"/>
    <n v="150000"/>
    <x v="21"/>
    <s v="F"/>
    <x v="12"/>
    <x v="2"/>
  </r>
  <r>
    <n v="1599039"/>
    <n v="1483"/>
    <s v="USA"/>
    <d v="2023-01-23T22:54:00"/>
    <x v="1"/>
    <x v="89"/>
    <n v="9658"/>
    <s v="USA"/>
    <x v="21"/>
    <x v="105"/>
    <x v="4"/>
    <n v="30000"/>
    <x v="23"/>
    <s v="M"/>
    <x v="43"/>
    <x v="3"/>
  </r>
  <r>
    <n v="1599499"/>
    <n v="427"/>
    <s v="India"/>
    <d v="2023-03-13T23:51:00"/>
    <x v="2"/>
    <x v="47"/>
    <n v="3608"/>
    <s v="India"/>
    <x v="317"/>
    <x v="87"/>
    <x v="3"/>
    <n v="100000"/>
    <x v="20"/>
    <s v="M"/>
    <x v="0"/>
    <x v="2"/>
  </r>
  <r>
    <n v="1599786"/>
    <n v="821"/>
    <s v="Italy"/>
    <d v="2023-01-19T23:25:00"/>
    <x v="3"/>
    <x v="59"/>
    <n v="480"/>
    <s v="Italy"/>
    <x v="18"/>
    <x v="141"/>
    <x v="1"/>
    <n v="100000"/>
    <x v="1"/>
    <s v="F"/>
    <x v="62"/>
    <x v="0"/>
  </r>
  <r>
    <n v="1600216"/>
    <n v="314"/>
    <s v="Spain"/>
    <d v="2023-11-19T00:15:00"/>
    <x v="3"/>
    <x v="86"/>
    <n v="8607"/>
    <s v="Spain"/>
    <x v="249"/>
    <x v="123"/>
    <x v="0"/>
    <n v="150000"/>
    <x v="11"/>
    <s v="M"/>
    <x v="4"/>
    <x v="2"/>
  </r>
  <r>
    <n v="1602189"/>
    <n v="676"/>
    <s v="India"/>
    <d v="2023-07-09T00:52:00"/>
    <x v="3"/>
    <x v="53"/>
    <n v="179"/>
    <s v="India"/>
    <x v="63"/>
    <x v="30"/>
    <x v="0"/>
    <n v="50000"/>
    <x v="11"/>
    <s v="F"/>
    <x v="8"/>
    <x v="0"/>
  </r>
  <r>
    <n v="1604175"/>
    <n v="265"/>
    <s v="Australia"/>
    <d v="2023-04-30T00:17:00"/>
    <x v="2"/>
    <x v="88"/>
    <n v="5731"/>
    <s v="Australia"/>
    <x v="295"/>
    <x v="20"/>
    <x v="3"/>
    <n v="30000"/>
    <x v="29"/>
    <s v="M"/>
    <x v="50"/>
    <x v="2"/>
  </r>
  <r>
    <n v="1604289"/>
    <n v="214"/>
    <s v="USA"/>
    <d v="2023-04-15T01:58:00"/>
    <x v="2"/>
    <x v="20"/>
    <n v="9600"/>
    <s v="USA"/>
    <x v="245"/>
    <x v="157"/>
    <x v="1"/>
    <n v="200000"/>
    <x v="17"/>
    <s v="F"/>
    <x v="65"/>
    <x v="2"/>
  </r>
  <r>
    <n v="1604334"/>
    <n v="1237"/>
    <s v="USA"/>
    <d v="2023-12-17T23:32:00"/>
    <x v="1"/>
    <x v="14"/>
    <n v="4433"/>
    <s v="USA"/>
    <x v="72"/>
    <x v="91"/>
    <x v="3"/>
    <n v="200000"/>
    <x v="13"/>
    <s v="F"/>
    <x v="27"/>
    <x v="3"/>
  </r>
  <r>
    <n v="1605621"/>
    <n v="98"/>
    <s v="Denmark"/>
    <d v="2023-09-05T01:33:00"/>
    <x v="3"/>
    <x v="21"/>
    <n v="4118"/>
    <s v="Denmark"/>
    <x v="86"/>
    <x v="47"/>
    <x v="0"/>
    <n v="100000"/>
    <x v="4"/>
    <s v="M"/>
    <x v="31"/>
    <x v="2"/>
  </r>
  <r>
    <n v="1605700"/>
    <n v="1574"/>
    <s v="Austria"/>
    <d v="2023-02-09T01:00:00"/>
    <x v="0"/>
    <x v="1"/>
    <n v="2305"/>
    <s v="Austria"/>
    <x v="177"/>
    <x v="168"/>
    <x v="1"/>
    <n v="200000"/>
    <x v="1"/>
    <s v="F"/>
    <x v="40"/>
    <x v="1"/>
  </r>
  <r>
    <n v="1605731"/>
    <n v="564"/>
    <s v="USA"/>
    <d v="2023-06-24T00:02:00"/>
    <x v="1"/>
    <x v="12"/>
    <n v="6271"/>
    <s v="USA"/>
    <x v="53"/>
    <x v="89"/>
    <x v="0"/>
    <n v="80000"/>
    <x v="11"/>
    <s v="F"/>
    <x v="69"/>
    <x v="0"/>
  </r>
  <r>
    <n v="1605754"/>
    <n v="1734"/>
    <s v="USA"/>
    <d v="2023-06-09T01:16:00"/>
    <x v="1"/>
    <x v="70"/>
    <n v="504"/>
    <s v="USA"/>
    <x v="61"/>
    <x v="84"/>
    <x v="3"/>
    <n v="150000"/>
    <x v="29"/>
    <s v="M"/>
    <x v="14"/>
    <x v="1"/>
  </r>
  <r>
    <n v="1607015"/>
    <n v="1741"/>
    <s v="USA"/>
    <d v="2023-12-26T01:08:00"/>
    <x v="1"/>
    <x v="23"/>
    <n v="4369"/>
    <s v="USA"/>
    <x v="81"/>
    <x v="37"/>
    <x v="0"/>
    <n v="1000000"/>
    <x v="12"/>
    <s v="F"/>
    <x v="37"/>
    <x v="1"/>
  </r>
  <r>
    <n v="1607569"/>
    <n v="1930"/>
    <s v="USA"/>
    <d v="2023-09-07T23:47:00"/>
    <x v="2"/>
    <x v="27"/>
    <n v="1307"/>
    <s v="USA"/>
    <x v="196"/>
    <x v="100"/>
    <x v="1"/>
    <n v="80000"/>
    <x v="7"/>
    <s v="F"/>
    <x v="28"/>
    <x v="1"/>
  </r>
  <r>
    <n v="1608036"/>
    <n v="1794"/>
    <s v="Australia"/>
    <d v="2023-08-22T23:43:00"/>
    <x v="0"/>
    <x v="74"/>
    <n v="3016"/>
    <s v="Australia"/>
    <x v="183"/>
    <x v="169"/>
    <x v="1"/>
    <n v="200000"/>
    <x v="18"/>
    <s v="M"/>
    <x v="10"/>
    <x v="1"/>
  </r>
  <r>
    <n v="1609306"/>
    <n v="529"/>
    <s v="India"/>
    <d v="2023-12-01T01:21:00"/>
    <x v="3"/>
    <x v="73"/>
    <n v="847"/>
    <s v="India"/>
    <x v="326"/>
    <x v="128"/>
    <x v="4"/>
    <n v="100000"/>
    <x v="25"/>
    <s v="M"/>
    <x v="60"/>
    <x v="0"/>
  </r>
  <r>
    <n v="1609928"/>
    <n v="1237"/>
    <s v="USA"/>
    <d v="2023-06-05T00:58:00"/>
    <x v="3"/>
    <x v="60"/>
    <n v="373"/>
    <s v="USA"/>
    <x v="12"/>
    <x v="28"/>
    <x v="1"/>
    <n v="100000"/>
    <x v="26"/>
    <s v="F"/>
    <x v="27"/>
    <x v="3"/>
  </r>
  <r>
    <n v="1610660"/>
    <n v="1126"/>
    <s v="France"/>
    <d v="2023-03-15T23:51:00"/>
    <x v="2"/>
    <x v="26"/>
    <n v="4580"/>
    <s v="France"/>
    <x v="225"/>
    <x v="87"/>
    <x v="2"/>
    <n v="200000"/>
    <x v="19"/>
    <s v="M"/>
    <x v="48"/>
    <x v="3"/>
  </r>
  <r>
    <n v="1611854"/>
    <n v="1101"/>
    <s v="India"/>
    <d v="2023-07-08T23:58:00"/>
    <x v="0"/>
    <x v="70"/>
    <n v="508"/>
    <s v="India"/>
    <x v="210"/>
    <x v="96"/>
    <x v="3"/>
    <n v="150000"/>
    <x v="29"/>
    <s v="F"/>
    <x v="18"/>
    <x v="3"/>
  </r>
  <r>
    <n v="1612026"/>
    <n v="730"/>
    <s v="Austria"/>
    <d v="2023-01-25T01:29:00"/>
    <x v="3"/>
    <x v="81"/>
    <n v="5053"/>
    <s v="Austria"/>
    <x v="308"/>
    <x v="103"/>
    <x v="4"/>
    <n v="100000"/>
    <x v="15"/>
    <s v="F"/>
    <x v="57"/>
    <x v="0"/>
  </r>
  <r>
    <n v="1612028"/>
    <n v="1167"/>
    <s v="USA"/>
    <d v="2023-01-18T23:58:00"/>
    <x v="1"/>
    <x v="47"/>
    <n v="9324"/>
    <s v="USA"/>
    <x v="247"/>
    <x v="96"/>
    <x v="3"/>
    <n v="100000"/>
    <x v="20"/>
    <s v="M"/>
    <x v="61"/>
    <x v="3"/>
  </r>
  <r>
    <n v="1613483"/>
    <n v="296"/>
    <s v="Denmark"/>
    <d v="2023-10-20T01:05:00"/>
    <x v="0"/>
    <x v="64"/>
    <n v="2248"/>
    <s v="Denmark"/>
    <x v="55"/>
    <x v="12"/>
    <x v="2"/>
    <n v="100000"/>
    <x v="3"/>
    <s v="F"/>
    <x v="41"/>
    <x v="2"/>
  </r>
  <r>
    <n v="1615509"/>
    <n v="63"/>
    <s v="Norway"/>
    <d v="2023-10-30T22:32:00"/>
    <x v="0"/>
    <x v="75"/>
    <n v="7909"/>
    <s v="Norway"/>
    <x v="300"/>
    <x v="170"/>
    <x v="1"/>
    <n v="50000"/>
    <x v="7"/>
    <s v="M"/>
    <x v="12"/>
    <x v="2"/>
  </r>
  <r>
    <n v="1616083"/>
    <n v="894"/>
    <s v="Australia"/>
    <d v="2023-06-13T00:54:00"/>
    <x v="3"/>
    <x v="72"/>
    <n v="9153"/>
    <s v="Australia"/>
    <x v="252"/>
    <x v="73"/>
    <x v="0"/>
    <n v="80000"/>
    <x v="4"/>
    <s v="F"/>
    <x v="2"/>
    <x v="0"/>
  </r>
  <r>
    <n v="1616804"/>
    <n v="902"/>
    <s v="USA"/>
    <d v="2023-04-07T23:00:00"/>
    <x v="3"/>
    <x v="23"/>
    <n v="8265"/>
    <s v="USA"/>
    <x v="194"/>
    <x v="171"/>
    <x v="0"/>
    <n v="1000000"/>
    <x v="12"/>
    <s v="F"/>
    <x v="43"/>
    <x v="0"/>
  </r>
  <r>
    <n v="1617273"/>
    <n v="547"/>
    <s v="USA"/>
    <d v="2023-08-18T00:04:00"/>
    <x v="3"/>
    <x v="65"/>
    <n v="2095"/>
    <s v="USA"/>
    <x v="150"/>
    <x v="64"/>
    <x v="4"/>
    <n v="250000"/>
    <x v="28"/>
    <s v="F"/>
    <x v="45"/>
    <x v="0"/>
  </r>
  <r>
    <n v="1617524"/>
    <n v="34"/>
    <s v="Australia"/>
    <d v="2023-02-11T23:42:00"/>
    <x v="0"/>
    <x v="39"/>
    <n v="1527"/>
    <s v="Australia"/>
    <x v="104"/>
    <x v="38"/>
    <x v="3"/>
    <n v="1000000"/>
    <x v="6"/>
    <s v="F"/>
    <x v="1"/>
    <x v="2"/>
  </r>
  <r>
    <n v="1620752"/>
    <n v="1687"/>
    <s v="Australia"/>
    <d v="2023-10-13T23:37:00"/>
    <x v="0"/>
    <x v="39"/>
    <n v="7191"/>
    <s v="Australia"/>
    <x v="17"/>
    <x v="78"/>
    <x v="3"/>
    <n v="1000000"/>
    <x v="6"/>
    <s v="M"/>
    <x v="4"/>
    <x v="1"/>
  </r>
  <r>
    <n v="1622340"/>
    <n v="1487"/>
    <s v="Italy"/>
    <d v="2023-05-06T00:14:00"/>
    <x v="1"/>
    <x v="0"/>
    <n v="4769"/>
    <s v="Italy"/>
    <x v="288"/>
    <x v="172"/>
    <x v="0"/>
    <n v="200000"/>
    <x v="0"/>
    <s v="M"/>
    <x v="15"/>
    <x v="3"/>
  </r>
  <r>
    <n v="1622599"/>
    <n v="453"/>
    <s v="France"/>
    <d v="2023-01-14T23:51:00"/>
    <x v="3"/>
    <x v="15"/>
    <n v="8568"/>
    <s v="France"/>
    <x v="170"/>
    <x v="87"/>
    <x v="0"/>
    <n v="150000"/>
    <x v="14"/>
    <s v="M"/>
    <x v="44"/>
    <x v="2"/>
  </r>
  <r>
    <n v="1624567"/>
    <n v="977"/>
    <s v="India"/>
    <d v="2023-07-20T01:58:00"/>
    <x v="2"/>
    <x v="78"/>
    <n v="1814"/>
    <s v="India"/>
    <x v="265"/>
    <x v="157"/>
    <x v="0"/>
    <n v="100000"/>
    <x v="12"/>
    <s v="M"/>
    <x v="34"/>
    <x v="0"/>
  </r>
  <r>
    <n v="1625256"/>
    <n v="1551"/>
    <s v="USA"/>
    <d v="2023-08-30T01:53:00"/>
    <x v="1"/>
    <x v="17"/>
    <n v="2960"/>
    <s v="USA"/>
    <x v="74"/>
    <x v="102"/>
    <x v="0"/>
    <n v="150000"/>
    <x v="14"/>
    <s v="M"/>
    <x v="29"/>
    <x v="1"/>
  </r>
  <r>
    <n v="1625678"/>
    <n v="239"/>
    <s v="India"/>
    <d v="2023-06-01T00:12:00"/>
    <x v="0"/>
    <x v="62"/>
    <n v="1366"/>
    <s v="India"/>
    <x v="228"/>
    <x v="19"/>
    <x v="2"/>
    <n v="150000"/>
    <x v="27"/>
    <s v="F"/>
    <x v="55"/>
    <x v="2"/>
  </r>
  <r>
    <n v="1625859"/>
    <n v="1409"/>
    <s v="USA"/>
    <d v="2023-07-17T23:52:00"/>
    <x v="3"/>
    <x v="23"/>
    <n v="3766"/>
    <s v="USA"/>
    <x v="212"/>
    <x v="94"/>
    <x v="0"/>
    <n v="1000000"/>
    <x v="12"/>
    <s v="F"/>
    <x v="42"/>
    <x v="3"/>
  </r>
  <r>
    <n v="1626780"/>
    <n v="230"/>
    <s v="USA"/>
    <d v="2023-12-25T23:28:00"/>
    <x v="2"/>
    <x v="1"/>
    <n v="3369"/>
    <s v="USA"/>
    <x v="312"/>
    <x v="134"/>
    <x v="1"/>
    <n v="200000"/>
    <x v="1"/>
    <s v="M"/>
    <x v="33"/>
    <x v="2"/>
  </r>
  <r>
    <n v="1627081"/>
    <n v="741"/>
    <s v="USA"/>
    <d v="2023-01-09T01:36:00"/>
    <x v="0"/>
    <x v="39"/>
    <n v="5636"/>
    <s v="USA"/>
    <x v="313"/>
    <x v="173"/>
    <x v="3"/>
    <n v="1000000"/>
    <x v="6"/>
    <s v="F"/>
    <x v="5"/>
    <x v="0"/>
  </r>
  <r>
    <n v="1628939"/>
    <n v="1474"/>
    <s v="USA"/>
    <d v="2023-09-05T00:54:00"/>
    <x v="2"/>
    <x v="23"/>
    <n v="4675"/>
    <s v="USA"/>
    <x v="86"/>
    <x v="73"/>
    <x v="0"/>
    <n v="1000000"/>
    <x v="12"/>
    <s v="M"/>
    <x v="5"/>
    <x v="3"/>
  </r>
  <r>
    <n v="1629259"/>
    <n v="1982"/>
    <s v="Italy"/>
    <d v="2023-08-28T01:19:00"/>
    <x v="3"/>
    <x v="2"/>
    <n v="9052"/>
    <s v="Italy"/>
    <x v="207"/>
    <x v="95"/>
    <x v="2"/>
    <n v="100000"/>
    <x v="2"/>
    <s v="F"/>
    <x v="8"/>
    <x v="1"/>
  </r>
  <r>
    <n v="1629885"/>
    <n v="366"/>
    <s v="India"/>
    <d v="2023-08-31T23:57:00"/>
    <x v="0"/>
    <x v="23"/>
    <n v="6675"/>
    <s v="India"/>
    <x v="198"/>
    <x v="116"/>
    <x v="0"/>
    <n v="1000000"/>
    <x v="12"/>
    <s v="F"/>
    <x v="33"/>
    <x v="2"/>
  </r>
  <r>
    <n v="1629891"/>
    <n v="1088"/>
    <s v="India"/>
    <d v="2023-06-20T00:23:00"/>
    <x v="0"/>
    <x v="14"/>
    <n v="5428"/>
    <s v="India"/>
    <x v="168"/>
    <x v="6"/>
    <x v="3"/>
    <n v="200000"/>
    <x v="13"/>
    <s v="F"/>
    <x v="54"/>
    <x v="3"/>
  </r>
  <r>
    <n v="1630533"/>
    <n v="450"/>
    <s v="Italy"/>
    <d v="2023-04-11T00:46:00"/>
    <x v="0"/>
    <x v="23"/>
    <n v="1269"/>
    <s v="Italy"/>
    <x v="147"/>
    <x v="77"/>
    <x v="0"/>
    <n v="1000000"/>
    <x v="12"/>
    <s v="F"/>
    <x v="62"/>
    <x v="2"/>
  </r>
  <r>
    <n v="1630634"/>
    <n v="400"/>
    <s v="Australia"/>
    <d v="2023-03-10T01:04:00"/>
    <x v="1"/>
    <x v="26"/>
    <n v="4641"/>
    <s v="Australia"/>
    <x v="358"/>
    <x v="121"/>
    <x v="2"/>
    <n v="200000"/>
    <x v="19"/>
    <s v="M"/>
    <x v="16"/>
    <x v="2"/>
  </r>
  <r>
    <n v="1631258"/>
    <n v="1613"/>
    <s v="USA"/>
    <d v="2023-12-02T23:54:00"/>
    <x v="2"/>
    <x v="74"/>
    <n v="382"/>
    <s v="USA"/>
    <x v="180"/>
    <x v="174"/>
    <x v="1"/>
    <n v="200000"/>
    <x v="18"/>
    <s v="M"/>
    <x v="37"/>
    <x v="1"/>
  </r>
  <r>
    <n v="1631401"/>
    <n v="932"/>
    <s v="Switzerland"/>
    <d v="2023-06-25T01:54:00"/>
    <x v="1"/>
    <x v="39"/>
    <n v="638"/>
    <s v="Switzerland"/>
    <x v="138"/>
    <x v="143"/>
    <x v="3"/>
    <n v="1000000"/>
    <x v="6"/>
    <s v="F"/>
    <x v="57"/>
    <x v="0"/>
  </r>
  <r>
    <n v="1632433"/>
    <n v="520"/>
    <s v="Spain"/>
    <d v="2023-10-05T00:05:00"/>
    <x v="2"/>
    <x v="23"/>
    <n v="2927"/>
    <s v="Spain"/>
    <x v="75"/>
    <x v="48"/>
    <x v="0"/>
    <n v="1000000"/>
    <x v="12"/>
    <s v="M"/>
    <x v="49"/>
    <x v="0"/>
  </r>
  <r>
    <n v="1632791"/>
    <n v="1581"/>
    <s v="USA"/>
    <d v="2023-10-10T23:27:00"/>
    <x v="0"/>
    <x v="26"/>
    <n v="3408"/>
    <s v="USA"/>
    <x v="33"/>
    <x v="79"/>
    <x v="2"/>
    <n v="200000"/>
    <x v="19"/>
    <s v="M"/>
    <x v="33"/>
    <x v="1"/>
  </r>
  <r>
    <n v="1633524"/>
    <n v="1801"/>
    <s v="Spain"/>
    <d v="2023-07-12T00:11:00"/>
    <x v="3"/>
    <x v="70"/>
    <n v="6028"/>
    <s v="Spain"/>
    <x v="222"/>
    <x v="10"/>
    <x v="3"/>
    <n v="150000"/>
    <x v="29"/>
    <s v="F"/>
    <x v="62"/>
    <x v="1"/>
  </r>
  <r>
    <n v="1635379"/>
    <n v="1673"/>
    <s v="Spain"/>
    <d v="2023-04-12T00:48:00"/>
    <x v="1"/>
    <x v="50"/>
    <n v="5543"/>
    <s v="Spain"/>
    <x v="361"/>
    <x v="88"/>
    <x v="2"/>
    <n v="100000"/>
    <x v="27"/>
    <s v="M"/>
    <x v="35"/>
    <x v="1"/>
  </r>
  <r>
    <n v="1635597"/>
    <n v="1235"/>
    <s v="Singapore"/>
    <d v="2023-09-03T23:09:00"/>
    <x v="1"/>
    <x v="34"/>
    <n v="7590"/>
    <s v="Singapore"/>
    <x v="232"/>
    <x v="175"/>
    <x v="1"/>
    <n v="100000"/>
    <x v="24"/>
    <s v="M"/>
    <x v="45"/>
    <x v="3"/>
  </r>
  <r>
    <n v="1635802"/>
    <n v="1031"/>
    <s v="Australia"/>
    <d v="2023-12-27T23:52:00"/>
    <x v="2"/>
    <x v="30"/>
    <n v="67"/>
    <s v="Australia"/>
    <x v="292"/>
    <x v="94"/>
    <x v="2"/>
    <n v="150000"/>
    <x v="21"/>
    <s v="M"/>
    <x v="28"/>
    <x v="3"/>
  </r>
  <r>
    <n v="1638003"/>
    <n v="291"/>
    <s v="India"/>
    <d v="2023-11-30T22:47:00"/>
    <x v="1"/>
    <x v="75"/>
    <n v="4753"/>
    <s v="India"/>
    <x v="26"/>
    <x v="165"/>
    <x v="1"/>
    <n v="50000"/>
    <x v="7"/>
    <s v="F"/>
    <x v="60"/>
    <x v="2"/>
  </r>
  <r>
    <n v="1638963"/>
    <n v="1152"/>
    <s v="Spain"/>
    <d v="2023-03-06T01:32:00"/>
    <x v="2"/>
    <x v="72"/>
    <n v="1352"/>
    <s v="Spain"/>
    <x v="281"/>
    <x v="117"/>
    <x v="0"/>
    <n v="80000"/>
    <x v="4"/>
    <s v="M"/>
    <x v="25"/>
    <x v="3"/>
  </r>
  <r>
    <n v="1639546"/>
    <n v="1491"/>
    <s v="USA"/>
    <d v="2023-04-29T23:00:00"/>
    <x v="3"/>
    <x v="73"/>
    <n v="4460"/>
    <s v="USA"/>
    <x v="1"/>
    <x v="171"/>
    <x v="4"/>
    <n v="100000"/>
    <x v="25"/>
    <s v="F"/>
    <x v="25"/>
    <x v="3"/>
  </r>
  <r>
    <n v="1639990"/>
    <n v="1616"/>
    <s v="USA"/>
    <d v="2023-04-30T01:26:00"/>
    <x v="1"/>
    <x v="18"/>
    <n v="3972"/>
    <s v="USA"/>
    <x v="295"/>
    <x v="65"/>
    <x v="2"/>
    <n v="100000"/>
    <x v="5"/>
    <s v="F"/>
    <x v="4"/>
    <x v="1"/>
  </r>
  <r>
    <n v="1640444"/>
    <n v="823"/>
    <s v="France"/>
    <d v="2023-02-03T23:54:00"/>
    <x v="2"/>
    <x v="39"/>
    <n v="6055"/>
    <s v="France"/>
    <x v="151"/>
    <x v="174"/>
    <x v="3"/>
    <n v="1000000"/>
    <x v="6"/>
    <s v="F"/>
    <x v="42"/>
    <x v="0"/>
  </r>
  <r>
    <n v="1641043"/>
    <n v="42"/>
    <s v="Spain"/>
    <d v="2023-02-19T23:02:00"/>
    <x v="0"/>
    <x v="0"/>
    <n v="8182"/>
    <s v="Spain"/>
    <x v="110"/>
    <x v="114"/>
    <x v="0"/>
    <n v="200000"/>
    <x v="0"/>
    <s v="F"/>
    <x v="64"/>
    <x v="2"/>
  </r>
  <r>
    <n v="1641217"/>
    <n v="1098"/>
    <s v="Singapore"/>
    <d v="2023-05-06T00:44:00"/>
    <x v="2"/>
    <x v="77"/>
    <n v="8834"/>
    <s v="Singapore"/>
    <x v="288"/>
    <x v="85"/>
    <x v="1"/>
    <n v="250000"/>
    <x v="24"/>
    <s v="M"/>
    <x v="34"/>
    <x v="3"/>
  </r>
  <r>
    <n v="1642122"/>
    <n v="143"/>
    <s v="USA"/>
    <d v="2023-10-28T00:17:00"/>
    <x v="3"/>
    <x v="78"/>
    <n v="819"/>
    <s v="USA"/>
    <x v="65"/>
    <x v="20"/>
    <x v="0"/>
    <n v="100000"/>
    <x v="12"/>
    <s v="M"/>
    <x v="7"/>
    <x v="2"/>
  </r>
  <r>
    <n v="1642131"/>
    <n v="368"/>
    <s v="Finland"/>
    <d v="2023-07-16T00:20:00"/>
    <x v="0"/>
    <x v="17"/>
    <n v="419"/>
    <s v="Finland"/>
    <x v="220"/>
    <x v="68"/>
    <x v="0"/>
    <n v="150000"/>
    <x v="14"/>
    <s v="F"/>
    <x v="30"/>
    <x v="2"/>
  </r>
  <r>
    <n v="1642677"/>
    <n v="387"/>
    <s v="Australia"/>
    <d v="2023-02-04T23:10:00"/>
    <x v="3"/>
    <x v="27"/>
    <n v="8906"/>
    <s v="Australia"/>
    <x v="189"/>
    <x v="176"/>
    <x v="1"/>
    <n v="80000"/>
    <x v="7"/>
    <s v="F"/>
    <x v="10"/>
    <x v="2"/>
  </r>
  <r>
    <n v="1643238"/>
    <n v="455"/>
    <s v="Germany"/>
    <d v="2023-03-31T02:00:00"/>
    <x v="1"/>
    <x v="23"/>
    <n v="3777"/>
    <s v="Germany"/>
    <x v="60"/>
    <x v="23"/>
    <x v="0"/>
    <n v="1000000"/>
    <x v="12"/>
    <s v="F"/>
    <x v="44"/>
    <x v="2"/>
  </r>
  <r>
    <n v="1643298"/>
    <n v="1699"/>
    <s v="Australia"/>
    <d v="2023-04-19T23:45:00"/>
    <x v="2"/>
    <x v="1"/>
    <n v="6207"/>
    <s v="Australia"/>
    <x v="108"/>
    <x v="164"/>
    <x v="1"/>
    <n v="200000"/>
    <x v="1"/>
    <s v="F"/>
    <x v="29"/>
    <x v="1"/>
  </r>
  <r>
    <n v="1644933"/>
    <n v="164"/>
    <s v="USA"/>
    <d v="2023-07-20T00:29:00"/>
    <x v="3"/>
    <x v="35"/>
    <n v="3831"/>
    <s v="USA"/>
    <x v="265"/>
    <x v="50"/>
    <x v="4"/>
    <n v="100000"/>
    <x v="15"/>
    <s v="M"/>
    <x v="40"/>
    <x v="2"/>
  </r>
  <r>
    <n v="1644988"/>
    <n v="1400"/>
    <s v="USA"/>
    <d v="2023-10-27T00:35:00"/>
    <x v="2"/>
    <x v="23"/>
    <n v="523"/>
    <s v="USA"/>
    <x v="34"/>
    <x v="67"/>
    <x v="0"/>
    <n v="1000000"/>
    <x v="12"/>
    <s v="F"/>
    <x v="6"/>
    <x v="3"/>
  </r>
  <r>
    <n v="1646606"/>
    <n v="654"/>
    <s v="France"/>
    <d v="2023-11-13T23:33:00"/>
    <x v="3"/>
    <x v="2"/>
    <n v="673"/>
    <s v="France"/>
    <x v="306"/>
    <x v="62"/>
    <x v="2"/>
    <n v="100000"/>
    <x v="2"/>
    <s v="M"/>
    <x v="66"/>
    <x v="0"/>
  </r>
  <r>
    <n v="1646930"/>
    <n v="146"/>
    <s v="Norway"/>
    <d v="2023-06-10T01:09:00"/>
    <x v="0"/>
    <x v="13"/>
    <n v="5619"/>
    <s v="Norway"/>
    <x v="117"/>
    <x v="92"/>
    <x v="0"/>
    <n v="100000"/>
    <x v="12"/>
    <s v="M"/>
    <x v="67"/>
    <x v="2"/>
  </r>
  <r>
    <n v="1646954"/>
    <n v="275"/>
    <s v="Italy"/>
    <d v="2023-01-23T00:34:00"/>
    <x v="2"/>
    <x v="66"/>
    <n v="4944"/>
    <s v="Italy"/>
    <x v="21"/>
    <x v="21"/>
    <x v="1"/>
    <n v="100000"/>
    <x v="8"/>
    <s v="F"/>
    <x v="53"/>
    <x v="2"/>
  </r>
  <r>
    <n v="1647290"/>
    <n v="1451"/>
    <s v="USA"/>
    <d v="2023-11-06T00:04:00"/>
    <x v="0"/>
    <x v="1"/>
    <n v="4573"/>
    <s v="USA"/>
    <x v="175"/>
    <x v="64"/>
    <x v="1"/>
    <n v="200000"/>
    <x v="1"/>
    <s v="F"/>
    <x v="66"/>
    <x v="3"/>
  </r>
  <r>
    <n v="1648180"/>
    <n v="993"/>
    <s v="Finland"/>
    <d v="2023-01-02T00:28:00"/>
    <x v="3"/>
    <x v="39"/>
    <n v="4526"/>
    <s v="Finland"/>
    <x v="80"/>
    <x v="39"/>
    <x v="3"/>
    <n v="1000000"/>
    <x v="6"/>
    <s v="F"/>
    <x v="46"/>
    <x v="0"/>
  </r>
  <r>
    <n v="1648466"/>
    <n v="842"/>
    <s v="France"/>
    <d v="2023-01-22T23:47:00"/>
    <x v="1"/>
    <x v="3"/>
    <n v="3076"/>
    <s v="France"/>
    <x v="304"/>
    <x v="100"/>
    <x v="2"/>
    <n v="150000"/>
    <x v="3"/>
    <s v="M"/>
    <x v="10"/>
    <x v="0"/>
  </r>
  <r>
    <n v="1649120"/>
    <n v="74"/>
    <s v="USA"/>
    <d v="2023-04-14T00:28:00"/>
    <x v="3"/>
    <x v="4"/>
    <n v="4798"/>
    <s v="USA"/>
    <x v="70"/>
    <x v="39"/>
    <x v="0"/>
    <n v="200000"/>
    <x v="4"/>
    <s v="F"/>
    <x v="9"/>
    <x v="2"/>
  </r>
  <r>
    <n v="1649225"/>
    <n v="859"/>
    <s v="USA"/>
    <d v="2023-09-12T23:05:00"/>
    <x v="0"/>
    <x v="42"/>
    <n v="811"/>
    <s v="USA"/>
    <x v="148"/>
    <x v="159"/>
    <x v="0"/>
    <n v="200000"/>
    <x v="14"/>
    <s v="M"/>
    <x v="6"/>
    <x v="0"/>
  </r>
  <r>
    <n v="1650492"/>
    <n v="473"/>
    <s v="Ireland"/>
    <d v="2023-12-02T00:17:00"/>
    <x v="1"/>
    <x v="6"/>
    <n v="8148"/>
    <s v="Ireland"/>
    <x v="180"/>
    <x v="20"/>
    <x v="3"/>
    <n v="150000"/>
    <x v="6"/>
    <s v="F"/>
    <x v="11"/>
    <x v="2"/>
  </r>
  <r>
    <n v="1650779"/>
    <n v="1034"/>
    <s v="Italy"/>
    <d v="2023-04-12T00:48:00"/>
    <x v="0"/>
    <x v="23"/>
    <n v="8843"/>
    <s v="Italy"/>
    <x v="361"/>
    <x v="88"/>
    <x v="0"/>
    <n v="1000000"/>
    <x v="12"/>
    <s v="F"/>
    <x v="34"/>
    <x v="3"/>
  </r>
  <r>
    <n v="1651135"/>
    <n v="1845"/>
    <s v="Finland"/>
    <d v="2023-12-07T00:09:00"/>
    <x v="0"/>
    <x v="9"/>
    <n v="2721"/>
    <s v="Finland"/>
    <x v="226"/>
    <x v="81"/>
    <x v="1"/>
    <n v="150000"/>
    <x v="9"/>
    <s v="F"/>
    <x v="69"/>
    <x v="1"/>
  </r>
  <r>
    <n v="1653886"/>
    <n v="1518"/>
    <s v="USA"/>
    <d v="2023-05-08T01:31:00"/>
    <x v="0"/>
    <x v="6"/>
    <n v="8879"/>
    <s v="USA"/>
    <x v="215"/>
    <x v="177"/>
    <x v="3"/>
    <n v="150000"/>
    <x v="6"/>
    <s v="F"/>
    <x v="50"/>
    <x v="1"/>
  </r>
  <r>
    <n v="1654315"/>
    <n v="762"/>
    <s v="Denmark"/>
    <d v="2023-08-31T00:20:00"/>
    <x v="3"/>
    <x v="11"/>
    <n v="4846"/>
    <s v="Denmark"/>
    <x v="198"/>
    <x v="68"/>
    <x v="1"/>
    <n v="150000"/>
    <x v="1"/>
    <s v="F"/>
    <x v="29"/>
    <x v="0"/>
  </r>
  <r>
    <n v="1654344"/>
    <n v="1851"/>
    <s v="Spain"/>
    <d v="2023-02-04T00:50:00"/>
    <x v="3"/>
    <x v="9"/>
    <n v="1085"/>
    <s v="Spain"/>
    <x v="189"/>
    <x v="0"/>
    <x v="1"/>
    <n v="150000"/>
    <x v="9"/>
    <s v="F"/>
    <x v="15"/>
    <x v="1"/>
  </r>
  <r>
    <n v="1654679"/>
    <n v="804"/>
    <s v="Germany"/>
    <d v="2023-06-18T23:39:00"/>
    <x v="0"/>
    <x v="58"/>
    <n v="8264"/>
    <s v="Germany"/>
    <x v="345"/>
    <x v="101"/>
    <x v="3"/>
    <n v="100000"/>
    <x v="20"/>
    <s v="F"/>
    <x v="72"/>
    <x v="0"/>
  </r>
  <r>
    <n v="1655697"/>
    <n v="499"/>
    <s v="Australia"/>
    <d v="2023-05-05T00:56:00"/>
    <x v="0"/>
    <x v="71"/>
    <n v="3864"/>
    <s v="Australia"/>
    <x v="106"/>
    <x v="150"/>
    <x v="1"/>
    <n v="50000"/>
    <x v="8"/>
    <s v="M"/>
    <x v="20"/>
    <x v="2"/>
  </r>
  <r>
    <n v="1656071"/>
    <n v="901"/>
    <s v="USA"/>
    <d v="2023-11-05T00:01:00"/>
    <x v="3"/>
    <x v="15"/>
    <n v="634"/>
    <s v="USA"/>
    <x v="36"/>
    <x v="63"/>
    <x v="0"/>
    <n v="150000"/>
    <x v="14"/>
    <s v="F"/>
    <x v="60"/>
    <x v="0"/>
  </r>
  <r>
    <n v="1656749"/>
    <n v="316"/>
    <s v="India"/>
    <d v="2023-06-06T00:20:00"/>
    <x v="3"/>
    <x v="16"/>
    <n v="7917"/>
    <s v="India"/>
    <x v="174"/>
    <x v="68"/>
    <x v="4"/>
    <n v="150000"/>
    <x v="15"/>
    <s v="F"/>
    <x v="20"/>
    <x v="2"/>
  </r>
  <r>
    <n v="1657013"/>
    <n v="1799"/>
    <s v="France"/>
    <d v="2023-04-15T00:19:00"/>
    <x v="1"/>
    <x v="17"/>
    <n v="5240"/>
    <s v="France"/>
    <x v="245"/>
    <x v="167"/>
    <x v="0"/>
    <n v="150000"/>
    <x v="14"/>
    <s v="F"/>
    <x v="21"/>
    <x v="1"/>
  </r>
  <r>
    <n v="1657910"/>
    <n v="853"/>
    <s v="USA"/>
    <d v="2023-06-25T00:39:00"/>
    <x v="2"/>
    <x v="79"/>
    <n v="8403"/>
    <s v="USA"/>
    <x v="138"/>
    <x v="11"/>
    <x v="1"/>
    <n v="200000"/>
    <x v="9"/>
    <s v="M"/>
    <x v="56"/>
    <x v="0"/>
  </r>
  <r>
    <n v="1659401"/>
    <n v="214"/>
    <s v="USA"/>
    <d v="2023-07-11T23:22:00"/>
    <x v="0"/>
    <x v="45"/>
    <n v="1671"/>
    <s v="USA"/>
    <x v="149"/>
    <x v="137"/>
    <x v="4"/>
    <n v="100000"/>
    <x v="25"/>
    <s v="F"/>
    <x v="65"/>
    <x v="2"/>
  </r>
  <r>
    <n v="1659771"/>
    <n v="597"/>
    <s v="France"/>
    <d v="2023-11-17T01:14:00"/>
    <x v="3"/>
    <x v="19"/>
    <n v="2382"/>
    <s v="France"/>
    <x v="169"/>
    <x v="156"/>
    <x v="0"/>
    <n v="150000"/>
    <x v="16"/>
    <s v="F"/>
    <x v="64"/>
    <x v="0"/>
  </r>
  <r>
    <n v="1659887"/>
    <n v="1854"/>
    <s v="USA"/>
    <d v="2023-12-11T00:04:00"/>
    <x v="2"/>
    <x v="2"/>
    <n v="3461"/>
    <s v="USA"/>
    <x v="224"/>
    <x v="64"/>
    <x v="2"/>
    <n v="100000"/>
    <x v="2"/>
    <s v="F"/>
    <x v="27"/>
    <x v="1"/>
  </r>
  <r>
    <n v="1660154"/>
    <n v="105"/>
    <s v="USA"/>
    <d v="2023-05-10T01:40:00"/>
    <x v="3"/>
    <x v="50"/>
    <n v="9184"/>
    <s v="USA"/>
    <x v="51"/>
    <x v="76"/>
    <x v="2"/>
    <n v="100000"/>
    <x v="27"/>
    <s v="M"/>
    <x v="16"/>
    <x v="2"/>
  </r>
  <r>
    <n v="1660467"/>
    <n v="46"/>
    <s v="Finland"/>
    <d v="2023-09-07T00:41:00"/>
    <x v="0"/>
    <x v="14"/>
    <n v="7481"/>
    <s v="Finland"/>
    <x v="196"/>
    <x v="60"/>
    <x v="3"/>
    <n v="200000"/>
    <x v="13"/>
    <s v="F"/>
    <x v="50"/>
    <x v="2"/>
  </r>
  <r>
    <n v="1661217"/>
    <n v="1025"/>
    <s v="Australia"/>
    <d v="2023-09-03T23:21:00"/>
    <x v="2"/>
    <x v="39"/>
    <n v="9380"/>
    <s v="Australia"/>
    <x v="232"/>
    <x v="69"/>
    <x v="3"/>
    <n v="1000000"/>
    <x v="6"/>
    <s v="M"/>
    <x v="68"/>
    <x v="3"/>
  </r>
  <r>
    <n v="1662668"/>
    <n v="1000"/>
    <s v="India"/>
    <d v="2023-10-06T00:15:00"/>
    <x v="2"/>
    <x v="22"/>
    <n v="4805"/>
    <s v="India"/>
    <x v="45"/>
    <x v="123"/>
    <x v="3"/>
    <n v="100000"/>
    <x v="13"/>
    <s v="F"/>
    <x v="45"/>
    <x v="0"/>
  </r>
  <r>
    <n v="1662944"/>
    <n v="1488"/>
    <s v="USA"/>
    <d v="2023-12-20T00:47:00"/>
    <x v="2"/>
    <x v="48"/>
    <n v="9411"/>
    <s v="USA"/>
    <x v="341"/>
    <x v="75"/>
    <x v="1"/>
    <n v="100000"/>
    <x v="9"/>
    <s v="M"/>
    <x v="31"/>
    <x v="3"/>
  </r>
  <r>
    <n v="1664960"/>
    <n v="754"/>
    <s v="Italy"/>
    <d v="2023-05-24T22:53:00"/>
    <x v="2"/>
    <x v="19"/>
    <n v="4918"/>
    <s v="Italy"/>
    <x v="164"/>
    <x v="178"/>
    <x v="0"/>
    <n v="150000"/>
    <x v="16"/>
    <s v="F"/>
    <x v="30"/>
    <x v="0"/>
  </r>
  <r>
    <n v="1664973"/>
    <n v="698"/>
    <s v="Australia"/>
    <d v="2023-08-10T00:54:00"/>
    <x v="1"/>
    <x v="49"/>
    <n v="1301"/>
    <s v="Australia"/>
    <x v="347"/>
    <x v="73"/>
    <x v="0"/>
    <n v="100000"/>
    <x v="10"/>
    <s v="M"/>
    <x v="57"/>
    <x v="0"/>
  </r>
  <r>
    <n v="1665135"/>
    <n v="818"/>
    <s v="France"/>
    <d v="2023-12-31T01:14:00"/>
    <x v="1"/>
    <x v="39"/>
    <n v="4905"/>
    <s v="France"/>
    <x v="279"/>
    <x v="156"/>
    <x v="3"/>
    <n v="1000000"/>
    <x v="6"/>
    <s v="F"/>
    <x v="27"/>
    <x v="0"/>
  </r>
  <r>
    <n v="1665167"/>
    <n v="479"/>
    <s v="Finland"/>
    <d v="2023-03-04T01:46:00"/>
    <x v="3"/>
    <x v="23"/>
    <n v="6692"/>
    <s v="Finland"/>
    <x v="272"/>
    <x v="129"/>
    <x v="0"/>
    <n v="1000000"/>
    <x v="12"/>
    <s v="M"/>
    <x v="49"/>
    <x v="2"/>
  </r>
  <r>
    <n v="1665250"/>
    <n v="329"/>
    <s v="Spain"/>
    <d v="2023-05-02T00:32:00"/>
    <x v="1"/>
    <x v="37"/>
    <n v="6153"/>
    <s v="Spain"/>
    <x v="211"/>
    <x v="58"/>
    <x v="3"/>
    <n v="150000"/>
    <x v="6"/>
    <s v="F"/>
    <x v="39"/>
    <x v="2"/>
  </r>
  <r>
    <n v="1665582"/>
    <n v="1022"/>
    <s v="India"/>
    <d v="2023-06-24T00:16:00"/>
    <x v="0"/>
    <x v="76"/>
    <n v="7517"/>
    <s v="India"/>
    <x v="53"/>
    <x v="61"/>
    <x v="4"/>
    <n v="50000"/>
    <x v="15"/>
    <s v="F"/>
    <x v="52"/>
    <x v="3"/>
  </r>
  <r>
    <n v="1665843"/>
    <n v="1411"/>
    <s v="Spain"/>
    <d v="2023-07-01T01:46:00"/>
    <x v="3"/>
    <x v="50"/>
    <n v="687"/>
    <s v="Spain"/>
    <x v="41"/>
    <x v="129"/>
    <x v="2"/>
    <n v="100000"/>
    <x v="27"/>
    <s v="F"/>
    <x v="44"/>
    <x v="3"/>
  </r>
  <r>
    <n v="1665934"/>
    <n v="89"/>
    <s v="Italy"/>
    <d v="2023-09-20T01:16:00"/>
    <x v="0"/>
    <x v="53"/>
    <n v="4910"/>
    <s v="Italy"/>
    <x v="273"/>
    <x v="84"/>
    <x v="0"/>
    <n v="50000"/>
    <x v="11"/>
    <s v="M"/>
    <x v="19"/>
    <x v="2"/>
  </r>
  <r>
    <n v="1666083"/>
    <n v="1307"/>
    <s v="France"/>
    <d v="2023-01-19T01:08:00"/>
    <x v="0"/>
    <x v="30"/>
    <n v="4117"/>
    <s v="France"/>
    <x v="18"/>
    <x v="37"/>
    <x v="2"/>
    <n v="150000"/>
    <x v="21"/>
    <s v="F"/>
    <x v="61"/>
    <x v="3"/>
  </r>
  <r>
    <n v="1666505"/>
    <n v="1736"/>
    <s v="USA"/>
    <d v="2023-01-22T01:21:00"/>
    <x v="3"/>
    <x v="55"/>
    <n v="2955"/>
    <s v="USA"/>
    <x v="304"/>
    <x v="128"/>
    <x v="2"/>
    <n v="80000"/>
    <x v="27"/>
    <s v="M"/>
    <x v="12"/>
    <x v="1"/>
  </r>
  <r>
    <n v="1666521"/>
    <n v="1386"/>
    <s v="Austria"/>
    <d v="2023-07-30T23:43:00"/>
    <x v="2"/>
    <x v="12"/>
    <n v="4645"/>
    <s v="Austria"/>
    <x v="113"/>
    <x v="169"/>
    <x v="0"/>
    <n v="80000"/>
    <x v="11"/>
    <s v="M"/>
    <x v="65"/>
    <x v="3"/>
  </r>
  <r>
    <n v="1666856"/>
    <n v="1370"/>
    <s v="Ireland"/>
    <d v="2023-10-04T01:20:00"/>
    <x v="0"/>
    <x v="0"/>
    <n v="148"/>
    <s v="Ireland"/>
    <x v="14"/>
    <x v="8"/>
    <x v="0"/>
    <n v="200000"/>
    <x v="0"/>
    <s v="M"/>
    <x v="20"/>
    <x v="3"/>
  </r>
  <r>
    <n v="1667133"/>
    <n v="1173"/>
    <s v="USA"/>
    <d v="2023-08-14T00:11:00"/>
    <x v="0"/>
    <x v="43"/>
    <n v="8164"/>
    <s v="USA"/>
    <x v="192"/>
    <x v="10"/>
    <x v="2"/>
    <n v="100000"/>
    <x v="21"/>
    <s v="M"/>
    <x v="58"/>
    <x v="3"/>
  </r>
  <r>
    <n v="1667673"/>
    <n v="991"/>
    <s v="USA"/>
    <d v="2023-09-09T23:31:00"/>
    <x v="3"/>
    <x v="56"/>
    <n v="1581"/>
    <s v="USA"/>
    <x v="360"/>
    <x v="57"/>
    <x v="4"/>
    <n v="100000"/>
    <x v="28"/>
    <s v="F"/>
    <x v="39"/>
    <x v="0"/>
  </r>
  <r>
    <n v="1668081"/>
    <n v="1858"/>
    <s v="USA"/>
    <d v="2023-03-05T01:04:00"/>
    <x v="3"/>
    <x v="57"/>
    <n v="7774"/>
    <s v="USA"/>
    <x v="346"/>
    <x v="121"/>
    <x v="0"/>
    <n v="80000"/>
    <x v="0"/>
    <s v="F"/>
    <x v="0"/>
    <x v="1"/>
  </r>
  <r>
    <n v="1668581"/>
    <n v="186"/>
    <s v="Singapore"/>
    <d v="2023-09-24T00:49:00"/>
    <x v="2"/>
    <x v="58"/>
    <n v="6296"/>
    <s v="Singapore"/>
    <x v="56"/>
    <x v="35"/>
    <x v="3"/>
    <n v="100000"/>
    <x v="20"/>
    <s v="F"/>
    <x v="42"/>
    <x v="2"/>
  </r>
  <r>
    <n v="1669169"/>
    <n v="1146"/>
    <s v="USA"/>
    <d v="2023-05-12T23:36:00"/>
    <x v="2"/>
    <x v="77"/>
    <n v="8796"/>
    <s v="USA"/>
    <x v="57"/>
    <x v="135"/>
    <x v="1"/>
    <n v="250000"/>
    <x v="24"/>
    <s v="M"/>
    <x v="12"/>
    <x v="3"/>
  </r>
  <r>
    <n v="1669358"/>
    <n v="351"/>
    <s v="Australia"/>
    <d v="2023-02-05T01:52:00"/>
    <x v="2"/>
    <x v="14"/>
    <n v="462"/>
    <s v="Australia"/>
    <x v="195"/>
    <x v="179"/>
    <x v="3"/>
    <n v="200000"/>
    <x v="13"/>
    <s v="F"/>
    <x v="27"/>
    <x v="2"/>
  </r>
  <r>
    <n v="1670695"/>
    <n v="48"/>
    <s v="USA"/>
    <d v="2023-03-08T00:34:00"/>
    <x v="3"/>
    <x v="24"/>
    <n v="8888"/>
    <s v="USA"/>
    <x v="5"/>
    <x v="21"/>
    <x v="1"/>
    <n v="100000"/>
    <x v="18"/>
    <s v="F"/>
    <x v="50"/>
    <x v="2"/>
  </r>
  <r>
    <n v="1670797"/>
    <n v="1465"/>
    <s v="France"/>
    <d v="2023-06-19T01:37:00"/>
    <x v="0"/>
    <x v="35"/>
    <n v="556"/>
    <s v="France"/>
    <x v="337"/>
    <x v="109"/>
    <x v="4"/>
    <n v="100000"/>
    <x v="15"/>
    <s v="M"/>
    <x v="37"/>
    <x v="3"/>
  </r>
  <r>
    <n v="1671351"/>
    <n v="861"/>
    <s v="USA"/>
    <d v="2023-11-25T00:08:00"/>
    <x v="1"/>
    <x v="23"/>
    <n v="4300"/>
    <s v="USA"/>
    <x v="120"/>
    <x v="149"/>
    <x v="0"/>
    <n v="1000000"/>
    <x v="12"/>
    <s v="F"/>
    <x v="61"/>
    <x v="0"/>
  </r>
  <r>
    <n v="1672350"/>
    <n v="1440"/>
    <s v="Spain"/>
    <d v="2023-03-21T00:53:00"/>
    <x v="2"/>
    <x v="60"/>
    <n v="4066"/>
    <s v="Spain"/>
    <x v="28"/>
    <x v="36"/>
    <x v="1"/>
    <n v="100000"/>
    <x v="26"/>
    <s v="F"/>
    <x v="52"/>
    <x v="3"/>
  </r>
  <r>
    <n v="1672683"/>
    <n v="727"/>
    <s v="France"/>
    <d v="2023-12-03T22:33:00"/>
    <x v="1"/>
    <x v="39"/>
    <n v="8160"/>
    <s v="France"/>
    <x v="201"/>
    <x v="17"/>
    <x v="3"/>
    <n v="1000000"/>
    <x v="6"/>
    <s v="M"/>
    <x v="71"/>
    <x v="0"/>
  </r>
  <r>
    <n v="1673913"/>
    <n v="1434"/>
    <s v="USA"/>
    <d v="2023-06-26T01:16:00"/>
    <x v="0"/>
    <x v="39"/>
    <n v="4928"/>
    <s v="USA"/>
    <x v="314"/>
    <x v="84"/>
    <x v="3"/>
    <n v="1000000"/>
    <x v="6"/>
    <s v="F"/>
    <x v="48"/>
    <x v="3"/>
  </r>
  <r>
    <n v="1674149"/>
    <n v="1974"/>
    <s v="USA"/>
    <d v="2023-08-21T01:09:00"/>
    <x v="3"/>
    <x v="58"/>
    <n v="2019"/>
    <s v="USA"/>
    <x v="233"/>
    <x v="92"/>
    <x v="3"/>
    <n v="100000"/>
    <x v="20"/>
    <s v="F"/>
    <x v="8"/>
    <x v="1"/>
  </r>
  <r>
    <n v="1674723"/>
    <n v="1511"/>
    <s v="USA"/>
    <d v="2023-09-09T22:47:00"/>
    <x v="2"/>
    <x v="86"/>
    <n v="3096"/>
    <s v="USA"/>
    <x v="360"/>
    <x v="165"/>
    <x v="0"/>
    <n v="150000"/>
    <x v="11"/>
    <s v="M"/>
    <x v="11"/>
    <x v="1"/>
  </r>
  <r>
    <n v="1675193"/>
    <n v="552"/>
    <s v="India"/>
    <d v="2023-11-12T23:47:00"/>
    <x v="1"/>
    <x v="10"/>
    <n v="2913"/>
    <s v="India"/>
    <x v="109"/>
    <x v="100"/>
    <x v="0"/>
    <n v="250000"/>
    <x v="10"/>
    <s v="F"/>
    <x v="25"/>
    <x v="0"/>
  </r>
  <r>
    <n v="1675253"/>
    <n v="632"/>
    <s v="USA"/>
    <d v="2023-08-26T00:18:00"/>
    <x v="2"/>
    <x v="23"/>
    <n v="3340"/>
    <s v="USA"/>
    <x v="230"/>
    <x v="139"/>
    <x v="0"/>
    <n v="1000000"/>
    <x v="12"/>
    <s v="F"/>
    <x v="25"/>
    <x v="0"/>
  </r>
  <r>
    <n v="1675528"/>
    <n v="360"/>
    <s v="India"/>
    <d v="2023-07-30T00:12:00"/>
    <x v="1"/>
    <x v="50"/>
    <n v="3204"/>
    <s v="India"/>
    <x v="113"/>
    <x v="19"/>
    <x v="2"/>
    <n v="100000"/>
    <x v="27"/>
    <s v="M"/>
    <x v="24"/>
    <x v="2"/>
  </r>
  <r>
    <n v="1676930"/>
    <n v="640"/>
    <s v="France"/>
    <d v="2023-11-24T23:41:00"/>
    <x v="2"/>
    <x v="23"/>
    <n v="598"/>
    <s v="France"/>
    <x v="126"/>
    <x v="155"/>
    <x v="0"/>
    <n v="1000000"/>
    <x v="12"/>
    <s v="F"/>
    <x v="66"/>
    <x v="0"/>
  </r>
  <r>
    <n v="1677048"/>
    <n v="1415"/>
    <s v="France"/>
    <d v="2023-10-19T02:29:00"/>
    <x v="1"/>
    <x v="5"/>
    <n v="598"/>
    <s v="France"/>
    <x v="16"/>
    <x v="180"/>
    <x v="2"/>
    <n v="150000"/>
    <x v="5"/>
    <s v="F"/>
    <x v="37"/>
    <x v="3"/>
  </r>
  <r>
    <n v="1677075"/>
    <n v="460"/>
    <s v="Australia"/>
    <d v="2023-10-12T23:57:00"/>
    <x v="3"/>
    <x v="32"/>
    <n v="7376"/>
    <s v="Australia"/>
    <x v="303"/>
    <x v="116"/>
    <x v="4"/>
    <n v="100000"/>
    <x v="23"/>
    <s v="F"/>
    <x v="30"/>
    <x v="2"/>
  </r>
  <r>
    <n v="1677682"/>
    <n v="1224"/>
    <s v="France"/>
    <d v="2023-03-26T22:55:00"/>
    <x v="0"/>
    <x v="44"/>
    <n v="8833"/>
    <s v="France"/>
    <x v="132"/>
    <x v="125"/>
    <x v="0"/>
    <n v="100000"/>
    <x v="12"/>
    <s v="F"/>
    <x v="37"/>
    <x v="3"/>
  </r>
  <r>
    <n v="1677717"/>
    <n v="376"/>
    <s v="India"/>
    <d v="2023-06-21T23:56:00"/>
    <x v="0"/>
    <x v="10"/>
    <n v="8542"/>
    <s v="India"/>
    <x v="240"/>
    <x v="138"/>
    <x v="0"/>
    <n v="250000"/>
    <x v="10"/>
    <s v="F"/>
    <x v="20"/>
    <x v="2"/>
  </r>
  <r>
    <n v="1678550"/>
    <n v="1521"/>
    <s v="USA"/>
    <d v="2023-11-06T00:46:00"/>
    <x v="0"/>
    <x v="57"/>
    <n v="8554"/>
    <s v="USA"/>
    <x v="175"/>
    <x v="77"/>
    <x v="0"/>
    <n v="80000"/>
    <x v="0"/>
    <s v="F"/>
    <x v="51"/>
    <x v="1"/>
  </r>
  <r>
    <n v="1679147"/>
    <n v="696"/>
    <s v="France"/>
    <d v="2023-04-16T23:36:00"/>
    <x v="0"/>
    <x v="61"/>
    <n v="4669"/>
    <s v="France"/>
    <x v="193"/>
    <x v="135"/>
    <x v="4"/>
    <n v="200000"/>
    <x v="28"/>
    <s v="F"/>
    <x v="35"/>
    <x v="0"/>
  </r>
  <r>
    <n v="1679923"/>
    <n v="1835"/>
    <s v="Finland"/>
    <d v="2023-02-23T23:59:00"/>
    <x v="1"/>
    <x v="23"/>
    <n v="2710"/>
    <s v="Finland"/>
    <x v="39"/>
    <x v="181"/>
    <x v="0"/>
    <n v="1000000"/>
    <x v="12"/>
    <s v="M"/>
    <x v="64"/>
    <x v="1"/>
  </r>
  <r>
    <n v="1680806"/>
    <n v="1304"/>
    <s v="Italy"/>
    <d v="2023-06-23T00:29:00"/>
    <x v="3"/>
    <x v="14"/>
    <n v="3072"/>
    <s v="Italy"/>
    <x v="93"/>
    <x v="50"/>
    <x v="3"/>
    <n v="200000"/>
    <x v="13"/>
    <s v="F"/>
    <x v="65"/>
    <x v="3"/>
  </r>
  <r>
    <n v="1681214"/>
    <n v="291"/>
    <s v="India"/>
    <d v="2023-05-15T01:00:00"/>
    <x v="2"/>
    <x v="85"/>
    <n v="8168"/>
    <s v="India"/>
    <x v="116"/>
    <x v="168"/>
    <x v="2"/>
    <n v="150000"/>
    <x v="21"/>
    <s v="F"/>
    <x v="60"/>
    <x v="2"/>
  </r>
  <r>
    <n v="1681720"/>
    <n v="71"/>
    <s v="India"/>
    <d v="2023-04-06T00:24:00"/>
    <x v="0"/>
    <x v="89"/>
    <n v="1552"/>
    <s v="India"/>
    <x v="253"/>
    <x v="115"/>
    <x v="4"/>
    <n v="30000"/>
    <x v="23"/>
    <s v="M"/>
    <x v="68"/>
    <x v="2"/>
  </r>
  <r>
    <n v="1682186"/>
    <n v="1537"/>
    <s v="USA"/>
    <d v="2023-07-31T00:50:00"/>
    <x v="3"/>
    <x v="47"/>
    <n v="9912"/>
    <s v="USA"/>
    <x v="25"/>
    <x v="0"/>
    <x v="3"/>
    <n v="100000"/>
    <x v="20"/>
    <s v="F"/>
    <x v="69"/>
    <x v="1"/>
  </r>
  <r>
    <n v="1682358"/>
    <n v="567"/>
    <s v="Australia"/>
    <d v="2023-03-27T23:19:00"/>
    <x v="2"/>
    <x v="59"/>
    <n v="4540"/>
    <s v="Australia"/>
    <x v="202"/>
    <x v="24"/>
    <x v="1"/>
    <n v="100000"/>
    <x v="1"/>
    <s v="M"/>
    <x v="2"/>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
  <r>
    <s v="Kalle Suominen"/>
    <s v="Amelia"/>
    <s v="Johnson"/>
    <x v="0"/>
    <n v="100000"/>
    <s v="Amelia  Johnson"/>
  </r>
  <r>
    <s v="Julie Brown"/>
    <s v="Lukas"/>
    <s v="Schmidt"/>
    <x v="1"/>
    <n v="200000"/>
    <s v="Lukas  Schmidt"/>
  </r>
  <r>
    <s v="Jeff Young"/>
    <s v="Olivia"/>
    <s v="Jensen"/>
    <x v="2"/>
    <n v="200000"/>
    <s v="Olivia  Jensen"/>
  </r>
  <r>
    <s v="Kyung Yu"/>
    <s v="Sofia"/>
    <s v="Laine"/>
    <x v="3"/>
    <n v="100000"/>
    <s v="Sofia  Laine"/>
  </r>
  <r>
    <s v="Adrian Huxley"/>
    <s v="Chloe"/>
    <s v="Dupont"/>
    <x v="2"/>
    <n v="200000"/>
    <s v="Chloe  Dupont"/>
  </r>
  <r>
    <s v="Kwai Yu"/>
    <s v="Alexander"/>
    <s v="Müller"/>
    <x v="1"/>
    <n v="200000"/>
    <s v="Alexander  Müller"/>
  </r>
  <r>
    <s v="Jytte Petersen"/>
    <s v="Liam"/>
    <s v="O'Sullivan"/>
    <x v="2"/>
    <n v="100000"/>
    <s v="Liam  O'Sullivan"/>
  </r>
  <r>
    <s v="Paul Henriot"/>
    <s v="Sophia"/>
    <s v="Rossi"/>
    <x v="2"/>
    <n v="200000"/>
    <s v="Sophia  Rossi"/>
  </r>
  <r>
    <s v="Sue King"/>
    <s v="Emma"/>
    <s v="Hansen"/>
    <x v="3"/>
    <n v="100000"/>
    <s v="Emma  Hansen"/>
  </r>
  <r>
    <s v="Victoria Ashworth"/>
    <s v="Ethan"/>
    <s v="Lee"/>
    <x v="2"/>
    <n v="250000"/>
    <s v="Ethan  Lee"/>
  </r>
  <r>
    <s v="Anna O'Hara"/>
    <s v="Isabella"/>
    <s v="Garcia"/>
    <x v="1"/>
    <n v="200000"/>
    <s v="Isabella  Garcia"/>
  </r>
  <r>
    <s v="Diego Freyre"/>
    <s v="Noah"/>
    <s v="Meier"/>
    <x v="1"/>
    <n v="1000000"/>
    <s v="Noah  Meier"/>
  </r>
  <r>
    <s v="Akiko Shimamura"/>
    <s v="Ava"/>
    <s v="Williams"/>
    <x v="0"/>
    <n v="100000"/>
    <s v="Ava  Williams"/>
  </r>
  <r>
    <s v="Janine Labrune"/>
    <s v="Dev"/>
    <s v="Patel"/>
    <x v="4"/>
    <n v="200000"/>
    <s v="Dev  Patel"/>
  </r>
  <r>
    <s v="Thomas Hardy"/>
    <s v="Mia"/>
    <s v="Khan"/>
    <x v="0"/>
    <n v="50000"/>
    <s v="Mia  Khan"/>
  </r>
  <r>
    <s v="Annette Roulet"/>
    <s v="William"/>
    <s v="Brown"/>
    <x v="3"/>
    <n v="100000"/>
    <s v="William  Brown"/>
  </r>
  <r>
    <s v="Steve Frick"/>
    <s v="Sophie"/>
    <s v="Gruber"/>
    <x v="4"/>
    <n v="100000"/>
    <s v="Sophie  Gruber"/>
  </r>
  <r>
    <s v="Mary Saveley"/>
    <s v="Lucas"/>
    <s v="Nielsen"/>
    <x v="3"/>
    <n v="150000"/>
    <s v="Lucas  Nielsen"/>
  </r>
  <r>
    <s v="Henriette Pfalzheim"/>
    <s v="Aino"/>
    <s v="Virtanen"/>
    <x v="2"/>
    <n v="150000"/>
    <s v="Aino  Virtanen"/>
  </r>
  <r>
    <s v="Laurence Lebihan"/>
    <s v="Emily"/>
    <s v="Dubois"/>
    <x v="4"/>
    <n v="150000"/>
    <s v="Emily  Dubois"/>
  </r>
  <r>
    <s v="Catherine Dewey"/>
    <s v="Benjamin"/>
    <s v="Weber"/>
    <x v="0"/>
    <n v="100000"/>
    <s v="Benjamin  Weber"/>
  </r>
  <r>
    <s v="Giovanni Rovelli"/>
    <s v="Emily"/>
    <s v="Murphy"/>
    <x v="1"/>
    <n v="150000"/>
    <s v="Emily  Murphy"/>
  </r>
  <r>
    <s v="Paolo Accorti"/>
    <s v="Marco"/>
    <s v="Bianchi"/>
    <x v="1"/>
    <n v="150000"/>
    <s v="Marco  Bianchi"/>
  </r>
  <r>
    <s v="Daniel Da Cunha"/>
    <s v="Lucas"/>
    <s v="Olsen"/>
    <x v="3"/>
    <n v="100000"/>
    <s v="Lucas  Olsen"/>
  </r>
  <r>
    <s v="Valarie Nelson"/>
    <s v="Benjamin"/>
    <s v="Chen"/>
    <x v="4"/>
    <n v="1000000"/>
    <s v="Benjamin  Chen"/>
  </r>
  <r>
    <s v="Frederique Citeaux"/>
    <s v="Daniela"/>
    <s v="Hernandez"/>
    <x v="3"/>
    <n v="100000"/>
    <s v="Daniela  Hernandez"/>
  </r>
  <r>
    <s v="Arnold Cruz"/>
    <s v="Liam"/>
    <s v="Baumann"/>
    <x v="2"/>
    <n v="100000"/>
    <s v="Liam  Baumann"/>
  </r>
  <r>
    <s v="Marie Bertrand"/>
    <s v="Charlotte"/>
    <s v="Miller"/>
    <x v="3"/>
    <n v="150000"/>
    <s v="Charlotte  Miller"/>
  </r>
  <r>
    <s v="Georg Pipps"/>
    <s v="Priya"/>
    <s v="Kapoor"/>
    <x v="1"/>
    <n v="150000"/>
    <s v="Priya  Kapoor"/>
  </r>
  <r>
    <s v="Dean Cassidy"/>
    <s v="Oliver"/>
    <s v="Kumar"/>
    <x v="2"/>
    <n v="50000"/>
    <s v="Oliver  Kumar"/>
  </r>
  <r>
    <s v="Rosa Hernandez"/>
    <s v="Amelia"/>
    <s v="Johnson"/>
    <x v="0"/>
    <n v="100000"/>
    <s v="Amelia  Johnson"/>
  </r>
  <r>
    <s v="Violeta Benitez"/>
    <s v="Lukas"/>
    <s v="Schmidt"/>
    <x v="1"/>
    <n v="100000"/>
    <s v="Lukas  Schmidt"/>
  </r>
  <r>
    <s v="Christina Berglund"/>
    <s v="Olivia"/>
    <s v="Jensen"/>
    <x v="2"/>
    <n v="100000"/>
    <s v="Olivia  Jensen"/>
  </r>
  <r>
    <s v="Juri Hirano"/>
    <s v="Sofia"/>
    <s v="Laine"/>
    <x v="3"/>
    <n v="150000"/>
    <s v="Sofia  Laine"/>
  </r>
  <r>
    <s v="Mart¡n Sommer"/>
    <s v="Chloe"/>
    <s v="Dupont"/>
    <x v="2"/>
    <n v="150000"/>
    <s v="Chloe  Dupont"/>
  </r>
  <r>
    <s v="Elizabeth Lincoln"/>
    <s v="Alexander"/>
    <s v="Müller"/>
    <x v="1"/>
    <n v="80000"/>
    <s v="Alexander  Müller"/>
  </r>
  <r>
    <s v="Dominique Perrier"/>
    <s v="Liam"/>
    <s v="O'Sullivan"/>
    <x v="2"/>
    <n v="150000"/>
    <s v="Liam  O'Sullivan"/>
  </r>
  <r>
    <s v="Michael Frick"/>
    <s v="Sophia"/>
    <s v="Rossi"/>
    <x v="2"/>
    <n v="150000"/>
    <s v="Sophia  Rossi"/>
  </r>
  <r>
    <s v="Valarie Franco"/>
    <s v="Emma"/>
    <s v="Hansen"/>
    <x v="3"/>
    <n v="100000"/>
    <s v="Emma  Hansen"/>
  </r>
  <r>
    <s v="Leslie Taylor"/>
    <s v="Ethan"/>
    <s v="Lee"/>
    <x v="2"/>
    <n v="30000"/>
    <s v="Ethan  Lee"/>
  </r>
  <r>
    <s v="Marta Hernandez"/>
    <s v="Isabella"/>
    <s v="Garcia"/>
    <x v="1"/>
    <n v="150000"/>
    <s v="Isabella  Garcia"/>
  </r>
  <r>
    <s v="Julie King"/>
    <s v="Noah"/>
    <s v="Meier"/>
    <x v="1"/>
    <n v="100000"/>
    <s v="Noah  Meier"/>
  </r>
  <r>
    <s v="Matti Karttunen"/>
    <s v="Ava"/>
    <s v="Williams"/>
    <x v="0"/>
    <n v="150000"/>
    <s v="Ava  Williams"/>
  </r>
  <r>
    <s v="Francisca Cervantes"/>
    <s v="Dev"/>
    <s v="Patel"/>
    <x v="4"/>
    <n v="100000"/>
    <s v="Dev  Patel"/>
  </r>
  <r>
    <s v="Michael Donnermeyer"/>
    <s v="Mia"/>
    <s v="Khan"/>
    <x v="0"/>
    <n v="30000"/>
    <s v="Mia  Khan"/>
  </r>
  <r>
    <s v="Yoshi Tannamuri"/>
    <s v="William"/>
    <s v="Brown"/>
    <x v="3"/>
    <n v="100000"/>
    <s v="William  Brown"/>
  </r>
  <r>
    <s v="Juri Yoshido"/>
    <s v="Sophie"/>
    <s v="Gruber"/>
    <x v="4"/>
    <n v="100000"/>
    <s v="Sophie  Gruber"/>
  </r>
  <r>
    <s v="Jan Klaeboe"/>
    <s v="Lucas"/>
    <s v="Nielsen"/>
    <x v="3"/>
    <n v="150000"/>
    <s v="Lucas  Nielsen"/>
  </r>
  <r>
    <s v="Pirkko Koskitalo"/>
    <s v="Aino"/>
    <s v="Virtanen"/>
    <x v="2"/>
    <n v="100000"/>
    <s v="Aino  Virtanen"/>
  </r>
  <r>
    <s v="Maurizio Moroni"/>
    <s v="Emily"/>
    <s v="Dubois"/>
    <x v="4"/>
    <n v="150000"/>
    <s v="Emily  Dubois"/>
  </r>
  <r>
    <s v="Wendy Victorino"/>
    <s v="Benjamin"/>
    <s v="Weber"/>
    <x v="0"/>
    <n v="250000"/>
    <s v="Benjamin  Weber"/>
  </r>
  <r>
    <s v="Eduardo Saavedra"/>
    <s v="Emily"/>
    <s v="Murphy"/>
    <x v="1"/>
    <n v="50000"/>
    <s v="Emily  Murphy"/>
  </r>
  <r>
    <s v="Ann Brown"/>
    <s v="Marco"/>
    <s v="Bianchi"/>
    <x v="1"/>
    <n v="100000"/>
    <s v="Marco  Bianchi"/>
  </r>
  <r>
    <s v="Valarie Young"/>
    <s v="Lucas"/>
    <s v="Olsen"/>
    <x v="3"/>
    <n v="150000"/>
    <s v="Lucas  Olsen"/>
  </r>
  <r>
    <s v="Maria Larsson"/>
    <s v="Benjamin"/>
    <s v="Chen"/>
    <x v="4"/>
    <n v="150000"/>
    <s v="Benjamin  Chen"/>
  </r>
  <r>
    <s v="Eric Natividad"/>
    <s v="Daniela"/>
    <s v="Hernandez"/>
    <x v="3"/>
    <n v="200000"/>
    <s v="Daniela  Hernandez"/>
  </r>
  <r>
    <s v="Julie Murphy"/>
    <s v="Liam"/>
    <s v="Baumann"/>
    <x v="2"/>
    <n v="150000"/>
    <s v="Liam  Baumann"/>
  </r>
  <r>
    <s v="Wing C Tam"/>
    <s v="Charlotte"/>
    <s v="Miller"/>
    <x v="3"/>
    <n v="100000"/>
    <s v="Charlotte  Miller"/>
  </r>
  <r>
    <s v="Sean Connery"/>
    <s v="Priya"/>
    <s v="Kapoor"/>
    <x v="1"/>
    <n v="100000"/>
    <s v="Priya  Kapoor"/>
  </r>
  <r>
    <s v="Veysel Oeztan"/>
    <s v="Oliver"/>
    <s v="Kumar"/>
    <x v="2"/>
    <n v="150000"/>
    <s v="Oliver  Kumar"/>
  </r>
  <r>
    <s v="Michael Holz"/>
    <s v="Amelia"/>
    <s v="Johnson"/>
    <x v="0"/>
    <n v="150000"/>
    <s v="Amelia  Johnson"/>
  </r>
  <r>
    <s v="Roland Keitel"/>
    <s v="Lukas"/>
    <s v="Schmidt"/>
    <x v="1"/>
    <n v="80000"/>
    <s v="Lukas  Schmidt"/>
  </r>
  <r>
    <s v="Pascale Cartrain"/>
    <s v="Olivia"/>
    <s v="Jensen"/>
    <x v="2"/>
    <n v="50000"/>
    <s v="Olivia  Jensen"/>
  </r>
  <r>
    <s v="Leslie Young"/>
    <s v="Sofia"/>
    <s v="Laine"/>
    <x v="3"/>
    <n v="30000"/>
    <s v="Sofia  Laine"/>
  </r>
  <r>
    <s v="Michael Chandler"/>
    <s v="Chloe"/>
    <s v="Dupont"/>
    <x v="2"/>
    <n v="80000"/>
    <s v="Chloe  Dupont"/>
  </r>
  <r>
    <s v="Allen Nelson"/>
    <s v="Alexander"/>
    <s v="Müller"/>
    <x v="1"/>
    <n v="100000"/>
    <s v="Alexander  Müller"/>
  </r>
  <r>
    <s v="Kee Kuo"/>
    <s v="Liam"/>
    <s v="O'Sullivan"/>
    <x v="2"/>
    <n v="200000"/>
    <s v="Liam  O'Sullivan"/>
  </r>
  <r>
    <s v="Helen Bennett"/>
    <s v="Sophia"/>
    <s v="Rossi"/>
    <x v="2"/>
    <n v="100000"/>
    <s v="Sophia  Rossi"/>
  </r>
  <r>
    <s v="Julie Young"/>
    <s v="Emma"/>
    <s v="Hansen"/>
    <x v="3"/>
    <n v="150000"/>
    <s v="Emma  Hansen"/>
  </r>
  <r>
    <s v="Leslie Murphy"/>
    <s v="Ethan"/>
    <s v="Lee"/>
    <x v="2"/>
    <n v="100000"/>
    <s v="Ethan  Lee"/>
  </r>
  <r>
    <s v="Jonas Bergulfsen"/>
    <s v="Isabella"/>
    <s v="Garcia"/>
    <x v="1"/>
    <n v="150000"/>
    <s v="Isabella  Garcia"/>
  </r>
  <r>
    <s v="Palle Ibsen"/>
    <s v="Noah"/>
    <s v="Meier"/>
    <x v="1"/>
    <n v="100000"/>
    <s v="Noah  Meier"/>
  </r>
  <r>
    <s v="Jose Pedro Roel"/>
    <s v="Ava"/>
    <s v="Williams"/>
    <x v="0"/>
    <n v="100000"/>
    <s v="Ava  Williams"/>
  </r>
  <r>
    <s v="Elizabeth Devon"/>
    <s v="Dev"/>
    <s v="Patel"/>
    <x v="4"/>
    <n v="100000"/>
    <s v="Dev  Patel"/>
  </r>
  <r>
    <s v="Steve Thompson"/>
    <s v="Mia"/>
    <s v="Khan"/>
    <x v="0"/>
    <n v="100000"/>
    <s v="Mia  Khan"/>
  </r>
  <r>
    <s v="Daniel Tonini"/>
    <s v="William"/>
    <s v="Brown"/>
    <x v="3"/>
    <n v="100000"/>
    <s v="William  Brown"/>
  </r>
  <r>
    <s v="Tony Calaghan"/>
    <s v="Sophie"/>
    <s v="Gruber"/>
    <x v="4"/>
    <n v="80000"/>
    <s v="Sophie  Gruber"/>
  </r>
  <r>
    <s v="Jean Fresnisre"/>
    <s v="Lucas"/>
    <s v="Nielsen"/>
    <x v="3"/>
    <n v="100000"/>
    <s v="Lucas  Nielsen"/>
  </r>
  <r>
    <s v="Carine Schmitt"/>
    <s v="Aino"/>
    <s v="Virtanen"/>
    <x v="2"/>
    <n v="30000"/>
    <s v="Aino  Virtanen"/>
  </r>
  <r>
    <s v="Dan Lewis"/>
    <s v="Emily"/>
    <s v="Dubois"/>
    <x v="4"/>
    <n v="30000"/>
    <s v="Emily  Dubois"/>
  </r>
  <r>
    <s v="Sue Frick"/>
    <s v="Benjamin"/>
    <s v="Weber"/>
    <x v="0"/>
    <n v="200000"/>
    <s v="Benjamin  Weber"/>
  </r>
  <r>
    <s v="William Brown"/>
    <s v="Emily"/>
    <s v="Murphy"/>
    <x v="1"/>
    <n v="80000"/>
    <s v="Emily  Murphy"/>
  </r>
  <r>
    <s v="Peter Ferguson"/>
    <s v="Marco"/>
    <s v="Bianchi"/>
    <x v="1"/>
    <n v="250000"/>
    <s v="Marco  Bianchi"/>
  </r>
  <r>
    <s v="Kyung Tseng"/>
    <s v="Lucas"/>
    <s v="Olsen"/>
    <x v="3"/>
    <n v="100000"/>
    <s v="Lucas  Olsen"/>
  </r>
  <r>
    <s v="Martine Rance"/>
    <s v="Benjamin"/>
    <s v="Chen"/>
    <x v="4"/>
    <n v="150000"/>
    <s v="Benjamin  Chen"/>
  </r>
  <r>
    <s v="Sue Taylor"/>
    <s v="Daniela"/>
    <s v="Hernandez"/>
    <x v="3"/>
    <n v="100000"/>
    <s v="Daniela  Hernandez"/>
  </r>
  <r>
    <s v="Miguel Barajas"/>
    <s v="Liam"/>
    <s v="Baumann"/>
    <x v="2"/>
    <n v="50000"/>
    <s v="Liam  Baumann"/>
  </r>
  <r>
    <s v="Valarie Thompson"/>
    <s v="Charlotte"/>
    <s v="Miller"/>
    <x v="3"/>
    <n v="80000"/>
    <s v="Charlotte  Miller"/>
  </r>
  <r>
    <s v="Roland Mendel"/>
    <s v="Priya"/>
    <s v="Kapoor"/>
    <x v="1"/>
    <n v="100000"/>
    <s v="Priya  Kapoor"/>
  </r>
  <r>
    <s v="Maria Hernandez"/>
    <s v="Oliver"/>
    <s v="Kumar"/>
    <x v="2"/>
    <n v="80000"/>
    <s v="Oliver  Kumar"/>
  </r>
  <r>
    <s v="Mory Kentary"/>
    <s v="Noah"/>
    <s v="Meier"/>
    <x v="1"/>
    <n v="100000"/>
    <s v="Noah  Meier"/>
  </r>
  <r>
    <s v="Jesus Fernandez"/>
    <s v="Ava"/>
    <s v="Williams"/>
    <x v="0"/>
    <n v="50000"/>
    <s v="Ava  William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5B0C49-96AE-2F4A-8188-82A034900E9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F3:H10" firstHeaderRow="0" firstDataRow="1" firstDataCol="1"/>
  <pivotFields count="20">
    <pivotField dataField="1" showAll="0"/>
    <pivotField showAll="0"/>
    <pivotField showAll="0"/>
    <pivotField numFmtId="165" showAll="0"/>
    <pivotField showAll="0"/>
    <pivotField showAll="0"/>
    <pivotField dataField="1" showAll="0"/>
    <pivotField showAll="0"/>
    <pivotField numFmtId="14" showAll="0">
      <items count="366">
        <item x="330"/>
        <item x="80"/>
        <item x="54"/>
        <item x="203"/>
        <item x="111"/>
        <item x="79"/>
        <item x="336"/>
        <item x="297"/>
        <item x="313"/>
        <item x="293"/>
        <item x="156"/>
        <item x="76"/>
        <item x="78"/>
        <item x="170"/>
        <item x="161"/>
        <item x="181"/>
        <item x="89"/>
        <item x="247"/>
        <item x="18"/>
        <item x="163"/>
        <item x="325"/>
        <item x="304"/>
        <item x="21"/>
        <item x="275"/>
        <item x="308"/>
        <item x="112"/>
        <item x="128"/>
        <item x="323"/>
        <item x="66"/>
        <item x="214"/>
        <item x="236"/>
        <item x="363"/>
        <item x="139"/>
        <item x="151"/>
        <item x="189"/>
        <item x="195"/>
        <item x="49"/>
        <item x="73"/>
        <item x="131"/>
        <item x="177"/>
        <item x="115"/>
        <item x="104"/>
        <item x="199"/>
        <item x="301"/>
        <item x="157"/>
        <item x="146"/>
        <item x="197"/>
        <item x="38"/>
        <item x="6"/>
        <item x="110"/>
        <item x="31"/>
        <item x="338"/>
        <item x="184"/>
        <item x="39"/>
        <item x="160"/>
        <item x="84"/>
        <item x="269"/>
        <item x="298"/>
        <item x="145"/>
        <item x="130"/>
        <item x="137"/>
        <item x="30"/>
        <item x="272"/>
        <item x="346"/>
        <item x="281"/>
        <item x="87"/>
        <item x="5"/>
        <item x="351"/>
        <item x="358"/>
        <item x="250"/>
        <item x="242"/>
        <item x="317"/>
        <item x="97"/>
        <item x="225"/>
        <item x="29"/>
        <item x="19"/>
        <item x="23"/>
        <item x="140"/>
        <item x="171"/>
        <item x="28"/>
        <item x="296"/>
        <item x="320"/>
        <item x="294"/>
        <item x="118"/>
        <item x="132"/>
        <item x="202"/>
        <item x="83"/>
        <item x="284"/>
        <item x="101"/>
        <item x="60"/>
        <item x="219"/>
        <item x="67"/>
        <item x="129"/>
        <item x="127"/>
        <item x="95"/>
        <item x="253"/>
        <item x="194"/>
        <item x="348"/>
        <item x="364"/>
        <item x="162"/>
        <item x="147"/>
        <item x="361"/>
        <item x="260"/>
        <item x="70"/>
        <item x="245"/>
        <item x="193"/>
        <item x="107"/>
        <item x="255"/>
        <item x="108"/>
        <item x="165"/>
        <item x="276"/>
        <item x="246"/>
        <item x="218"/>
        <item x="290"/>
        <item x="134"/>
        <item x="48"/>
        <item x="321"/>
        <item x="335"/>
        <item x="1"/>
        <item x="295"/>
        <item x="291"/>
        <item x="211"/>
        <item x="141"/>
        <item x="356"/>
        <item x="106"/>
        <item x="288"/>
        <item x="37"/>
        <item x="215"/>
        <item x="182"/>
        <item x="51"/>
        <item x="44"/>
        <item x="57"/>
        <item x="99"/>
        <item x="173"/>
        <item x="116"/>
        <item x="144"/>
        <item x="46"/>
        <item x="153"/>
        <item x="133"/>
        <item x="125"/>
        <item x="176"/>
        <item x="310"/>
        <item x="349"/>
        <item x="164"/>
        <item x="262"/>
        <item x="221"/>
        <item x="278"/>
        <item x="229"/>
        <item x="42"/>
        <item x="243"/>
        <item x="179"/>
        <item x="228"/>
        <item x="266"/>
        <item x="24"/>
        <item x="190"/>
        <item x="12"/>
        <item x="174"/>
        <item x="69"/>
        <item x="267"/>
        <item x="61"/>
        <item x="117"/>
        <item x="20"/>
        <item x="342"/>
        <item x="252"/>
        <item x="124"/>
        <item x="123"/>
        <item x="58"/>
        <item x="234"/>
        <item x="345"/>
        <item x="337"/>
        <item x="168"/>
        <item x="240"/>
        <item x="82"/>
        <item x="93"/>
        <item x="53"/>
        <item x="138"/>
        <item x="314"/>
        <item x="328"/>
        <item x="285"/>
        <item x="305"/>
        <item x="35"/>
        <item x="41"/>
        <item x="143"/>
        <item x="32"/>
        <item x="167"/>
        <item x="324"/>
        <item x="191"/>
        <item x="264"/>
        <item x="210"/>
        <item x="63"/>
        <item x="311"/>
        <item x="149"/>
        <item x="222"/>
        <item x="50"/>
        <item x="344"/>
        <item x="102"/>
        <item x="220"/>
        <item x="212"/>
        <item x="334"/>
        <item x="316"/>
        <item x="265"/>
        <item x="77"/>
        <item x="302"/>
        <item x="205"/>
        <item x="200"/>
        <item x="331"/>
        <item x="10"/>
        <item x="85"/>
        <item x="209"/>
        <item x="154"/>
        <item x="113"/>
        <item x="25"/>
        <item x="238"/>
        <item x="159"/>
        <item x="135"/>
        <item x="353"/>
        <item x="188"/>
        <item x="187"/>
        <item x="258"/>
        <item x="98"/>
        <item x="282"/>
        <item x="347"/>
        <item x="340"/>
        <item x="166"/>
        <item x="186"/>
        <item x="192"/>
        <item x="227"/>
        <item x="280"/>
        <item x="122"/>
        <item x="150"/>
        <item x="158"/>
        <item x="251"/>
        <item x="233"/>
        <item x="183"/>
        <item x="333"/>
        <item x="15"/>
        <item x="332"/>
        <item x="230"/>
        <item x="352"/>
        <item x="207"/>
        <item x="248"/>
        <item x="74"/>
        <item x="198"/>
        <item x="271"/>
        <item x="204"/>
        <item x="232"/>
        <item x="318"/>
        <item x="86"/>
        <item x="339"/>
        <item x="196"/>
        <item x="315"/>
        <item x="360"/>
        <item x="22"/>
        <item x="241"/>
        <item x="148"/>
        <item x="268"/>
        <item x="237"/>
        <item x="90"/>
        <item x="254"/>
        <item x="213"/>
        <item x="121"/>
        <item x="274"/>
        <item x="273"/>
        <item x="206"/>
        <item x="64"/>
        <item x="71"/>
        <item x="56"/>
        <item x="43"/>
        <item x="239"/>
        <item x="299"/>
        <item x="270"/>
        <item x="359"/>
        <item x="261"/>
        <item x="142"/>
        <item x="155"/>
        <item x="307"/>
        <item x="14"/>
        <item x="75"/>
        <item x="45"/>
        <item x="286"/>
        <item x="319"/>
        <item x="208"/>
        <item x="33"/>
        <item x="329"/>
        <item x="303"/>
        <item x="17"/>
        <item x="256"/>
        <item x="59"/>
        <item x="114"/>
        <item x="152"/>
        <item x="47"/>
        <item x="16"/>
        <item x="55"/>
        <item x="96"/>
        <item x="322"/>
        <item x="235"/>
        <item x="52"/>
        <item x="343"/>
        <item x="4"/>
        <item x="34"/>
        <item x="65"/>
        <item x="327"/>
        <item x="300"/>
        <item x="287"/>
        <item x="172"/>
        <item x="105"/>
        <item x="9"/>
        <item x="244"/>
        <item x="36"/>
        <item x="175"/>
        <item x="91"/>
        <item x="27"/>
        <item x="119"/>
        <item x="283"/>
        <item x="68"/>
        <item x="109"/>
        <item x="306"/>
        <item x="362"/>
        <item x="355"/>
        <item x="40"/>
        <item x="169"/>
        <item x="62"/>
        <item x="249"/>
        <item x="216"/>
        <item x="185"/>
        <item x="357"/>
        <item x="7"/>
        <item x="126"/>
        <item x="120"/>
        <item x="289"/>
        <item x="13"/>
        <item x="3"/>
        <item x="178"/>
        <item x="26"/>
        <item x="326"/>
        <item x="180"/>
        <item x="201"/>
        <item x="354"/>
        <item x="223"/>
        <item x="136"/>
        <item x="226"/>
        <item x="263"/>
        <item x="100"/>
        <item x="309"/>
        <item x="224"/>
        <item x="92"/>
        <item x="88"/>
        <item x="94"/>
        <item x="0"/>
        <item x="257"/>
        <item x="72"/>
        <item x="11"/>
        <item x="350"/>
        <item x="341"/>
        <item x="103"/>
        <item x="217"/>
        <item x="8"/>
        <item x="231"/>
        <item x="312"/>
        <item x="81"/>
        <item x="292"/>
        <item x="259"/>
        <item x="277"/>
        <item x="2"/>
        <item x="279"/>
        <item t="default"/>
      </items>
    </pivotField>
    <pivotField numFmtId="21" showAll="0">
      <items count="222">
        <item x="168"/>
        <item x="16"/>
        <item x="186"/>
        <item x="130"/>
        <item x="121"/>
        <item x="12"/>
        <item x="207"/>
        <item x="31"/>
        <item x="37"/>
        <item x="92"/>
        <item x="7"/>
        <item x="122"/>
        <item x="52"/>
        <item x="32"/>
        <item x="156"/>
        <item x="127"/>
        <item x="84"/>
        <item x="210"/>
        <item x="95"/>
        <item x="8"/>
        <item x="128"/>
        <item x="142"/>
        <item x="83"/>
        <item x="124"/>
        <item x="195"/>
        <item x="65"/>
        <item x="219"/>
        <item x="49"/>
        <item x="103"/>
        <item x="209"/>
        <item x="177"/>
        <item x="117"/>
        <item x="47"/>
        <item x="161"/>
        <item x="200"/>
        <item x="173"/>
        <item x="109"/>
        <item x="211"/>
        <item x="152"/>
        <item x="76"/>
        <item x="86"/>
        <item x="14"/>
        <item x="118"/>
        <item x="203"/>
        <item x="59"/>
        <item x="129"/>
        <item x="189"/>
        <item x="46"/>
        <item x="33"/>
        <item x="45"/>
        <item x="104"/>
        <item x="179"/>
        <item x="102"/>
        <item x="143"/>
        <item x="220"/>
        <item x="212"/>
        <item x="217"/>
        <item x="157"/>
        <item x="132"/>
        <item x="23"/>
        <item x="160"/>
        <item x="216"/>
        <item x="131"/>
        <item x="202"/>
        <item x="199"/>
        <item x="82"/>
        <item x="198"/>
        <item x="98"/>
        <item x="204"/>
        <item x="41"/>
        <item x="197"/>
        <item x="113"/>
        <item x="180"/>
        <item x="214"/>
        <item x="205"/>
        <item x="185"/>
        <item x="13"/>
        <item x="208"/>
        <item x="170"/>
        <item x="17"/>
        <item x="196"/>
        <item x="55"/>
        <item x="106"/>
        <item x="218"/>
        <item x="90"/>
        <item x="145"/>
        <item x="119"/>
        <item x="188"/>
        <item x="147"/>
        <item x="193"/>
        <item x="165"/>
        <item x="206"/>
        <item x="133"/>
        <item x="184"/>
        <item x="5"/>
        <item x="178"/>
        <item x="105"/>
        <item x="125"/>
        <item x="26"/>
        <item x="110"/>
        <item x="158"/>
        <item x="25"/>
        <item x="171"/>
        <item x="144"/>
        <item x="114"/>
        <item x="183"/>
        <item x="182"/>
        <item x="159"/>
        <item x="163"/>
        <item x="40"/>
        <item x="66"/>
        <item x="175"/>
        <item x="176"/>
        <item x="4"/>
        <item x="15"/>
        <item x="70"/>
        <item x="136"/>
        <item x="18"/>
        <item x="190"/>
        <item x="140"/>
        <item x="24"/>
        <item x="27"/>
        <item x="69"/>
        <item x="137"/>
        <item x="154"/>
        <item x="56"/>
        <item x="141"/>
        <item x="191"/>
        <item x="79"/>
        <item x="134"/>
        <item x="71"/>
        <item x="213"/>
        <item x="57"/>
        <item x="91"/>
        <item x="62"/>
        <item x="99"/>
        <item x="74"/>
        <item x="135"/>
        <item x="78"/>
        <item x="80"/>
        <item x="101"/>
        <item x="1"/>
        <item x="155"/>
        <item x="38"/>
        <item x="169"/>
        <item x="146"/>
        <item x="164"/>
        <item x="9"/>
        <item x="100"/>
        <item x="153"/>
        <item x="43"/>
        <item x="194"/>
        <item x="87"/>
        <item x="94"/>
        <item x="187"/>
        <item x="174"/>
        <item x="166"/>
        <item x="138"/>
        <item x="116"/>
        <item x="96"/>
        <item x="181"/>
        <item x="126"/>
        <item x="63"/>
        <item x="89"/>
        <item x="72"/>
        <item x="64"/>
        <item x="48"/>
        <item x="22"/>
        <item x="34"/>
        <item x="149"/>
        <item x="81"/>
        <item x="107"/>
        <item x="10"/>
        <item x="19"/>
        <item x="97"/>
        <item x="172"/>
        <item x="123"/>
        <item x="61"/>
        <item x="20"/>
        <item x="139"/>
        <item x="167"/>
        <item x="68"/>
        <item x="2"/>
        <item x="54"/>
        <item x="6"/>
        <item x="115"/>
        <item x="148"/>
        <item x="151"/>
        <item x="108"/>
        <item x="39"/>
        <item x="50"/>
        <item x="111"/>
        <item x="3"/>
        <item x="58"/>
        <item x="53"/>
        <item x="21"/>
        <item x="67"/>
        <item x="120"/>
        <item x="201"/>
        <item x="162"/>
        <item x="11"/>
        <item x="51"/>
        <item x="60"/>
        <item x="215"/>
        <item x="112"/>
        <item x="85"/>
        <item x="29"/>
        <item x="77"/>
        <item x="75"/>
        <item x="88"/>
        <item x="35"/>
        <item x="0"/>
        <item x="93"/>
        <item x="30"/>
        <item x="36"/>
        <item x="73"/>
        <item x="44"/>
        <item x="150"/>
        <item x="42"/>
        <item x="28"/>
        <item x="192"/>
        <item t="default"/>
      </items>
    </pivotField>
    <pivotField showAll="0"/>
    <pivotField showAll="0"/>
    <pivotField showAll="0">
      <items count="31">
        <item x="26"/>
        <item x="0"/>
        <item x="25"/>
        <item x="15"/>
        <item x="6"/>
        <item x="28"/>
        <item x="27"/>
        <item x="17"/>
        <item x="19"/>
        <item x="13"/>
        <item x="29"/>
        <item x="11"/>
        <item x="3"/>
        <item x="24"/>
        <item x="14"/>
        <item x="8"/>
        <item x="9"/>
        <item x="21"/>
        <item x="2"/>
        <item x="4"/>
        <item x="10"/>
        <item x="23"/>
        <item x="12"/>
        <item x="7"/>
        <item x="18"/>
        <item x="16"/>
        <item x="5"/>
        <item x="1"/>
        <item x="20"/>
        <item x="22"/>
        <item t="default"/>
      </items>
    </pivotField>
    <pivotField showAll="0"/>
    <pivotField showAll="0">
      <items count="10">
        <item x="0"/>
        <item x="1"/>
        <item x="2"/>
        <item x="3"/>
        <item x="4"/>
        <item x="5"/>
        <item x="6"/>
        <item x="7"/>
        <item x="8"/>
        <item t="default"/>
      </items>
    </pivotField>
    <pivotField showAll="0">
      <items count="5">
        <item x="2"/>
        <item x="0"/>
        <item x="3"/>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sortType="descending">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autoSortScope>
        <pivotArea dataOnly="0" outline="0" fieldPosition="0">
          <references count="1">
            <reference field="4294967294" count="1" selected="0">
              <x v="1"/>
            </reference>
          </references>
        </pivotArea>
      </autoSortScope>
    </pivotField>
  </pivotFields>
  <rowFields count="1">
    <field x="19"/>
  </rowFields>
  <rowItems count="7">
    <i>
      <x v="5"/>
    </i>
    <i>
      <x v="13"/>
    </i>
    <i>
      <x v="2"/>
    </i>
    <i>
      <x v="11"/>
    </i>
    <i>
      <x v="12"/>
    </i>
    <i>
      <x v="3"/>
    </i>
    <i t="grand">
      <x/>
    </i>
  </rowItems>
  <colFields count="1">
    <field x="-2"/>
  </colFields>
  <colItems count="2">
    <i>
      <x/>
    </i>
    <i i="1">
      <x v="1"/>
    </i>
  </colItems>
  <dataFields count="2">
    <dataField name="Total order" fld="0" subtotal="count" baseField="0" baseItem="0"/>
    <dataField name="Sales  value" fld="6" subtotal="average" baseField="0" baseItem="0"/>
  </dataFields>
  <chartFormats count="1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1"/>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1428B8-73A4-2143-AB43-A73157AE3F9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I24:J30" firstHeaderRow="1" firstDataRow="1" firstDataCol="1"/>
  <pivotFields count="20">
    <pivotField showAll="0"/>
    <pivotField showAll="0"/>
    <pivotField showAll="0"/>
    <pivotField numFmtId="165" showAll="0"/>
    <pivotField showAll="0">
      <items count="5">
        <item x="3"/>
        <item x="0"/>
        <item x="2"/>
        <item x="1"/>
        <item t="default"/>
      </items>
    </pivotField>
    <pivotField showAll="0"/>
    <pivotField showAll="0"/>
    <pivotField showAll="0"/>
    <pivotField numFmtId="14" showAll="0">
      <items count="366">
        <item x="330"/>
        <item x="80"/>
        <item x="54"/>
        <item x="203"/>
        <item x="111"/>
        <item x="79"/>
        <item x="336"/>
        <item x="297"/>
        <item x="313"/>
        <item x="293"/>
        <item x="156"/>
        <item x="76"/>
        <item x="78"/>
        <item x="170"/>
        <item x="161"/>
        <item x="181"/>
        <item x="89"/>
        <item x="247"/>
        <item x="18"/>
        <item x="163"/>
        <item x="325"/>
        <item x="304"/>
        <item x="21"/>
        <item x="275"/>
        <item x="308"/>
        <item x="112"/>
        <item x="128"/>
        <item x="323"/>
        <item x="66"/>
        <item x="214"/>
        <item x="236"/>
        <item x="363"/>
        <item x="139"/>
        <item x="151"/>
        <item x="189"/>
        <item x="195"/>
        <item x="49"/>
        <item x="73"/>
        <item x="131"/>
        <item x="177"/>
        <item x="115"/>
        <item x="104"/>
        <item x="199"/>
        <item x="301"/>
        <item x="157"/>
        <item x="146"/>
        <item x="197"/>
        <item x="38"/>
        <item x="6"/>
        <item x="110"/>
        <item x="31"/>
        <item x="338"/>
        <item x="184"/>
        <item x="39"/>
        <item x="160"/>
        <item x="84"/>
        <item x="269"/>
        <item x="298"/>
        <item x="145"/>
        <item x="130"/>
        <item x="137"/>
        <item x="30"/>
        <item x="272"/>
        <item x="346"/>
        <item x="281"/>
        <item x="87"/>
        <item x="5"/>
        <item x="351"/>
        <item x="358"/>
        <item x="250"/>
        <item x="242"/>
        <item x="317"/>
        <item x="97"/>
        <item x="225"/>
        <item x="29"/>
        <item x="19"/>
        <item x="23"/>
        <item x="140"/>
        <item x="171"/>
        <item x="28"/>
        <item x="296"/>
        <item x="320"/>
        <item x="294"/>
        <item x="118"/>
        <item x="132"/>
        <item x="202"/>
        <item x="83"/>
        <item x="284"/>
        <item x="101"/>
        <item x="60"/>
        <item x="219"/>
        <item x="67"/>
        <item x="129"/>
        <item x="127"/>
        <item x="95"/>
        <item x="253"/>
        <item x="194"/>
        <item x="348"/>
        <item x="364"/>
        <item x="162"/>
        <item x="147"/>
        <item x="361"/>
        <item x="260"/>
        <item x="70"/>
        <item x="245"/>
        <item x="193"/>
        <item x="107"/>
        <item x="255"/>
        <item x="108"/>
        <item x="165"/>
        <item x="276"/>
        <item x="246"/>
        <item x="218"/>
        <item x="290"/>
        <item x="134"/>
        <item x="48"/>
        <item x="321"/>
        <item x="335"/>
        <item x="1"/>
        <item x="295"/>
        <item x="291"/>
        <item x="211"/>
        <item x="141"/>
        <item x="356"/>
        <item x="106"/>
        <item x="288"/>
        <item x="37"/>
        <item x="215"/>
        <item x="182"/>
        <item x="51"/>
        <item x="44"/>
        <item x="57"/>
        <item x="99"/>
        <item x="173"/>
        <item x="116"/>
        <item x="144"/>
        <item x="46"/>
        <item x="153"/>
        <item x="133"/>
        <item x="125"/>
        <item x="176"/>
        <item x="310"/>
        <item x="349"/>
        <item x="164"/>
        <item x="262"/>
        <item x="221"/>
        <item x="278"/>
        <item x="229"/>
        <item x="42"/>
        <item x="243"/>
        <item x="179"/>
        <item x="228"/>
        <item x="266"/>
        <item x="24"/>
        <item x="190"/>
        <item x="12"/>
        <item x="174"/>
        <item x="69"/>
        <item x="267"/>
        <item x="61"/>
        <item x="117"/>
        <item x="20"/>
        <item x="342"/>
        <item x="252"/>
        <item x="124"/>
        <item x="123"/>
        <item x="58"/>
        <item x="234"/>
        <item x="345"/>
        <item x="337"/>
        <item x="168"/>
        <item x="240"/>
        <item x="82"/>
        <item x="93"/>
        <item x="53"/>
        <item x="138"/>
        <item x="314"/>
        <item x="328"/>
        <item x="285"/>
        <item x="305"/>
        <item x="35"/>
        <item x="41"/>
        <item x="143"/>
        <item x="32"/>
        <item x="167"/>
        <item x="324"/>
        <item x="191"/>
        <item x="264"/>
        <item x="210"/>
        <item x="63"/>
        <item x="311"/>
        <item x="149"/>
        <item x="222"/>
        <item x="50"/>
        <item x="344"/>
        <item x="102"/>
        <item x="220"/>
        <item x="212"/>
        <item x="334"/>
        <item x="316"/>
        <item x="265"/>
        <item x="77"/>
        <item x="302"/>
        <item x="205"/>
        <item x="200"/>
        <item x="331"/>
        <item x="10"/>
        <item x="85"/>
        <item x="209"/>
        <item x="154"/>
        <item x="113"/>
        <item x="25"/>
        <item x="238"/>
        <item x="159"/>
        <item x="135"/>
        <item x="353"/>
        <item x="188"/>
        <item x="187"/>
        <item x="258"/>
        <item x="98"/>
        <item x="282"/>
        <item x="347"/>
        <item x="340"/>
        <item x="166"/>
        <item x="186"/>
        <item x="192"/>
        <item x="227"/>
        <item x="280"/>
        <item x="122"/>
        <item x="150"/>
        <item x="158"/>
        <item x="251"/>
        <item x="233"/>
        <item x="183"/>
        <item x="333"/>
        <item x="15"/>
        <item x="332"/>
        <item x="230"/>
        <item x="352"/>
        <item x="207"/>
        <item x="248"/>
        <item x="74"/>
        <item x="198"/>
        <item x="271"/>
        <item x="204"/>
        <item x="232"/>
        <item x="318"/>
        <item x="86"/>
        <item x="339"/>
        <item x="196"/>
        <item x="315"/>
        <item x="360"/>
        <item x="22"/>
        <item x="241"/>
        <item x="148"/>
        <item x="268"/>
        <item x="237"/>
        <item x="90"/>
        <item x="254"/>
        <item x="213"/>
        <item x="121"/>
        <item x="274"/>
        <item x="273"/>
        <item x="206"/>
        <item x="64"/>
        <item x="71"/>
        <item x="56"/>
        <item x="43"/>
        <item x="239"/>
        <item x="299"/>
        <item x="270"/>
        <item x="359"/>
        <item x="261"/>
        <item x="142"/>
        <item x="155"/>
        <item x="307"/>
        <item x="14"/>
        <item x="75"/>
        <item x="45"/>
        <item x="286"/>
        <item x="319"/>
        <item x="208"/>
        <item x="33"/>
        <item x="329"/>
        <item x="303"/>
        <item x="17"/>
        <item x="256"/>
        <item x="59"/>
        <item x="114"/>
        <item x="152"/>
        <item x="47"/>
        <item x="16"/>
        <item x="55"/>
        <item x="96"/>
        <item x="322"/>
        <item x="235"/>
        <item x="52"/>
        <item x="343"/>
        <item x="4"/>
        <item x="34"/>
        <item x="65"/>
        <item x="327"/>
        <item x="300"/>
        <item x="287"/>
        <item x="172"/>
        <item x="105"/>
        <item x="9"/>
        <item x="244"/>
        <item x="36"/>
        <item x="175"/>
        <item x="91"/>
        <item x="27"/>
        <item x="119"/>
        <item x="283"/>
        <item x="68"/>
        <item x="109"/>
        <item x="306"/>
        <item x="362"/>
        <item x="355"/>
        <item x="40"/>
        <item x="169"/>
        <item x="62"/>
        <item x="249"/>
        <item x="216"/>
        <item x="185"/>
        <item x="357"/>
        <item x="7"/>
        <item x="126"/>
        <item x="120"/>
        <item x="289"/>
        <item x="13"/>
        <item x="3"/>
        <item x="178"/>
        <item x="26"/>
        <item x="326"/>
        <item x="180"/>
        <item x="201"/>
        <item x="354"/>
        <item x="223"/>
        <item x="136"/>
        <item x="226"/>
        <item x="263"/>
        <item x="100"/>
        <item x="309"/>
        <item x="224"/>
        <item x="92"/>
        <item x="88"/>
        <item x="94"/>
        <item x="0"/>
        <item x="257"/>
        <item x="72"/>
        <item x="11"/>
        <item x="350"/>
        <item x="341"/>
        <item x="103"/>
        <item x="217"/>
        <item x="8"/>
        <item x="231"/>
        <item x="312"/>
        <item x="81"/>
        <item x="292"/>
        <item x="259"/>
        <item x="277"/>
        <item x="2"/>
        <item x="279"/>
        <item t="default"/>
      </items>
    </pivotField>
    <pivotField numFmtId="21" showAll="0">
      <items count="222">
        <item x="168"/>
        <item x="16"/>
        <item x="186"/>
        <item x="130"/>
        <item x="121"/>
        <item x="12"/>
        <item x="207"/>
        <item x="31"/>
        <item x="37"/>
        <item x="92"/>
        <item x="7"/>
        <item x="122"/>
        <item x="52"/>
        <item x="32"/>
        <item x="156"/>
        <item x="127"/>
        <item x="84"/>
        <item x="210"/>
        <item x="95"/>
        <item x="8"/>
        <item x="128"/>
        <item x="142"/>
        <item x="83"/>
        <item x="124"/>
        <item x="195"/>
        <item x="65"/>
        <item x="219"/>
        <item x="49"/>
        <item x="103"/>
        <item x="209"/>
        <item x="177"/>
        <item x="117"/>
        <item x="47"/>
        <item x="161"/>
        <item x="200"/>
        <item x="173"/>
        <item x="109"/>
        <item x="211"/>
        <item x="152"/>
        <item x="76"/>
        <item x="86"/>
        <item x="14"/>
        <item x="118"/>
        <item x="203"/>
        <item x="59"/>
        <item x="129"/>
        <item x="189"/>
        <item x="46"/>
        <item x="33"/>
        <item x="45"/>
        <item x="104"/>
        <item x="179"/>
        <item x="102"/>
        <item x="143"/>
        <item x="220"/>
        <item x="212"/>
        <item x="217"/>
        <item x="157"/>
        <item x="132"/>
        <item x="23"/>
        <item x="160"/>
        <item x="216"/>
        <item x="131"/>
        <item x="202"/>
        <item x="199"/>
        <item x="82"/>
        <item x="198"/>
        <item x="98"/>
        <item x="204"/>
        <item x="41"/>
        <item x="197"/>
        <item x="113"/>
        <item x="180"/>
        <item x="214"/>
        <item x="205"/>
        <item x="185"/>
        <item x="13"/>
        <item x="208"/>
        <item x="170"/>
        <item x="17"/>
        <item x="196"/>
        <item x="55"/>
        <item x="106"/>
        <item x="218"/>
        <item x="90"/>
        <item x="145"/>
        <item x="119"/>
        <item x="188"/>
        <item x="147"/>
        <item x="193"/>
        <item x="165"/>
        <item x="206"/>
        <item x="133"/>
        <item x="184"/>
        <item x="5"/>
        <item x="178"/>
        <item x="105"/>
        <item x="125"/>
        <item x="26"/>
        <item x="110"/>
        <item x="158"/>
        <item x="25"/>
        <item x="171"/>
        <item x="144"/>
        <item x="114"/>
        <item x="183"/>
        <item x="182"/>
        <item x="159"/>
        <item x="163"/>
        <item x="40"/>
        <item x="66"/>
        <item x="175"/>
        <item x="176"/>
        <item x="4"/>
        <item x="15"/>
        <item x="70"/>
        <item x="136"/>
        <item x="18"/>
        <item x="190"/>
        <item x="140"/>
        <item x="24"/>
        <item x="27"/>
        <item x="69"/>
        <item x="137"/>
        <item x="154"/>
        <item x="56"/>
        <item x="141"/>
        <item x="191"/>
        <item x="79"/>
        <item x="134"/>
        <item x="71"/>
        <item x="213"/>
        <item x="57"/>
        <item x="91"/>
        <item x="62"/>
        <item x="99"/>
        <item x="74"/>
        <item x="135"/>
        <item x="78"/>
        <item x="80"/>
        <item x="101"/>
        <item x="1"/>
        <item x="155"/>
        <item x="38"/>
        <item x="169"/>
        <item x="146"/>
        <item x="164"/>
        <item x="9"/>
        <item x="100"/>
        <item x="153"/>
        <item x="43"/>
        <item x="194"/>
        <item x="87"/>
        <item x="94"/>
        <item x="187"/>
        <item x="174"/>
        <item x="166"/>
        <item x="138"/>
        <item x="116"/>
        <item x="96"/>
        <item x="181"/>
        <item x="126"/>
        <item x="63"/>
        <item x="89"/>
        <item x="72"/>
        <item x="64"/>
        <item x="48"/>
        <item x="22"/>
        <item x="34"/>
        <item x="149"/>
        <item x="81"/>
        <item x="107"/>
        <item x="10"/>
        <item x="19"/>
        <item x="97"/>
        <item x="172"/>
        <item x="123"/>
        <item x="61"/>
        <item x="20"/>
        <item x="139"/>
        <item x="167"/>
        <item x="68"/>
        <item x="2"/>
        <item x="54"/>
        <item x="6"/>
        <item x="115"/>
        <item x="148"/>
        <item x="151"/>
        <item x="108"/>
        <item x="39"/>
        <item x="50"/>
        <item x="111"/>
        <item x="3"/>
        <item x="58"/>
        <item x="53"/>
        <item x="21"/>
        <item x="67"/>
        <item x="120"/>
        <item x="201"/>
        <item x="162"/>
        <item x="11"/>
        <item x="51"/>
        <item x="60"/>
        <item x="215"/>
        <item x="112"/>
        <item x="85"/>
        <item x="29"/>
        <item x="77"/>
        <item x="75"/>
        <item x="88"/>
        <item x="35"/>
        <item x="0"/>
        <item x="93"/>
        <item x="30"/>
        <item x="36"/>
        <item x="73"/>
        <item x="44"/>
        <item x="150"/>
        <item x="42"/>
        <item x="28"/>
        <item x="192"/>
        <item t="default"/>
      </items>
    </pivotField>
    <pivotField axis="axisRow" showAll="0">
      <items count="6">
        <item x="0"/>
        <item x="1"/>
        <item x="3"/>
        <item x="4"/>
        <item x="2"/>
        <item t="default"/>
      </items>
    </pivotField>
    <pivotField dataField="1" showAll="0"/>
    <pivotField showAll="0">
      <items count="31">
        <item x="26"/>
        <item x="0"/>
        <item x="25"/>
        <item x="15"/>
        <item x="6"/>
        <item x="28"/>
        <item x="27"/>
        <item x="17"/>
        <item x="19"/>
        <item x="13"/>
        <item x="29"/>
        <item x="11"/>
        <item x="3"/>
        <item x="24"/>
        <item x="14"/>
        <item x="8"/>
        <item x="9"/>
        <item x="21"/>
        <item x="2"/>
        <item x="4"/>
        <item x="10"/>
        <item x="23"/>
        <item x="12"/>
        <item x="7"/>
        <item x="18"/>
        <item x="16"/>
        <item x="5"/>
        <item x="1"/>
        <item x="20"/>
        <item x="22"/>
        <item t="default"/>
      </items>
    </pivotField>
    <pivotField showAll="0"/>
    <pivotField showAll="0">
      <items count="10">
        <item x="0"/>
        <item x="1"/>
        <item x="2"/>
        <item x="3"/>
        <item x="4"/>
        <item x="5"/>
        <item x="6"/>
        <item x="7"/>
        <item x="8"/>
        <item t="default"/>
      </items>
    </pivotField>
    <pivotField showAll="0">
      <items count="5">
        <item x="2"/>
        <item x="0"/>
        <item x="3"/>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6">
    <i>
      <x/>
    </i>
    <i>
      <x v="1"/>
    </i>
    <i>
      <x v="2"/>
    </i>
    <i>
      <x v="3"/>
    </i>
    <i>
      <x v="4"/>
    </i>
    <i t="grand">
      <x/>
    </i>
  </rowItems>
  <colItems count="1">
    <i/>
  </colItems>
  <dataFields count="1">
    <dataField name="Average of 2023 Sales Target" fld="11" subtotal="average" baseField="0" baseItem="0"/>
  </dataFields>
  <chartFormats count="13">
    <chartFormat chart="22"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3" format="2">
      <pivotArea type="data" outline="0" fieldPosition="0">
        <references count="2">
          <reference field="4294967294" count="1" selected="0">
            <x v="0"/>
          </reference>
          <reference field="10" count="1" selected="0">
            <x v="0"/>
          </reference>
        </references>
      </pivotArea>
    </chartFormat>
    <chartFormat chart="23" format="3">
      <pivotArea type="data" outline="0" fieldPosition="0">
        <references count="2">
          <reference field="4294967294" count="1" selected="0">
            <x v="0"/>
          </reference>
          <reference field="10" count="1" selected="0">
            <x v="1"/>
          </reference>
        </references>
      </pivotArea>
    </chartFormat>
    <chartFormat chart="23" format="4">
      <pivotArea type="data" outline="0" fieldPosition="0">
        <references count="2">
          <reference field="4294967294" count="1" selected="0">
            <x v="0"/>
          </reference>
          <reference field="10" count="1" selected="0">
            <x v="2"/>
          </reference>
        </references>
      </pivotArea>
    </chartFormat>
    <chartFormat chart="23" format="5">
      <pivotArea type="data" outline="0" fieldPosition="0">
        <references count="2">
          <reference field="4294967294" count="1" selected="0">
            <x v="0"/>
          </reference>
          <reference field="10" count="1" selected="0">
            <x v="3"/>
          </reference>
        </references>
      </pivotArea>
    </chartFormat>
    <chartFormat chart="23" format="6">
      <pivotArea type="data" outline="0" fieldPosition="0">
        <references count="2">
          <reference field="4294967294" count="1" selected="0">
            <x v="0"/>
          </reference>
          <reference field="10" count="1" selected="0">
            <x v="4"/>
          </reference>
        </references>
      </pivotArea>
    </chartFormat>
    <chartFormat chart="24" format="7" series="1">
      <pivotArea type="data" outline="0" fieldPosition="0">
        <references count="1">
          <reference field="4294967294" count="1" selected="0">
            <x v="0"/>
          </reference>
        </references>
      </pivotArea>
    </chartFormat>
    <chartFormat chart="24" format="8">
      <pivotArea type="data" outline="0" fieldPosition="0">
        <references count="2">
          <reference field="4294967294" count="1" selected="0">
            <x v="0"/>
          </reference>
          <reference field="10" count="1" selected="0">
            <x v="0"/>
          </reference>
        </references>
      </pivotArea>
    </chartFormat>
    <chartFormat chart="24" format="9">
      <pivotArea type="data" outline="0" fieldPosition="0">
        <references count="2">
          <reference field="4294967294" count="1" selected="0">
            <x v="0"/>
          </reference>
          <reference field="10" count="1" selected="0">
            <x v="1"/>
          </reference>
        </references>
      </pivotArea>
    </chartFormat>
    <chartFormat chart="24" format="10">
      <pivotArea type="data" outline="0" fieldPosition="0">
        <references count="2">
          <reference field="4294967294" count="1" selected="0">
            <x v="0"/>
          </reference>
          <reference field="10" count="1" selected="0">
            <x v="2"/>
          </reference>
        </references>
      </pivotArea>
    </chartFormat>
    <chartFormat chart="24" format="11">
      <pivotArea type="data" outline="0" fieldPosition="0">
        <references count="2">
          <reference field="4294967294" count="1" selected="0">
            <x v="0"/>
          </reference>
          <reference field="10" count="1" selected="0">
            <x v="3"/>
          </reference>
        </references>
      </pivotArea>
    </chartFormat>
    <chartFormat chart="24" format="12">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F5B578-8867-274F-BD2D-8107252802A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U3:V8" firstHeaderRow="1" firstDataRow="1" firstDataCol="1"/>
  <pivotFields count="20">
    <pivotField dataField="1" showAll="0"/>
    <pivotField showAll="0"/>
    <pivotField showAll="0"/>
    <pivotField numFmtId="165" showAll="0"/>
    <pivotField axis="axisRow" showAll="0" defaultSubtotal="0">
      <items count="4">
        <item x="3"/>
        <item x="0"/>
        <item x="2"/>
        <item x="1"/>
      </items>
    </pivotField>
    <pivotField showAll="0"/>
    <pivotField showAll="0"/>
    <pivotField showAll="0"/>
    <pivotField numFmtId="14" showAll="0">
      <items count="366">
        <item x="330"/>
        <item x="80"/>
        <item x="54"/>
        <item x="203"/>
        <item x="111"/>
        <item x="79"/>
        <item x="336"/>
        <item x="297"/>
        <item x="313"/>
        <item x="293"/>
        <item x="156"/>
        <item x="76"/>
        <item x="78"/>
        <item x="170"/>
        <item x="161"/>
        <item x="181"/>
        <item x="89"/>
        <item x="247"/>
        <item x="18"/>
        <item x="163"/>
        <item x="325"/>
        <item x="304"/>
        <item x="21"/>
        <item x="275"/>
        <item x="308"/>
        <item x="112"/>
        <item x="128"/>
        <item x="323"/>
        <item x="66"/>
        <item x="214"/>
        <item x="236"/>
        <item x="363"/>
        <item x="139"/>
        <item x="151"/>
        <item x="189"/>
        <item x="195"/>
        <item x="49"/>
        <item x="73"/>
        <item x="131"/>
        <item x="177"/>
        <item x="115"/>
        <item x="104"/>
        <item x="199"/>
        <item x="301"/>
        <item x="157"/>
        <item x="146"/>
        <item x="197"/>
        <item x="38"/>
        <item x="6"/>
        <item x="110"/>
        <item x="31"/>
        <item x="338"/>
        <item x="184"/>
        <item x="39"/>
        <item x="160"/>
        <item x="84"/>
        <item x="269"/>
        <item x="298"/>
        <item x="145"/>
        <item x="130"/>
        <item x="137"/>
        <item x="30"/>
        <item x="272"/>
        <item x="346"/>
        <item x="281"/>
        <item x="87"/>
        <item x="5"/>
        <item x="351"/>
        <item x="358"/>
        <item x="250"/>
        <item x="242"/>
        <item x="317"/>
        <item x="97"/>
        <item x="225"/>
        <item x="29"/>
        <item x="19"/>
        <item x="23"/>
        <item x="140"/>
        <item x="171"/>
        <item x="28"/>
        <item x="296"/>
        <item x="320"/>
        <item x="294"/>
        <item x="118"/>
        <item x="132"/>
        <item x="202"/>
        <item x="83"/>
        <item x="284"/>
        <item x="101"/>
        <item x="60"/>
        <item x="219"/>
        <item x="67"/>
        <item x="129"/>
        <item x="127"/>
        <item x="95"/>
        <item x="253"/>
        <item x="194"/>
        <item x="348"/>
        <item x="364"/>
        <item x="162"/>
        <item x="147"/>
        <item x="361"/>
        <item x="260"/>
        <item x="70"/>
        <item x="245"/>
        <item x="193"/>
        <item x="107"/>
        <item x="255"/>
        <item x="108"/>
        <item x="165"/>
        <item x="276"/>
        <item x="246"/>
        <item x="218"/>
        <item x="290"/>
        <item x="134"/>
        <item x="48"/>
        <item x="321"/>
        <item x="335"/>
        <item x="1"/>
        <item x="295"/>
        <item x="291"/>
        <item x="211"/>
        <item x="141"/>
        <item x="356"/>
        <item x="106"/>
        <item x="288"/>
        <item x="37"/>
        <item x="215"/>
        <item x="182"/>
        <item x="51"/>
        <item x="44"/>
        <item x="57"/>
        <item x="99"/>
        <item x="173"/>
        <item x="116"/>
        <item x="144"/>
        <item x="46"/>
        <item x="153"/>
        <item x="133"/>
        <item x="125"/>
        <item x="176"/>
        <item x="310"/>
        <item x="349"/>
        <item x="164"/>
        <item x="262"/>
        <item x="221"/>
        <item x="278"/>
        <item x="229"/>
        <item x="42"/>
        <item x="243"/>
        <item x="179"/>
        <item x="228"/>
        <item x="266"/>
        <item x="24"/>
        <item x="190"/>
        <item x="12"/>
        <item x="174"/>
        <item x="69"/>
        <item x="267"/>
        <item x="61"/>
        <item x="117"/>
        <item x="20"/>
        <item x="342"/>
        <item x="252"/>
        <item x="124"/>
        <item x="123"/>
        <item x="58"/>
        <item x="234"/>
        <item x="345"/>
        <item x="337"/>
        <item x="168"/>
        <item x="240"/>
        <item x="82"/>
        <item x="93"/>
        <item x="53"/>
        <item x="138"/>
        <item x="314"/>
        <item x="328"/>
        <item x="285"/>
        <item x="305"/>
        <item x="35"/>
        <item x="41"/>
        <item x="143"/>
        <item x="32"/>
        <item x="167"/>
        <item x="324"/>
        <item x="191"/>
        <item x="264"/>
        <item x="210"/>
        <item x="63"/>
        <item x="311"/>
        <item x="149"/>
        <item x="222"/>
        <item x="50"/>
        <item x="344"/>
        <item x="102"/>
        <item x="220"/>
        <item x="212"/>
        <item x="334"/>
        <item x="316"/>
        <item x="265"/>
        <item x="77"/>
        <item x="302"/>
        <item x="205"/>
        <item x="200"/>
        <item x="331"/>
        <item x="10"/>
        <item x="85"/>
        <item x="209"/>
        <item x="154"/>
        <item x="113"/>
        <item x="25"/>
        <item x="238"/>
        <item x="159"/>
        <item x="135"/>
        <item x="353"/>
        <item x="188"/>
        <item x="187"/>
        <item x="258"/>
        <item x="98"/>
        <item x="282"/>
        <item x="347"/>
        <item x="340"/>
        <item x="166"/>
        <item x="186"/>
        <item x="192"/>
        <item x="227"/>
        <item x="280"/>
        <item x="122"/>
        <item x="150"/>
        <item x="158"/>
        <item x="251"/>
        <item x="233"/>
        <item x="183"/>
        <item x="333"/>
        <item x="15"/>
        <item x="332"/>
        <item x="230"/>
        <item x="352"/>
        <item x="207"/>
        <item x="248"/>
        <item x="74"/>
        <item x="198"/>
        <item x="271"/>
        <item x="204"/>
        <item x="232"/>
        <item x="318"/>
        <item x="86"/>
        <item x="339"/>
        <item x="196"/>
        <item x="315"/>
        <item x="360"/>
        <item x="22"/>
        <item x="241"/>
        <item x="148"/>
        <item x="268"/>
        <item x="237"/>
        <item x="90"/>
        <item x="254"/>
        <item x="213"/>
        <item x="121"/>
        <item x="274"/>
        <item x="273"/>
        <item x="206"/>
        <item x="64"/>
        <item x="71"/>
        <item x="56"/>
        <item x="43"/>
        <item x="239"/>
        <item x="299"/>
        <item x="270"/>
        <item x="359"/>
        <item x="261"/>
        <item x="142"/>
        <item x="155"/>
        <item x="307"/>
        <item x="14"/>
        <item x="75"/>
        <item x="45"/>
        <item x="286"/>
        <item x="319"/>
        <item x="208"/>
        <item x="33"/>
        <item x="329"/>
        <item x="303"/>
        <item x="17"/>
        <item x="256"/>
        <item x="59"/>
        <item x="114"/>
        <item x="152"/>
        <item x="47"/>
        <item x="16"/>
        <item x="55"/>
        <item x="96"/>
        <item x="322"/>
        <item x="235"/>
        <item x="52"/>
        <item x="343"/>
        <item x="4"/>
        <item x="34"/>
        <item x="65"/>
        <item x="327"/>
        <item x="300"/>
        <item x="287"/>
        <item x="172"/>
        <item x="105"/>
        <item x="9"/>
        <item x="244"/>
        <item x="36"/>
        <item x="175"/>
        <item x="91"/>
        <item x="27"/>
        <item x="119"/>
        <item x="283"/>
        <item x="68"/>
        <item x="109"/>
        <item x="306"/>
        <item x="362"/>
        <item x="355"/>
        <item x="40"/>
        <item x="169"/>
        <item x="62"/>
        <item x="249"/>
        <item x="216"/>
        <item x="185"/>
        <item x="357"/>
        <item x="7"/>
        <item x="126"/>
        <item x="120"/>
        <item x="289"/>
        <item x="13"/>
        <item x="3"/>
        <item x="178"/>
        <item x="26"/>
        <item x="326"/>
        <item x="180"/>
        <item x="201"/>
        <item x="354"/>
        <item x="223"/>
        <item x="136"/>
        <item x="226"/>
        <item x="263"/>
        <item x="100"/>
        <item x="309"/>
        <item x="224"/>
        <item x="92"/>
        <item x="88"/>
        <item x="94"/>
        <item x="0"/>
        <item x="257"/>
        <item x="72"/>
        <item x="11"/>
        <item x="350"/>
        <item x="341"/>
        <item x="103"/>
        <item x="217"/>
        <item x="8"/>
        <item x="231"/>
        <item x="312"/>
        <item x="81"/>
        <item x="292"/>
        <item x="259"/>
        <item x="277"/>
        <item x="2"/>
        <item x="279"/>
        <item t="default"/>
      </items>
    </pivotField>
    <pivotField numFmtId="21" showAll="0">
      <items count="222">
        <item x="168"/>
        <item x="16"/>
        <item x="186"/>
        <item x="130"/>
        <item x="121"/>
        <item x="12"/>
        <item x="207"/>
        <item x="31"/>
        <item x="37"/>
        <item x="92"/>
        <item x="7"/>
        <item x="122"/>
        <item x="52"/>
        <item x="32"/>
        <item x="156"/>
        <item x="127"/>
        <item x="84"/>
        <item x="210"/>
        <item x="95"/>
        <item x="8"/>
        <item x="128"/>
        <item x="142"/>
        <item x="83"/>
        <item x="124"/>
        <item x="195"/>
        <item x="65"/>
        <item x="219"/>
        <item x="49"/>
        <item x="103"/>
        <item x="209"/>
        <item x="177"/>
        <item x="117"/>
        <item x="47"/>
        <item x="161"/>
        <item x="200"/>
        <item x="173"/>
        <item x="109"/>
        <item x="211"/>
        <item x="152"/>
        <item x="76"/>
        <item x="86"/>
        <item x="14"/>
        <item x="118"/>
        <item x="203"/>
        <item x="59"/>
        <item x="129"/>
        <item x="189"/>
        <item x="46"/>
        <item x="33"/>
        <item x="45"/>
        <item x="104"/>
        <item x="179"/>
        <item x="102"/>
        <item x="143"/>
        <item x="220"/>
        <item x="212"/>
        <item x="217"/>
        <item x="157"/>
        <item x="132"/>
        <item x="23"/>
        <item x="160"/>
        <item x="216"/>
        <item x="131"/>
        <item x="202"/>
        <item x="199"/>
        <item x="82"/>
        <item x="198"/>
        <item x="98"/>
        <item x="204"/>
        <item x="41"/>
        <item x="197"/>
        <item x="113"/>
        <item x="180"/>
        <item x="214"/>
        <item x="205"/>
        <item x="185"/>
        <item x="13"/>
        <item x="208"/>
        <item x="170"/>
        <item x="17"/>
        <item x="196"/>
        <item x="55"/>
        <item x="106"/>
        <item x="218"/>
        <item x="90"/>
        <item x="145"/>
        <item x="119"/>
        <item x="188"/>
        <item x="147"/>
        <item x="193"/>
        <item x="165"/>
        <item x="206"/>
        <item x="133"/>
        <item x="184"/>
        <item x="5"/>
        <item x="178"/>
        <item x="105"/>
        <item x="125"/>
        <item x="26"/>
        <item x="110"/>
        <item x="158"/>
        <item x="25"/>
        <item x="171"/>
        <item x="144"/>
        <item x="114"/>
        <item x="183"/>
        <item x="182"/>
        <item x="159"/>
        <item x="163"/>
        <item x="40"/>
        <item x="66"/>
        <item x="175"/>
        <item x="176"/>
        <item x="4"/>
        <item x="15"/>
        <item x="70"/>
        <item x="136"/>
        <item x="18"/>
        <item x="190"/>
        <item x="140"/>
        <item x="24"/>
        <item x="27"/>
        <item x="69"/>
        <item x="137"/>
        <item x="154"/>
        <item x="56"/>
        <item x="141"/>
        <item x="191"/>
        <item x="79"/>
        <item x="134"/>
        <item x="71"/>
        <item x="213"/>
        <item x="57"/>
        <item x="91"/>
        <item x="62"/>
        <item x="99"/>
        <item x="74"/>
        <item x="135"/>
        <item x="78"/>
        <item x="80"/>
        <item x="101"/>
        <item x="1"/>
        <item x="155"/>
        <item x="38"/>
        <item x="169"/>
        <item x="146"/>
        <item x="164"/>
        <item x="9"/>
        <item x="100"/>
        <item x="153"/>
        <item x="43"/>
        <item x="194"/>
        <item x="87"/>
        <item x="94"/>
        <item x="187"/>
        <item x="174"/>
        <item x="166"/>
        <item x="138"/>
        <item x="116"/>
        <item x="96"/>
        <item x="181"/>
        <item x="126"/>
        <item x="63"/>
        <item x="89"/>
        <item x="72"/>
        <item x="64"/>
        <item x="48"/>
        <item x="22"/>
        <item x="34"/>
        <item x="149"/>
        <item x="81"/>
        <item x="107"/>
        <item x="10"/>
        <item x="19"/>
        <item x="97"/>
        <item x="172"/>
        <item x="123"/>
        <item x="61"/>
        <item x="20"/>
        <item x="139"/>
        <item x="167"/>
        <item x="68"/>
        <item x="2"/>
        <item x="54"/>
        <item x="6"/>
        <item x="115"/>
        <item x="148"/>
        <item x="151"/>
        <item x="108"/>
        <item x="39"/>
        <item x="50"/>
        <item x="111"/>
        <item x="3"/>
        <item x="58"/>
        <item x="53"/>
        <item x="21"/>
        <item x="67"/>
        <item x="120"/>
        <item x="201"/>
        <item x="162"/>
        <item x="11"/>
        <item x="51"/>
        <item x="60"/>
        <item x="215"/>
        <item x="112"/>
        <item x="85"/>
        <item x="29"/>
        <item x="77"/>
        <item x="75"/>
        <item x="88"/>
        <item x="35"/>
        <item x="0"/>
        <item x="93"/>
        <item x="30"/>
        <item x="36"/>
        <item x="73"/>
        <item x="44"/>
        <item x="150"/>
        <item x="42"/>
        <item x="28"/>
        <item x="192"/>
        <item t="default"/>
      </items>
    </pivotField>
    <pivotField showAll="0"/>
    <pivotField showAll="0"/>
    <pivotField showAll="0">
      <items count="31">
        <item x="26"/>
        <item x="0"/>
        <item x="25"/>
        <item x="15"/>
        <item x="6"/>
        <item x="28"/>
        <item x="27"/>
        <item x="17"/>
        <item x="19"/>
        <item x="13"/>
        <item x="29"/>
        <item x="11"/>
        <item x="3"/>
        <item x="24"/>
        <item x="14"/>
        <item x="8"/>
        <item x="9"/>
        <item x="21"/>
        <item x="2"/>
        <item x="4"/>
        <item x="10"/>
        <item x="23"/>
        <item x="12"/>
        <item x="7"/>
        <item x="18"/>
        <item x="16"/>
        <item x="5"/>
        <item x="1"/>
        <item x="20"/>
        <item x="22"/>
        <item t="default"/>
      </items>
    </pivotField>
    <pivotField showAll="0"/>
    <pivotField showAll="0">
      <items count="10">
        <item x="0"/>
        <item x="1"/>
        <item x="2"/>
        <item x="3"/>
        <item x="4"/>
        <item x="5"/>
        <item x="6"/>
        <item x="7"/>
        <item x="8"/>
        <item t="default"/>
      </items>
    </pivotField>
    <pivotField showAll="0">
      <items count="5">
        <item x="2"/>
        <item x="0"/>
        <item x="3"/>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4"/>
  </rowFields>
  <rowItems count="5">
    <i>
      <x/>
    </i>
    <i>
      <x v="1"/>
    </i>
    <i>
      <x v="2"/>
    </i>
    <i>
      <x v="3"/>
    </i>
    <i t="grand">
      <x/>
    </i>
  </rowItems>
  <colItems count="1">
    <i/>
  </colItems>
  <dataFields count="1">
    <dataField name="Total order" fld="0" subtotal="count" baseField="0" baseItem="0"/>
  </dataFields>
  <chartFormats count="18">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0" format="2">
      <pivotArea type="data" outline="0" fieldPosition="0">
        <references count="2">
          <reference field="4294967294" count="1" selected="0">
            <x v="0"/>
          </reference>
          <reference field="4" count="1" selected="0">
            <x v="0"/>
          </reference>
        </references>
      </pivotArea>
    </chartFormat>
    <chartFormat chart="20" format="3">
      <pivotArea type="data" outline="0" fieldPosition="0">
        <references count="2">
          <reference field="4294967294" count="1" selected="0">
            <x v="0"/>
          </reference>
          <reference field="4" count="1" selected="0">
            <x v="1"/>
          </reference>
        </references>
      </pivotArea>
    </chartFormat>
    <chartFormat chart="20" format="4">
      <pivotArea type="data" outline="0" fieldPosition="0">
        <references count="2">
          <reference field="4294967294" count="1" selected="0">
            <x v="0"/>
          </reference>
          <reference field="4" count="1" selected="0">
            <x v="2"/>
          </reference>
        </references>
      </pivotArea>
    </chartFormat>
    <chartFormat chart="20" format="5">
      <pivotArea type="data" outline="0" fieldPosition="0">
        <references count="2">
          <reference field="4294967294" count="1" selected="0">
            <x v="0"/>
          </reference>
          <reference field="4" count="1" selected="0">
            <x v="3"/>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4" count="1" selected="0">
            <x v="0"/>
          </reference>
        </references>
      </pivotArea>
    </chartFormat>
    <chartFormat chart="21" format="8">
      <pivotArea type="data" outline="0" fieldPosition="0">
        <references count="2">
          <reference field="4294967294" count="1" selected="0">
            <x v="0"/>
          </reference>
          <reference field="4" count="1" selected="0">
            <x v="1"/>
          </reference>
        </references>
      </pivotArea>
    </chartFormat>
    <chartFormat chart="21" format="9">
      <pivotArea type="data" outline="0" fieldPosition="0">
        <references count="2">
          <reference field="4294967294" count="1" selected="0">
            <x v="0"/>
          </reference>
          <reference field="4" count="1" selected="0">
            <x v="2"/>
          </reference>
        </references>
      </pivotArea>
    </chartFormat>
    <chartFormat chart="21"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D3D57D-CE5F-8C4D-BEAB-89BD2854867F}"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4:G30" firstHeaderRow="1" firstDataRow="1" firstDataCol="1"/>
  <pivotFields count="6">
    <pivotField showAll="0"/>
    <pivotField showAll="0"/>
    <pivotField showAll="0"/>
    <pivotField axis="axisRow" showAll="0">
      <items count="6">
        <item x="1"/>
        <item x="2"/>
        <item x="4"/>
        <item x="0"/>
        <item x="3"/>
        <item t="default"/>
      </items>
    </pivotField>
    <pivotField dataField="1" showAll="0"/>
    <pivotField showAll="0"/>
  </pivotFields>
  <rowFields count="1">
    <field x="3"/>
  </rowFields>
  <rowItems count="6">
    <i>
      <x/>
    </i>
    <i>
      <x v="1"/>
    </i>
    <i>
      <x v="2"/>
    </i>
    <i>
      <x v="3"/>
    </i>
    <i>
      <x v="4"/>
    </i>
    <i t="grand">
      <x/>
    </i>
  </rowItems>
  <colItems count="1">
    <i/>
  </colItems>
  <dataFields count="1">
    <dataField name="Sum of 2023 Sales Targe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219888-0D97-744D-B13B-CCA30BFD199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N3:P12" firstHeaderRow="0" firstDataRow="1" firstDataCol="1"/>
  <pivotFields count="20">
    <pivotField dataField="1" showAll="0"/>
    <pivotField showAll="0"/>
    <pivotField showAll="0"/>
    <pivotField numFmtId="165" showAll="0"/>
    <pivotField showAll="0"/>
    <pivotField showAll="0"/>
    <pivotField dataField="1" showAll="0"/>
    <pivotField showAll="0"/>
    <pivotField numFmtId="14" showAll="0">
      <items count="366">
        <item x="330"/>
        <item x="80"/>
        <item x="54"/>
        <item x="203"/>
        <item x="111"/>
        <item x="79"/>
        <item x="336"/>
        <item x="297"/>
        <item x="313"/>
        <item x="293"/>
        <item x="156"/>
        <item x="76"/>
        <item x="78"/>
        <item x="170"/>
        <item x="161"/>
        <item x="181"/>
        <item x="89"/>
        <item x="247"/>
        <item x="18"/>
        <item x="163"/>
        <item x="325"/>
        <item x="304"/>
        <item x="21"/>
        <item x="275"/>
        <item x="308"/>
        <item x="112"/>
        <item x="128"/>
        <item x="323"/>
        <item x="66"/>
        <item x="214"/>
        <item x="236"/>
        <item x="363"/>
        <item x="139"/>
        <item x="151"/>
        <item x="189"/>
        <item x="195"/>
        <item x="49"/>
        <item x="73"/>
        <item x="131"/>
        <item x="177"/>
        <item x="115"/>
        <item x="104"/>
        <item x="199"/>
        <item x="301"/>
        <item x="157"/>
        <item x="146"/>
        <item x="197"/>
        <item x="38"/>
        <item x="6"/>
        <item x="110"/>
        <item x="31"/>
        <item x="338"/>
        <item x="184"/>
        <item x="39"/>
        <item x="160"/>
        <item x="84"/>
        <item x="269"/>
        <item x="298"/>
        <item x="145"/>
        <item x="130"/>
        <item x="137"/>
        <item x="30"/>
        <item x="272"/>
        <item x="346"/>
        <item x="281"/>
        <item x="87"/>
        <item x="5"/>
        <item x="351"/>
        <item x="358"/>
        <item x="250"/>
        <item x="242"/>
        <item x="317"/>
        <item x="97"/>
        <item x="225"/>
        <item x="29"/>
        <item x="19"/>
        <item x="23"/>
        <item x="140"/>
        <item x="171"/>
        <item x="28"/>
        <item x="296"/>
        <item x="320"/>
        <item x="294"/>
        <item x="118"/>
        <item x="132"/>
        <item x="202"/>
        <item x="83"/>
        <item x="284"/>
        <item x="101"/>
        <item x="60"/>
        <item x="219"/>
        <item x="67"/>
        <item x="129"/>
        <item x="127"/>
        <item x="95"/>
        <item x="253"/>
        <item x="194"/>
        <item x="348"/>
        <item x="364"/>
        <item x="162"/>
        <item x="147"/>
        <item x="361"/>
        <item x="260"/>
        <item x="70"/>
        <item x="245"/>
        <item x="193"/>
        <item x="107"/>
        <item x="255"/>
        <item x="108"/>
        <item x="165"/>
        <item x="276"/>
        <item x="246"/>
        <item x="218"/>
        <item x="290"/>
        <item x="134"/>
        <item x="48"/>
        <item x="321"/>
        <item x="335"/>
        <item x="1"/>
        <item x="295"/>
        <item x="291"/>
        <item x="211"/>
        <item x="141"/>
        <item x="356"/>
        <item x="106"/>
        <item x="288"/>
        <item x="37"/>
        <item x="215"/>
        <item x="182"/>
        <item x="51"/>
        <item x="44"/>
        <item x="57"/>
        <item x="99"/>
        <item x="173"/>
        <item x="116"/>
        <item x="144"/>
        <item x="46"/>
        <item x="153"/>
        <item x="133"/>
        <item x="125"/>
        <item x="176"/>
        <item x="310"/>
        <item x="349"/>
        <item x="164"/>
        <item x="262"/>
        <item x="221"/>
        <item x="278"/>
        <item x="229"/>
        <item x="42"/>
        <item x="243"/>
        <item x="179"/>
        <item x="228"/>
        <item x="266"/>
        <item x="24"/>
        <item x="190"/>
        <item x="12"/>
        <item x="174"/>
        <item x="69"/>
        <item x="267"/>
        <item x="61"/>
        <item x="117"/>
        <item x="20"/>
        <item x="342"/>
        <item x="252"/>
        <item x="124"/>
        <item x="123"/>
        <item x="58"/>
        <item x="234"/>
        <item x="345"/>
        <item x="337"/>
        <item x="168"/>
        <item x="240"/>
        <item x="82"/>
        <item x="93"/>
        <item x="53"/>
        <item x="138"/>
        <item x="314"/>
        <item x="328"/>
        <item x="285"/>
        <item x="305"/>
        <item x="35"/>
        <item x="41"/>
        <item x="143"/>
        <item x="32"/>
        <item x="167"/>
        <item x="324"/>
        <item x="191"/>
        <item x="264"/>
        <item x="210"/>
        <item x="63"/>
        <item x="311"/>
        <item x="149"/>
        <item x="222"/>
        <item x="50"/>
        <item x="344"/>
        <item x="102"/>
        <item x="220"/>
        <item x="212"/>
        <item x="334"/>
        <item x="316"/>
        <item x="265"/>
        <item x="77"/>
        <item x="302"/>
        <item x="205"/>
        <item x="200"/>
        <item x="331"/>
        <item x="10"/>
        <item x="85"/>
        <item x="209"/>
        <item x="154"/>
        <item x="113"/>
        <item x="25"/>
        <item x="238"/>
        <item x="159"/>
        <item x="135"/>
        <item x="353"/>
        <item x="188"/>
        <item x="187"/>
        <item x="258"/>
        <item x="98"/>
        <item x="282"/>
        <item x="347"/>
        <item x="340"/>
        <item x="166"/>
        <item x="186"/>
        <item x="192"/>
        <item x="227"/>
        <item x="280"/>
        <item x="122"/>
        <item x="150"/>
        <item x="158"/>
        <item x="251"/>
        <item x="233"/>
        <item x="183"/>
        <item x="333"/>
        <item x="15"/>
        <item x="332"/>
        <item x="230"/>
        <item x="352"/>
        <item x="207"/>
        <item x="248"/>
        <item x="74"/>
        <item x="198"/>
        <item x="271"/>
        <item x="204"/>
        <item x="232"/>
        <item x="318"/>
        <item x="86"/>
        <item x="339"/>
        <item x="196"/>
        <item x="315"/>
        <item x="360"/>
        <item x="22"/>
        <item x="241"/>
        <item x="148"/>
        <item x="268"/>
        <item x="237"/>
        <item x="90"/>
        <item x="254"/>
        <item x="213"/>
        <item x="121"/>
        <item x="274"/>
        <item x="273"/>
        <item x="206"/>
        <item x="64"/>
        <item x="71"/>
        <item x="56"/>
        <item x="43"/>
        <item x="239"/>
        <item x="299"/>
        <item x="270"/>
        <item x="359"/>
        <item x="261"/>
        <item x="142"/>
        <item x="155"/>
        <item x="307"/>
        <item x="14"/>
        <item x="75"/>
        <item x="45"/>
        <item x="286"/>
        <item x="319"/>
        <item x="208"/>
        <item x="33"/>
        <item x="329"/>
        <item x="303"/>
        <item x="17"/>
        <item x="256"/>
        <item x="59"/>
        <item x="114"/>
        <item x="152"/>
        <item x="47"/>
        <item x="16"/>
        <item x="55"/>
        <item x="96"/>
        <item x="322"/>
        <item x="235"/>
        <item x="52"/>
        <item x="343"/>
        <item x="4"/>
        <item x="34"/>
        <item x="65"/>
        <item x="327"/>
        <item x="300"/>
        <item x="287"/>
        <item x="172"/>
        <item x="105"/>
        <item x="9"/>
        <item x="244"/>
        <item x="36"/>
        <item x="175"/>
        <item x="91"/>
        <item x="27"/>
        <item x="119"/>
        <item x="283"/>
        <item x="68"/>
        <item x="109"/>
        <item x="306"/>
        <item x="362"/>
        <item x="355"/>
        <item x="40"/>
        <item x="169"/>
        <item x="62"/>
        <item x="249"/>
        <item x="216"/>
        <item x="185"/>
        <item x="357"/>
        <item x="7"/>
        <item x="126"/>
        <item x="120"/>
        <item x="289"/>
        <item x="13"/>
        <item x="3"/>
        <item x="178"/>
        <item x="26"/>
        <item x="326"/>
        <item x="180"/>
        <item x="201"/>
        <item x="354"/>
        <item x="223"/>
        <item x="136"/>
        <item x="226"/>
        <item x="263"/>
        <item x="100"/>
        <item x="309"/>
        <item x="224"/>
        <item x="92"/>
        <item x="88"/>
        <item x="94"/>
        <item x="0"/>
        <item x="257"/>
        <item x="72"/>
        <item x="11"/>
        <item x="350"/>
        <item x="341"/>
        <item x="103"/>
        <item x="217"/>
        <item x="8"/>
        <item x="231"/>
        <item x="312"/>
        <item x="81"/>
        <item x="292"/>
        <item x="259"/>
        <item x="277"/>
        <item x="2"/>
        <item x="279"/>
        <item t="default"/>
      </items>
    </pivotField>
    <pivotField numFmtId="21" showAll="0">
      <items count="222">
        <item x="168"/>
        <item x="16"/>
        <item x="186"/>
        <item x="130"/>
        <item x="121"/>
        <item x="12"/>
        <item x="207"/>
        <item x="31"/>
        <item x="37"/>
        <item x="92"/>
        <item x="7"/>
        <item x="122"/>
        <item x="52"/>
        <item x="32"/>
        <item x="156"/>
        <item x="127"/>
        <item x="84"/>
        <item x="210"/>
        <item x="95"/>
        <item x="8"/>
        <item x="128"/>
        <item x="142"/>
        <item x="83"/>
        <item x="124"/>
        <item x="195"/>
        <item x="65"/>
        <item x="219"/>
        <item x="49"/>
        <item x="103"/>
        <item x="209"/>
        <item x="177"/>
        <item x="117"/>
        <item x="47"/>
        <item x="161"/>
        <item x="200"/>
        <item x="173"/>
        <item x="109"/>
        <item x="211"/>
        <item x="152"/>
        <item x="76"/>
        <item x="86"/>
        <item x="14"/>
        <item x="118"/>
        <item x="203"/>
        <item x="59"/>
        <item x="129"/>
        <item x="189"/>
        <item x="46"/>
        <item x="33"/>
        <item x="45"/>
        <item x="104"/>
        <item x="179"/>
        <item x="102"/>
        <item x="143"/>
        <item x="220"/>
        <item x="212"/>
        <item x="217"/>
        <item x="157"/>
        <item x="132"/>
        <item x="23"/>
        <item x="160"/>
        <item x="216"/>
        <item x="131"/>
        <item x="202"/>
        <item x="199"/>
        <item x="82"/>
        <item x="198"/>
        <item x="98"/>
        <item x="204"/>
        <item x="41"/>
        <item x="197"/>
        <item x="113"/>
        <item x="180"/>
        <item x="214"/>
        <item x="205"/>
        <item x="185"/>
        <item x="13"/>
        <item x="208"/>
        <item x="170"/>
        <item x="17"/>
        <item x="196"/>
        <item x="55"/>
        <item x="106"/>
        <item x="218"/>
        <item x="90"/>
        <item x="145"/>
        <item x="119"/>
        <item x="188"/>
        <item x="147"/>
        <item x="193"/>
        <item x="165"/>
        <item x="206"/>
        <item x="133"/>
        <item x="184"/>
        <item x="5"/>
        <item x="178"/>
        <item x="105"/>
        <item x="125"/>
        <item x="26"/>
        <item x="110"/>
        <item x="158"/>
        <item x="25"/>
        <item x="171"/>
        <item x="144"/>
        <item x="114"/>
        <item x="183"/>
        <item x="182"/>
        <item x="159"/>
        <item x="163"/>
        <item x="40"/>
        <item x="66"/>
        <item x="175"/>
        <item x="176"/>
        <item x="4"/>
        <item x="15"/>
        <item x="70"/>
        <item x="136"/>
        <item x="18"/>
        <item x="190"/>
        <item x="140"/>
        <item x="24"/>
        <item x="27"/>
        <item x="69"/>
        <item x="137"/>
        <item x="154"/>
        <item x="56"/>
        <item x="141"/>
        <item x="191"/>
        <item x="79"/>
        <item x="134"/>
        <item x="71"/>
        <item x="213"/>
        <item x="57"/>
        <item x="91"/>
        <item x="62"/>
        <item x="99"/>
        <item x="74"/>
        <item x="135"/>
        <item x="78"/>
        <item x="80"/>
        <item x="101"/>
        <item x="1"/>
        <item x="155"/>
        <item x="38"/>
        <item x="169"/>
        <item x="146"/>
        <item x="164"/>
        <item x="9"/>
        <item x="100"/>
        <item x="153"/>
        <item x="43"/>
        <item x="194"/>
        <item x="87"/>
        <item x="94"/>
        <item x="187"/>
        <item x="174"/>
        <item x="166"/>
        <item x="138"/>
        <item x="116"/>
        <item x="96"/>
        <item x="181"/>
        <item x="126"/>
        <item x="63"/>
        <item x="89"/>
        <item x="72"/>
        <item x="64"/>
        <item x="48"/>
        <item x="22"/>
        <item x="34"/>
        <item x="149"/>
        <item x="81"/>
        <item x="107"/>
        <item x="10"/>
        <item x="19"/>
        <item x="97"/>
        <item x="172"/>
        <item x="123"/>
        <item x="61"/>
        <item x="20"/>
        <item x="139"/>
        <item x="167"/>
        <item x="68"/>
        <item x="2"/>
        <item x="54"/>
        <item x="6"/>
        <item x="115"/>
        <item x="148"/>
        <item x="151"/>
        <item x="108"/>
        <item x="39"/>
        <item x="50"/>
        <item x="111"/>
        <item x="3"/>
        <item x="58"/>
        <item x="53"/>
        <item x="21"/>
        <item x="67"/>
        <item x="120"/>
        <item x="201"/>
        <item x="162"/>
        <item x="11"/>
        <item x="51"/>
        <item x="60"/>
        <item x="215"/>
        <item x="112"/>
        <item x="85"/>
        <item x="29"/>
        <item x="77"/>
        <item x="75"/>
        <item x="88"/>
        <item x="35"/>
        <item x="0"/>
        <item x="93"/>
        <item x="30"/>
        <item x="36"/>
        <item x="73"/>
        <item x="44"/>
        <item x="150"/>
        <item x="42"/>
        <item x="28"/>
        <item x="192"/>
        <item t="default"/>
      </items>
    </pivotField>
    <pivotField showAll="0"/>
    <pivotField showAll="0"/>
    <pivotField showAll="0">
      <items count="31">
        <item x="26"/>
        <item x="0"/>
        <item x="25"/>
        <item x="15"/>
        <item x="6"/>
        <item x="28"/>
        <item x="27"/>
        <item x="17"/>
        <item x="19"/>
        <item x="13"/>
        <item x="29"/>
        <item x="11"/>
        <item x="3"/>
        <item x="24"/>
        <item x="14"/>
        <item x="8"/>
        <item x="9"/>
        <item x="21"/>
        <item x="2"/>
        <item x="4"/>
        <item x="10"/>
        <item x="23"/>
        <item x="12"/>
        <item x="7"/>
        <item x="18"/>
        <item x="16"/>
        <item x="5"/>
        <item x="1"/>
        <item x="20"/>
        <item x="22"/>
        <item t="default"/>
      </items>
    </pivotField>
    <pivotField showAll="0"/>
    <pivotField axis="axisRow" showAll="0" sortType="ascending">
      <items count="10">
        <item x="0"/>
        <item x="1"/>
        <item x="2"/>
        <item x="3"/>
        <item x="4"/>
        <item x="5"/>
        <item x="6"/>
        <item x="7"/>
        <item x="8"/>
        <item t="default"/>
      </items>
      <autoSortScope>
        <pivotArea dataOnly="0" outline="0" fieldPosition="0">
          <references count="1">
            <reference field="4294967294" count="1" selected="0">
              <x v="1"/>
            </reference>
          </references>
        </pivotArea>
      </autoSortScope>
    </pivotField>
    <pivotField showAll="0">
      <items count="5">
        <item x="2"/>
        <item x="0"/>
        <item x="3"/>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4"/>
  </rowFields>
  <rowItems count="9">
    <i>
      <x/>
    </i>
    <i>
      <x v="3"/>
    </i>
    <i>
      <x v="6"/>
    </i>
    <i>
      <x v="2"/>
    </i>
    <i>
      <x v="4"/>
    </i>
    <i>
      <x v="7"/>
    </i>
    <i>
      <x v="5"/>
    </i>
    <i>
      <x v="1"/>
    </i>
    <i t="grand">
      <x/>
    </i>
  </rowItems>
  <colFields count="1">
    <field x="-2"/>
  </colFields>
  <colItems count="2">
    <i>
      <x/>
    </i>
    <i i="1">
      <x v="1"/>
    </i>
  </colItems>
  <dataFields count="2">
    <dataField name="Total order" fld="0" subtotal="count" baseField="0" baseItem="0"/>
    <dataField name="Sum of Order Value" fld="6" baseField="0" baseItem="0"/>
  </dataFields>
  <chartFormats count="1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1"/>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54E189-8EA1-8847-90C3-E071FEAD319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C16" firstHeaderRow="0" firstDataRow="1" firstDataCol="1"/>
  <pivotFields count="20">
    <pivotField dataField="1" showAll="0"/>
    <pivotField showAll="0"/>
    <pivotField showAll="0"/>
    <pivotField numFmtId="165" showAll="0"/>
    <pivotField showAll="0"/>
    <pivotField showAll="0"/>
    <pivotField dataField="1" showAll="0"/>
    <pivotField showAll="0"/>
    <pivotField numFmtId="14" showAll="0">
      <items count="366">
        <item x="330"/>
        <item x="80"/>
        <item x="54"/>
        <item x="203"/>
        <item x="111"/>
        <item x="79"/>
        <item x="336"/>
        <item x="297"/>
        <item x="313"/>
        <item x="293"/>
        <item x="156"/>
        <item x="76"/>
        <item x="78"/>
        <item x="170"/>
        <item x="161"/>
        <item x="181"/>
        <item x="89"/>
        <item x="247"/>
        <item x="18"/>
        <item x="163"/>
        <item x="325"/>
        <item x="304"/>
        <item x="21"/>
        <item x="275"/>
        <item x="308"/>
        <item x="112"/>
        <item x="128"/>
        <item x="323"/>
        <item x="66"/>
        <item x="214"/>
        <item x="236"/>
        <item x="363"/>
        <item x="139"/>
        <item x="151"/>
        <item x="189"/>
        <item x="195"/>
        <item x="49"/>
        <item x="73"/>
        <item x="131"/>
        <item x="177"/>
        <item x="115"/>
        <item x="104"/>
        <item x="199"/>
        <item x="301"/>
        <item x="157"/>
        <item x="146"/>
        <item x="197"/>
        <item x="38"/>
        <item x="6"/>
        <item x="110"/>
        <item x="31"/>
        <item x="338"/>
        <item x="184"/>
        <item x="39"/>
        <item x="160"/>
        <item x="84"/>
        <item x="269"/>
        <item x="298"/>
        <item x="145"/>
        <item x="130"/>
        <item x="137"/>
        <item x="30"/>
        <item x="272"/>
        <item x="346"/>
        <item x="281"/>
        <item x="87"/>
        <item x="5"/>
        <item x="351"/>
        <item x="358"/>
        <item x="250"/>
        <item x="242"/>
        <item x="317"/>
        <item x="97"/>
        <item x="225"/>
        <item x="29"/>
        <item x="19"/>
        <item x="23"/>
        <item x="140"/>
        <item x="171"/>
        <item x="28"/>
        <item x="296"/>
        <item x="320"/>
        <item x="294"/>
        <item x="118"/>
        <item x="132"/>
        <item x="202"/>
        <item x="83"/>
        <item x="284"/>
        <item x="101"/>
        <item x="60"/>
        <item x="219"/>
        <item x="67"/>
        <item x="129"/>
        <item x="127"/>
        <item x="95"/>
        <item x="253"/>
        <item x="194"/>
        <item x="348"/>
        <item x="364"/>
        <item x="162"/>
        <item x="147"/>
        <item x="361"/>
        <item x="260"/>
        <item x="70"/>
        <item x="245"/>
        <item x="193"/>
        <item x="107"/>
        <item x="255"/>
        <item x="108"/>
        <item x="165"/>
        <item x="276"/>
        <item x="246"/>
        <item x="218"/>
        <item x="290"/>
        <item x="134"/>
        <item x="48"/>
        <item x="321"/>
        <item x="335"/>
        <item x="1"/>
        <item x="295"/>
        <item x="291"/>
        <item x="211"/>
        <item x="141"/>
        <item x="356"/>
        <item x="106"/>
        <item x="288"/>
        <item x="37"/>
        <item x="215"/>
        <item x="182"/>
        <item x="51"/>
        <item x="44"/>
        <item x="57"/>
        <item x="99"/>
        <item x="173"/>
        <item x="116"/>
        <item x="144"/>
        <item x="46"/>
        <item x="153"/>
        <item x="133"/>
        <item x="125"/>
        <item x="176"/>
        <item x="310"/>
        <item x="349"/>
        <item x="164"/>
        <item x="262"/>
        <item x="221"/>
        <item x="278"/>
        <item x="229"/>
        <item x="42"/>
        <item x="243"/>
        <item x="179"/>
        <item x="228"/>
        <item x="266"/>
        <item x="24"/>
        <item x="190"/>
        <item x="12"/>
        <item x="174"/>
        <item x="69"/>
        <item x="267"/>
        <item x="61"/>
        <item x="117"/>
        <item x="20"/>
        <item x="342"/>
        <item x="252"/>
        <item x="124"/>
        <item x="123"/>
        <item x="58"/>
        <item x="234"/>
        <item x="345"/>
        <item x="337"/>
        <item x="168"/>
        <item x="240"/>
        <item x="82"/>
        <item x="93"/>
        <item x="53"/>
        <item x="138"/>
        <item x="314"/>
        <item x="328"/>
        <item x="285"/>
        <item x="305"/>
        <item x="35"/>
        <item x="41"/>
        <item x="143"/>
        <item x="32"/>
        <item x="167"/>
        <item x="324"/>
        <item x="191"/>
        <item x="264"/>
        <item x="210"/>
        <item x="63"/>
        <item x="311"/>
        <item x="149"/>
        <item x="222"/>
        <item x="50"/>
        <item x="344"/>
        <item x="102"/>
        <item x="220"/>
        <item x="212"/>
        <item x="334"/>
        <item x="316"/>
        <item x="265"/>
        <item x="77"/>
        <item x="302"/>
        <item x="205"/>
        <item x="200"/>
        <item x="331"/>
        <item x="10"/>
        <item x="85"/>
        <item x="209"/>
        <item x="154"/>
        <item x="113"/>
        <item x="25"/>
        <item x="238"/>
        <item x="159"/>
        <item x="135"/>
        <item x="353"/>
        <item x="188"/>
        <item x="187"/>
        <item x="258"/>
        <item x="98"/>
        <item x="282"/>
        <item x="347"/>
        <item x="340"/>
        <item x="166"/>
        <item x="186"/>
        <item x="192"/>
        <item x="227"/>
        <item x="280"/>
        <item x="122"/>
        <item x="150"/>
        <item x="158"/>
        <item x="251"/>
        <item x="233"/>
        <item x="183"/>
        <item x="333"/>
        <item x="15"/>
        <item x="332"/>
        <item x="230"/>
        <item x="352"/>
        <item x="207"/>
        <item x="248"/>
        <item x="74"/>
        <item x="198"/>
        <item x="271"/>
        <item x="204"/>
        <item x="232"/>
        <item x="318"/>
        <item x="86"/>
        <item x="339"/>
        <item x="196"/>
        <item x="315"/>
        <item x="360"/>
        <item x="22"/>
        <item x="241"/>
        <item x="148"/>
        <item x="268"/>
        <item x="237"/>
        <item x="90"/>
        <item x="254"/>
        <item x="213"/>
        <item x="121"/>
        <item x="274"/>
        <item x="273"/>
        <item x="206"/>
        <item x="64"/>
        <item x="71"/>
        <item x="56"/>
        <item x="43"/>
        <item x="239"/>
        <item x="299"/>
        <item x="270"/>
        <item x="359"/>
        <item x="261"/>
        <item x="142"/>
        <item x="155"/>
        <item x="307"/>
        <item x="14"/>
        <item x="75"/>
        <item x="45"/>
        <item x="286"/>
        <item x="319"/>
        <item x="208"/>
        <item x="33"/>
        <item x="329"/>
        <item x="303"/>
        <item x="17"/>
        <item x="256"/>
        <item x="59"/>
        <item x="114"/>
        <item x="152"/>
        <item x="47"/>
        <item x="16"/>
        <item x="55"/>
        <item x="96"/>
        <item x="322"/>
        <item x="235"/>
        <item x="52"/>
        <item x="343"/>
        <item x="4"/>
        <item x="34"/>
        <item x="65"/>
        <item x="327"/>
        <item x="300"/>
        <item x="287"/>
        <item x="172"/>
        <item x="105"/>
        <item x="9"/>
        <item x="244"/>
        <item x="36"/>
        <item x="175"/>
        <item x="91"/>
        <item x="27"/>
        <item x="119"/>
        <item x="283"/>
        <item x="68"/>
        <item x="109"/>
        <item x="306"/>
        <item x="362"/>
        <item x="355"/>
        <item x="40"/>
        <item x="169"/>
        <item x="62"/>
        <item x="249"/>
        <item x="216"/>
        <item x="185"/>
        <item x="357"/>
        <item x="7"/>
        <item x="126"/>
        <item x="120"/>
        <item x="289"/>
        <item x="13"/>
        <item x="3"/>
        <item x="178"/>
        <item x="26"/>
        <item x="326"/>
        <item x="180"/>
        <item x="201"/>
        <item x="354"/>
        <item x="223"/>
        <item x="136"/>
        <item x="226"/>
        <item x="263"/>
        <item x="100"/>
        <item x="309"/>
        <item x="224"/>
        <item x="92"/>
        <item x="88"/>
        <item x="94"/>
        <item x="0"/>
        <item x="257"/>
        <item x="72"/>
        <item x="11"/>
        <item x="350"/>
        <item x="341"/>
        <item x="103"/>
        <item x="217"/>
        <item x="8"/>
        <item x="231"/>
        <item x="312"/>
        <item x="81"/>
        <item x="292"/>
        <item x="259"/>
        <item x="277"/>
        <item x="2"/>
        <item x="279"/>
        <item t="default"/>
      </items>
    </pivotField>
    <pivotField numFmtId="21" showAll="0">
      <items count="222">
        <item x="168"/>
        <item x="16"/>
        <item x="186"/>
        <item x="130"/>
        <item x="121"/>
        <item x="12"/>
        <item x="207"/>
        <item x="31"/>
        <item x="37"/>
        <item x="92"/>
        <item x="7"/>
        <item x="122"/>
        <item x="52"/>
        <item x="32"/>
        <item x="156"/>
        <item x="127"/>
        <item x="84"/>
        <item x="210"/>
        <item x="95"/>
        <item x="8"/>
        <item x="128"/>
        <item x="142"/>
        <item x="83"/>
        <item x="124"/>
        <item x="195"/>
        <item x="65"/>
        <item x="219"/>
        <item x="49"/>
        <item x="103"/>
        <item x="209"/>
        <item x="177"/>
        <item x="117"/>
        <item x="47"/>
        <item x="161"/>
        <item x="200"/>
        <item x="173"/>
        <item x="109"/>
        <item x="211"/>
        <item x="152"/>
        <item x="76"/>
        <item x="86"/>
        <item x="14"/>
        <item x="118"/>
        <item x="203"/>
        <item x="59"/>
        <item x="129"/>
        <item x="189"/>
        <item x="46"/>
        <item x="33"/>
        <item x="45"/>
        <item x="104"/>
        <item x="179"/>
        <item x="102"/>
        <item x="143"/>
        <item x="220"/>
        <item x="212"/>
        <item x="217"/>
        <item x="157"/>
        <item x="132"/>
        <item x="23"/>
        <item x="160"/>
        <item x="216"/>
        <item x="131"/>
        <item x="202"/>
        <item x="199"/>
        <item x="82"/>
        <item x="198"/>
        <item x="98"/>
        <item x="204"/>
        <item x="41"/>
        <item x="197"/>
        <item x="113"/>
        <item x="180"/>
        <item x="214"/>
        <item x="205"/>
        <item x="185"/>
        <item x="13"/>
        <item x="208"/>
        <item x="170"/>
        <item x="17"/>
        <item x="196"/>
        <item x="55"/>
        <item x="106"/>
        <item x="218"/>
        <item x="90"/>
        <item x="145"/>
        <item x="119"/>
        <item x="188"/>
        <item x="147"/>
        <item x="193"/>
        <item x="165"/>
        <item x="206"/>
        <item x="133"/>
        <item x="184"/>
        <item x="5"/>
        <item x="178"/>
        <item x="105"/>
        <item x="125"/>
        <item x="26"/>
        <item x="110"/>
        <item x="158"/>
        <item x="25"/>
        <item x="171"/>
        <item x="144"/>
        <item x="114"/>
        <item x="183"/>
        <item x="182"/>
        <item x="159"/>
        <item x="163"/>
        <item x="40"/>
        <item x="66"/>
        <item x="175"/>
        <item x="176"/>
        <item x="4"/>
        <item x="15"/>
        <item x="70"/>
        <item x="136"/>
        <item x="18"/>
        <item x="190"/>
        <item x="140"/>
        <item x="24"/>
        <item x="27"/>
        <item x="69"/>
        <item x="137"/>
        <item x="154"/>
        <item x="56"/>
        <item x="141"/>
        <item x="191"/>
        <item x="79"/>
        <item x="134"/>
        <item x="71"/>
        <item x="213"/>
        <item x="57"/>
        <item x="91"/>
        <item x="62"/>
        <item x="99"/>
        <item x="74"/>
        <item x="135"/>
        <item x="78"/>
        <item x="80"/>
        <item x="101"/>
        <item x="1"/>
        <item x="155"/>
        <item x="38"/>
        <item x="169"/>
        <item x="146"/>
        <item x="164"/>
        <item x="9"/>
        <item x="100"/>
        <item x="153"/>
        <item x="43"/>
        <item x="194"/>
        <item x="87"/>
        <item x="94"/>
        <item x="187"/>
        <item x="174"/>
        <item x="166"/>
        <item x="138"/>
        <item x="116"/>
        <item x="96"/>
        <item x="181"/>
        <item x="126"/>
        <item x="63"/>
        <item x="89"/>
        <item x="72"/>
        <item x="64"/>
        <item x="48"/>
        <item x="22"/>
        <item x="34"/>
        <item x="149"/>
        <item x="81"/>
        <item x="107"/>
        <item x="10"/>
        <item x="19"/>
        <item x="97"/>
        <item x="172"/>
        <item x="123"/>
        <item x="61"/>
        <item x="20"/>
        <item x="139"/>
        <item x="167"/>
        <item x="68"/>
        <item x="2"/>
        <item x="54"/>
        <item x="6"/>
        <item x="115"/>
        <item x="148"/>
        <item x="151"/>
        <item x="108"/>
        <item x="39"/>
        <item x="50"/>
        <item x="111"/>
        <item x="3"/>
        <item x="58"/>
        <item x="53"/>
        <item x="21"/>
        <item x="67"/>
        <item x="120"/>
        <item x="201"/>
        <item x="162"/>
        <item x="11"/>
        <item x="51"/>
        <item x="60"/>
        <item x="215"/>
        <item x="112"/>
        <item x="85"/>
        <item x="29"/>
        <item x="77"/>
        <item x="75"/>
        <item x="88"/>
        <item x="35"/>
        <item x="0"/>
        <item x="93"/>
        <item x="30"/>
        <item x="36"/>
        <item x="73"/>
        <item x="44"/>
        <item x="150"/>
        <item x="42"/>
        <item x="28"/>
        <item x="192"/>
        <item t="default"/>
      </items>
    </pivotField>
    <pivotField showAll="0"/>
    <pivotField showAll="0"/>
    <pivotField showAll="0">
      <items count="31">
        <item x="26"/>
        <item x="0"/>
        <item x="25"/>
        <item x="15"/>
        <item x="6"/>
        <item x="28"/>
        <item x="27"/>
        <item x="17"/>
        <item x="19"/>
        <item x="13"/>
        <item x="29"/>
        <item x="11"/>
        <item x="3"/>
        <item x="24"/>
        <item x="14"/>
        <item x="8"/>
        <item x="9"/>
        <item x="21"/>
        <item x="2"/>
        <item x="4"/>
        <item x="10"/>
        <item x="23"/>
        <item x="12"/>
        <item x="7"/>
        <item x="18"/>
        <item x="16"/>
        <item x="5"/>
        <item x="1"/>
        <item x="20"/>
        <item x="22"/>
        <item t="default"/>
      </items>
    </pivotField>
    <pivotField showAll="0"/>
    <pivotField showAll="0">
      <items count="10">
        <item x="0"/>
        <item x="1"/>
        <item x="2"/>
        <item x="3"/>
        <item x="4"/>
        <item x="5"/>
        <item x="6"/>
        <item x="7"/>
        <item x="8"/>
        <item t="default"/>
      </items>
    </pivotField>
    <pivotField showAll="0">
      <items count="5">
        <item x="2"/>
        <item x="0"/>
        <item x="3"/>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7"/>
  </rowFields>
  <rowItems count="13">
    <i>
      <x v="1"/>
    </i>
    <i>
      <x v="2"/>
    </i>
    <i>
      <x v="3"/>
    </i>
    <i>
      <x v="4"/>
    </i>
    <i>
      <x v="5"/>
    </i>
    <i>
      <x v="6"/>
    </i>
    <i>
      <x v="7"/>
    </i>
    <i>
      <x v="8"/>
    </i>
    <i>
      <x v="9"/>
    </i>
    <i>
      <x v="10"/>
    </i>
    <i>
      <x v="11"/>
    </i>
    <i>
      <x v="12"/>
    </i>
    <i t="grand">
      <x/>
    </i>
  </rowItems>
  <colFields count="1">
    <field x="-2"/>
  </colFields>
  <colItems count="2">
    <i>
      <x/>
    </i>
    <i i="1">
      <x v="1"/>
    </i>
  </colItems>
  <dataFields count="2">
    <dataField name="Total order" fld="0" subtotal="count" baseField="0" baseItem="0"/>
    <dataField name="Sales  value" fld="6" subtotal="average" baseField="0" baseItem="0"/>
  </dataFields>
  <chartFormats count="1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0"/>
          </reference>
          <reference field="17" count="1" selected="0">
            <x v="6"/>
          </reference>
        </references>
      </pivotArea>
    </chartFormat>
    <chartFormat chart="3" format="3">
      <pivotArea type="data" outline="0" fieldPosition="0">
        <references count="2">
          <reference field="4294967294" count="1" selected="0">
            <x v="0"/>
          </reference>
          <reference field="17" count="1" selected="0">
            <x v="10"/>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1"/>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18F46C-FF46-164A-9BE5-F86BA204DAC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24:C45" firstHeaderRow="0" firstDataRow="1" firstDataCol="1"/>
  <pivotFields count="20">
    <pivotField showAll="0"/>
    <pivotField showAll="0"/>
    <pivotField showAll="0"/>
    <pivotField numFmtId="165" showAll="0"/>
    <pivotField showAll="0">
      <items count="5">
        <item x="3"/>
        <item x="0"/>
        <item x="2"/>
        <item x="1"/>
        <item t="default"/>
      </items>
    </pivotField>
    <pivotField axis="axisRow" showAll="0" measureFilter="1" sortType="descending">
      <items count="93">
        <item x="20"/>
        <item x="35"/>
        <item x="41"/>
        <item x="49"/>
        <item x="42"/>
        <item x="51"/>
        <item x="66"/>
        <item x="46"/>
        <item x="56"/>
        <item x="24"/>
        <item x="88"/>
        <item x="2"/>
        <item x="38"/>
        <item x="75"/>
        <item x="23"/>
        <item x="9"/>
        <item x="53"/>
        <item x="22"/>
        <item x="57"/>
        <item x="26"/>
        <item x="29"/>
        <item x="83"/>
        <item x="19"/>
        <item x="86"/>
        <item x="59"/>
        <item x="68"/>
        <item x="85"/>
        <item x="14"/>
        <item x="43"/>
        <item x="74"/>
        <item x="76"/>
        <item x="17"/>
        <item x="81"/>
        <item x="4"/>
        <item x="13"/>
        <item x="8"/>
        <item x="3"/>
        <item x="5"/>
        <item x="58"/>
        <item x="48"/>
        <item x="73"/>
        <item x="79"/>
        <item x="0"/>
        <item x="33"/>
        <item x="18"/>
        <item x="67"/>
        <item x="34"/>
        <item x="91"/>
        <item x="80"/>
        <item x="27"/>
        <item x="37"/>
        <item x="62"/>
        <item x="25"/>
        <item x="15"/>
        <item x="6"/>
        <item x="30"/>
        <item x="16"/>
        <item x="70"/>
        <item x="54"/>
        <item x="89"/>
        <item x="11"/>
        <item x="69"/>
        <item x="71"/>
        <item x="44"/>
        <item x="78"/>
        <item x="36"/>
        <item x="90"/>
        <item x="1"/>
        <item x="10"/>
        <item x="60"/>
        <item x="72"/>
        <item x="63"/>
        <item x="45"/>
        <item x="87"/>
        <item x="47"/>
        <item x="32"/>
        <item x="61"/>
        <item x="84"/>
        <item x="82"/>
        <item x="52"/>
        <item x="28"/>
        <item x="64"/>
        <item x="39"/>
        <item x="55"/>
        <item x="40"/>
        <item x="7"/>
        <item x="77"/>
        <item x="21"/>
        <item x="65"/>
        <item x="12"/>
        <item x="50"/>
        <item x="31"/>
        <item t="default"/>
      </items>
      <autoSortScope>
        <pivotArea dataOnly="0" outline="0" fieldPosition="0">
          <references count="1">
            <reference field="4294967294" count="1" selected="0">
              <x v="1"/>
            </reference>
          </references>
        </pivotArea>
      </autoSortScope>
    </pivotField>
    <pivotField dataField="1" showAll="0"/>
    <pivotField showAll="0"/>
    <pivotField numFmtId="14" showAll="0">
      <items count="366">
        <item x="330"/>
        <item x="80"/>
        <item x="54"/>
        <item x="203"/>
        <item x="111"/>
        <item x="79"/>
        <item x="336"/>
        <item x="297"/>
        <item x="313"/>
        <item x="293"/>
        <item x="156"/>
        <item x="76"/>
        <item x="78"/>
        <item x="170"/>
        <item x="161"/>
        <item x="181"/>
        <item x="89"/>
        <item x="247"/>
        <item x="18"/>
        <item x="163"/>
        <item x="325"/>
        <item x="304"/>
        <item x="21"/>
        <item x="275"/>
        <item x="308"/>
        <item x="112"/>
        <item x="128"/>
        <item x="323"/>
        <item x="66"/>
        <item x="214"/>
        <item x="236"/>
        <item x="363"/>
        <item x="139"/>
        <item x="151"/>
        <item x="189"/>
        <item x="195"/>
        <item x="49"/>
        <item x="73"/>
        <item x="131"/>
        <item x="177"/>
        <item x="115"/>
        <item x="104"/>
        <item x="199"/>
        <item x="301"/>
        <item x="157"/>
        <item x="146"/>
        <item x="197"/>
        <item x="38"/>
        <item x="6"/>
        <item x="110"/>
        <item x="31"/>
        <item x="338"/>
        <item x="184"/>
        <item x="39"/>
        <item x="160"/>
        <item x="84"/>
        <item x="269"/>
        <item x="298"/>
        <item x="145"/>
        <item x="130"/>
        <item x="137"/>
        <item x="30"/>
        <item x="272"/>
        <item x="346"/>
        <item x="281"/>
        <item x="87"/>
        <item x="5"/>
        <item x="351"/>
        <item x="358"/>
        <item x="250"/>
        <item x="242"/>
        <item x="317"/>
        <item x="97"/>
        <item x="225"/>
        <item x="29"/>
        <item x="19"/>
        <item x="23"/>
        <item x="140"/>
        <item x="171"/>
        <item x="28"/>
        <item x="296"/>
        <item x="320"/>
        <item x="294"/>
        <item x="118"/>
        <item x="132"/>
        <item x="202"/>
        <item x="83"/>
        <item x="284"/>
        <item x="101"/>
        <item x="60"/>
        <item x="219"/>
        <item x="67"/>
        <item x="129"/>
        <item x="127"/>
        <item x="95"/>
        <item x="253"/>
        <item x="194"/>
        <item x="348"/>
        <item x="364"/>
        <item x="162"/>
        <item x="147"/>
        <item x="361"/>
        <item x="260"/>
        <item x="70"/>
        <item x="245"/>
        <item x="193"/>
        <item x="107"/>
        <item x="255"/>
        <item x="108"/>
        <item x="165"/>
        <item x="276"/>
        <item x="246"/>
        <item x="218"/>
        <item x="290"/>
        <item x="134"/>
        <item x="48"/>
        <item x="321"/>
        <item x="335"/>
        <item x="1"/>
        <item x="295"/>
        <item x="291"/>
        <item x="211"/>
        <item x="141"/>
        <item x="356"/>
        <item x="106"/>
        <item x="288"/>
        <item x="37"/>
        <item x="215"/>
        <item x="182"/>
        <item x="51"/>
        <item x="44"/>
        <item x="57"/>
        <item x="99"/>
        <item x="173"/>
        <item x="116"/>
        <item x="144"/>
        <item x="46"/>
        <item x="153"/>
        <item x="133"/>
        <item x="125"/>
        <item x="176"/>
        <item x="310"/>
        <item x="349"/>
        <item x="164"/>
        <item x="262"/>
        <item x="221"/>
        <item x="278"/>
        <item x="229"/>
        <item x="42"/>
        <item x="243"/>
        <item x="179"/>
        <item x="228"/>
        <item x="266"/>
        <item x="24"/>
        <item x="190"/>
        <item x="12"/>
        <item x="174"/>
        <item x="69"/>
        <item x="267"/>
        <item x="61"/>
        <item x="117"/>
        <item x="20"/>
        <item x="342"/>
        <item x="252"/>
        <item x="124"/>
        <item x="123"/>
        <item x="58"/>
        <item x="234"/>
        <item x="345"/>
        <item x="337"/>
        <item x="168"/>
        <item x="240"/>
        <item x="82"/>
        <item x="93"/>
        <item x="53"/>
        <item x="138"/>
        <item x="314"/>
        <item x="328"/>
        <item x="285"/>
        <item x="305"/>
        <item x="35"/>
        <item x="41"/>
        <item x="143"/>
        <item x="32"/>
        <item x="167"/>
        <item x="324"/>
        <item x="191"/>
        <item x="264"/>
        <item x="210"/>
        <item x="63"/>
        <item x="311"/>
        <item x="149"/>
        <item x="222"/>
        <item x="50"/>
        <item x="344"/>
        <item x="102"/>
        <item x="220"/>
        <item x="212"/>
        <item x="334"/>
        <item x="316"/>
        <item x="265"/>
        <item x="77"/>
        <item x="302"/>
        <item x="205"/>
        <item x="200"/>
        <item x="331"/>
        <item x="10"/>
        <item x="85"/>
        <item x="209"/>
        <item x="154"/>
        <item x="113"/>
        <item x="25"/>
        <item x="238"/>
        <item x="159"/>
        <item x="135"/>
        <item x="353"/>
        <item x="188"/>
        <item x="187"/>
        <item x="258"/>
        <item x="98"/>
        <item x="282"/>
        <item x="347"/>
        <item x="340"/>
        <item x="166"/>
        <item x="186"/>
        <item x="192"/>
        <item x="227"/>
        <item x="280"/>
        <item x="122"/>
        <item x="150"/>
        <item x="158"/>
        <item x="251"/>
        <item x="233"/>
        <item x="183"/>
        <item x="333"/>
        <item x="15"/>
        <item x="332"/>
        <item x="230"/>
        <item x="352"/>
        <item x="207"/>
        <item x="248"/>
        <item x="74"/>
        <item x="198"/>
        <item x="271"/>
        <item x="204"/>
        <item x="232"/>
        <item x="318"/>
        <item x="86"/>
        <item x="339"/>
        <item x="196"/>
        <item x="315"/>
        <item x="360"/>
        <item x="22"/>
        <item x="241"/>
        <item x="148"/>
        <item x="268"/>
        <item x="237"/>
        <item x="90"/>
        <item x="254"/>
        <item x="213"/>
        <item x="121"/>
        <item x="274"/>
        <item x="273"/>
        <item x="206"/>
        <item x="64"/>
        <item x="71"/>
        <item x="56"/>
        <item x="43"/>
        <item x="239"/>
        <item x="299"/>
        <item x="270"/>
        <item x="359"/>
        <item x="261"/>
        <item x="142"/>
        <item x="155"/>
        <item x="307"/>
        <item x="14"/>
        <item x="75"/>
        <item x="45"/>
        <item x="286"/>
        <item x="319"/>
        <item x="208"/>
        <item x="33"/>
        <item x="329"/>
        <item x="303"/>
        <item x="17"/>
        <item x="256"/>
        <item x="59"/>
        <item x="114"/>
        <item x="152"/>
        <item x="47"/>
        <item x="16"/>
        <item x="55"/>
        <item x="96"/>
        <item x="322"/>
        <item x="235"/>
        <item x="52"/>
        <item x="343"/>
        <item x="4"/>
        <item x="34"/>
        <item x="65"/>
        <item x="327"/>
        <item x="300"/>
        <item x="287"/>
        <item x="172"/>
        <item x="105"/>
        <item x="9"/>
        <item x="244"/>
        <item x="36"/>
        <item x="175"/>
        <item x="91"/>
        <item x="27"/>
        <item x="119"/>
        <item x="283"/>
        <item x="68"/>
        <item x="109"/>
        <item x="306"/>
        <item x="362"/>
        <item x="355"/>
        <item x="40"/>
        <item x="169"/>
        <item x="62"/>
        <item x="249"/>
        <item x="216"/>
        <item x="185"/>
        <item x="357"/>
        <item x="7"/>
        <item x="126"/>
        <item x="120"/>
        <item x="289"/>
        <item x="13"/>
        <item x="3"/>
        <item x="178"/>
        <item x="26"/>
        <item x="326"/>
        <item x="180"/>
        <item x="201"/>
        <item x="354"/>
        <item x="223"/>
        <item x="136"/>
        <item x="226"/>
        <item x="263"/>
        <item x="100"/>
        <item x="309"/>
        <item x="224"/>
        <item x="92"/>
        <item x="88"/>
        <item x="94"/>
        <item x="0"/>
        <item x="257"/>
        <item x="72"/>
        <item x="11"/>
        <item x="350"/>
        <item x="341"/>
        <item x="103"/>
        <item x="217"/>
        <item x="8"/>
        <item x="231"/>
        <item x="312"/>
        <item x="81"/>
        <item x="292"/>
        <item x="259"/>
        <item x="277"/>
        <item x="2"/>
        <item x="279"/>
        <item t="default"/>
      </items>
    </pivotField>
    <pivotField numFmtId="21" showAll="0">
      <items count="222">
        <item x="168"/>
        <item x="16"/>
        <item x="186"/>
        <item x="130"/>
        <item x="121"/>
        <item x="12"/>
        <item x="207"/>
        <item x="31"/>
        <item x="37"/>
        <item x="92"/>
        <item x="7"/>
        <item x="122"/>
        <item x="52"/>
        <item x="32"/>
        <item x="156"/>
        <item x="127"/>
        <item x="84"/>
        <item x="210"/>
        <item x="95"/>
        <item x="8"/>
        <item x="128"/>
        <item x="142"/>
        <item x="83"/>
        <item x="124"/>
        <item x="195"/>
        <item x="65"/>
        <item x="219"/>
        <item x="49"/>
        <item x="103"/>
        <item x="209"/>
        <item x="177"/>
        <item x="117"/>
        <item x="47"/>
        <item x="161"/>
        <item x="200"/>
        <item x="173"/>
        <item x="109"/>
        <item x="211"/>
        <item x="152"/>
        <item x="76"/>
        <item x="86"/>
        <item x="14"/>
        <item x="118"/>
        <item x="203"/>
        <item x="59"/>
        <item x="129"/>
        <item x="189"/>
        <item x="46"/>
        <item x="33"/>
        <item x="45"/>
        <item x="104"/>
        <item x="179"/>
        <item x="102"/>
        <item x="143"/>
        <item x="220"/>
        <item x="212"/>
        <item x="217"/>
        <item x="157"/>
        <item x="132"/>
        <item x="23"/>
        <item x="160"/>
        <item x="216"/>
        <item x="131"/>
        <item x="202"/>
        <item x="199"/>
        <item x="82"/>
        <item x="198"/>
        <item x="98"/>
        <item x="204"/>
        <item x="41"/>
        <item x="197"/>
        <item x="113"/>
        <item x="180"/>
        <item x="214"/>
        <item x="205"/>
        <item x="185"/>
        <item x="13"/>
        <item x="208"/>
        <item x="170"/>
        <item x="17"/>
        <item x="196"/>
        <item x="55"/>
        <item x="106"/>
        <item x="218"/>
        <item x="90"/>
        <item x="145"/>
        <item x="119"/>
        <item x="188"/>
        <item x="147"/>
        <item x="193"/>
        <item x="165"/>
        <item x="206"/>
        <item x="133"/>
        <item x="184"/>
        <item x="5"/>
        <item x="178"/>
        <item x="105"/>
        <item x="125"/>
        <item x="26"/>
        <item x="110"/>
        <item x="158"/>
        <item x="25"/>
        <item x="171"/>
        <item x="144"/>
        <item x="114"/>
        <item x="183"/>
        <item x="182"/>
        <item x="159"/>
        <item x="163"/>
        <item x="40"/>
        <item x="66"/>
        <item x="175"/>
        <item x="176"/>
        <item x="4"/>
        <item x="15"/>
        <item x="70"/>
        <item x="136"/>
        <item x="18"/>
        <item x="190"/>
        <item x="140"/>
        <item x="24"/>
        <item x="27"/>
        <item x="69"/>
        <item x="137"/>
        <item x="154"/>
        <item x="56"/>
        <item x="141"/>
        <item x="191"/>
        <item x="79"/>
        <item x="134"/>
        <item x="71"/>
        <item x="213"/>
        <item x="57"/>
        <item x="91"/>
        <item x="62"/>
        <item x="99"/>
        <item x="74"/>
        <item x="135"/>
        <item x="78"/>
        <item x="80"/>
        <item x="101"/>
        <item x="1"/>
        <item x="155"/>
        <item x="38"/>
        <item x="169"/>
        <item x="146"/>
        <item x="164"/>
        <item x="9"/>
        <item x="100"/>
        <item x="153"/>
        <item x="43"/>
        <item x="194"/>
        <item x="87"/>
        <item x="94"/>
        <item x="187"/>
        <item x="174"/>
        <item x="166"/>
        <item x="138"/>
        <item x="116"/>
        <item x="96"/>
        <item x="181"/>
        <item x="126"/>
        <item x="63"/>
        <item x="89"/>
        <item x="72"/>
        <item x="64"/>
        <item x="48"/>
        <item x="22"/>
        <item x="34"/>
        <item x="149"/>
        <item x="81"/>
        <item x="107"/>
        <item x="10"/>
        <item x="19"/>
        <item x="97"/>
        <item x="172"/>
        <item x="123"/>
        <item x="61"/>
        <item x="20"/>
        <item x="139"/>
        <item x="167"/>
        <item x="68"/>
        <item x="2"/>
        <item x="54"/>
        <item x="6"/>
        <item x="115"/>
        <item x="148"/>
        <item x="151"/>
        <item x="108"/>
        <item x="39"/>
        <item x="50"/>
        <item x="111"/>
        <item x="3"/>
        <item x="58"/>
        <item x="53"/>
        <item x="21"/>
        <item x="67"/>
        <item x="120"/>
        <item x="201"/>
        <item x="162"/>
        <item x="11"/>
        <item x="51"/>
        <item x="60"/>
        <item x="215"/>
        <item x="112"/>
        <item x="85"/>
        <item x="29"/>
        <item x="77"/>
        <item x="75"/>
        <item x="88"/>
        <item x="35"/>
        <item x="0"/>
        <item x="93"/>
        <item x="30"/>
        <item x="36"/>
        <item x="73"/>
        <item x="44"/>
        <item x="150"/>
        <item x="42"/>
        <item x="28"/>
        <item x="192"/>
        <item t="default"/>
      </items>
    </pivotField>
    <pivotField showAll="0"/>
    <pivotField dataField="1" showAll="0"/>
    <pivotField showAll="0">
      <items count="31">
        <item x="26"/>
        <item x="0"/>
        <item x="25"/>
        <item x="15"/>
        <item x="6"/>
        <item x="28"/>
        <item x="27"/>
        <item x="17"/>
        <item x="19"/>
        <item x="13"/>
        <item x="29"/>
        <item x="11"/>
        <item x="3"/>
        <item x="24"/>
        <item x="14"/>
        <item x="8"/>
        <item x="9"/>
        <item x="21"/>
        <item x="2"/>
        <item x="4"/>
        <item x="10"/>
        <item x="23"/>
        <item x="12"/>
        <item x="7"/>
        <item x="18"/>
        <item x="16"/>
        <item x="5"/>
        <item x="1"/>
        <item x="20"/>
        <item x="22"/>
        <item t="default"/>
      </items>
    </pivotField>
    <pivotField showAll="0"/>
    <pivotField showAll="0">
      <items count="10">
        <item x="0"/>
        <item x="1"/>
        <item x="2"/>
        <item x="3"/>
        <item x="4"/>
        <item x="5"/>
        <item x="6"/>
        <item x="7"/>
        <item x="8"/>
        <item t="default"/>
      </items>
    </pivotField>
    <pivotField showAll="0">
      <items count="5">
        <item x="2"/>
        <item x="0"/>
        <item x="3"/>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21">
    <i>
      <x v="14"/>
    </i>
    <i>
      <x v="82"/>
    </i>
    <i>
      <x v="88"/>
    </i>
    <i>
      <x v="68"/>
    </i>
    <i>
      <x v="86"/>
    </i>
    <i>
      <x v="42"/>
    </i>
    <i>
      <x v="27"/>
    </i>
    <i>
      <x v="67"/>
    </i>
    <i>
      <x v="4"/>
    </i>
    <i>
      <x v="76"/>
    </i>
    <i>
      <x v="19"/>
    </i>
    <i>
      <x v="29"/>
    </i>
    <i>
      <x v="33"/>
    </i>
    <i>
      <x/>
    </i>
    <i>
      <x v="84"/>
    </i>
    <i>
      <x v="22"/>
    </i>
    <i>
      <x v="23"/>
    </i>
    <i>
      <x v="55"/>
    </i>
    <i>
      <x v="57"/>
    </i>
    <i>
      <x v="37"/>
    </i>
    <i t="grand">
      <x/>
    </i>
  </rowItems>
  <colFields count="1">
    <field x="-2"/>
  </colFields>
  <colItems count="2">
    <i>
      <x/>
    </i>
    <i i="1">
      <x v="1"/>
    </i>
  </colItems>
  <dataFields count="2">
    <dataField name=" Order Value" fld="6" baseField="0" baseItem="0"/>
    <dataField name=" Sales Target" fld="11" subtotal="max" baseField="0" baseItem="0"/>
  </dataFields>
  <chartFormats count="2">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5" type="count" evalOrder="-1" id="3"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anager" xr10:uid="{454B4622-1DF6-2543-8DC2-738F292F0810}" sourceName="Sales manager">
  <pivotTables>
    <pivotTable tabId="7" name="PivotTable1"/>
    <pivotTable tabId="7" name="PivotTable10"/>
    <pivotTable tabId="7" name="PivotTable12"/>
    <pivotTable tabId="7" name="PivotTable2"/>
    <pivotTable tabId="7" name="PivotTable3"/>
    <pivotTable tabId="7" name="PivotTable4"/>
  </pivotTables>
  <data>
    <tabular pivotCacheId="1344013906">
      <items count="30">
        <i x="26" s="1"/>
        <i x="0" s="1"/>
        <i x="25" s="1"/>
        <i x="15" s="1"/>
        <i x="6" s="1"/>
        <i x="28" s="1"/>
        <i x="27" s="1"/>
        <i x="17" s="1"/>
        <i x="19" s="1"/>
        <i x="13" s="1"/>
        <i x="29" s="1"/>
        <i x="11" s="1"/>
        <i x="3" s="1"/>
        <i x="24" s="1"/>
        <i x="14" s="1"/>
        <i x="8" s="1"/>
        <i x="9" s="1"/>
        <i x="21" s="1"/>
        <i x="2" s="1"/>
        <i x="4" s="1"/>
        <i x="10" s="1"/>
        <i x="23" s="1"/>
        <i x="12" s="1"/>
        <i x="7" s="1"/>
        <i x="18" s="1"/>
        <i x="16" s="1"/>
        <i x="5" s="1"/>
        <i x="1" s="1"/>
        <i x="20" s="1"/>
        <i x="2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0AFFE34-FA35-304E-9469-7D5057F9EB0B}" sourceName="Category">
  <pivotTables>
    <pivotTable tabId="7" name="PivotTable1"/>
    <pivotTable tabId="7" name="PivotTable10"/>
    <pivotTable tabId="7" name="PivotTable12"/>
    <pivotTable tabId="7" name="PivotTable2"/>
    <pivotTable tabId="7" name="PivotTable3"/>
    <pivotTable tabId="7" name="PivotTable4"/>
  </pivotTables>
  <data>
    <tabular pivotCacheId="1344013906">
      <items count="4">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manager" xr10:uid="{320691BF-0484-0949-ADD0-22905F205AAD}" cache="Slicer_Sales_manager" caption="Sales manager" rowHeight="230716"/>
  <slicer name="Category" xr10:uid="{10644360-2138-A943-8D3E-0746F89D726B}" cache="Slicer_Category" caption="Category"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D1171-BE32-4C5D-A744-FE607DCCA9A6}">
  <sheetPr>
    <tabColor theme="7"/>
  </sheetPr>
  <dimension ref="A1:Q2823"/>
  <sheetViews>
    <sheetView tabSelected="1" topLeftCell="I1" zoomScale="146" zoomScaleNormal="146" workbookViewId="0">
      <selection activeCell="C2" sqref="C2"/>
    </sheetView>
  </sheetViews>
  <sheetFormatPr baseColWidth="10" defaultColWidth="8.83203125" defaultRowHeight="15" x14ac:dyDescent="0.2"/>
  <cols>
    <col min="1" max="1" width="10.33203125" bestFit="1" customWidth="1"/>
    <col min="2" max="2" width="13" customWidth="1"/>
    <col min="3" max="3" width="17.5" style="2" customWidth="1"/>
    <col min="4" max="4" width="20.83203125" style="10" bestFit="1" customWidth="1"/>
    <col min="5" max="5" width="13.6640625" bestFit="1" customWidth="1"/>
    <col min="6" max="6" width="19.5" bestFit="1" customWidth="1"/>
    <col min="7" max="7" width="12.83203125" customWidth="1"/>
    <col min="8" max="8" width="17.83203125" style="5" bestFit="1" customWidth="1"/>
    <col min="9" max="9" width="15.1640625" bestFit="1" customWidth="1"/>
    <col min="10" max="10" width="15.1640625" customWidth="1"/>
    <col min="11" max="11" width="12.1640625" bestFit="1" customWidth="1"/>
    <col min="12" max="12" width="14.83203125" bestFit="1" customWidth="1"/>
    <col min="13" max="13" width="14.5" bestFit="1" customWidth="1"/>
    <col min="14" max="14" width="15.83203125" bestFit="1" customWidth="1"/>
  </cols>
  <sheetData>
    <row r="1" spans="1:17" x14ac:dyDescent="0.2">
      <c r="A1" s="4" t="s">
        <v>148</v>
      </c>
      <c r="B1" s="4" t="s">
        <v>2</v>
      </c>
      <c r="C1" s="4" t="s">
        <v>114</v>
      </c>
      <c r="D1" s="9" t="s">
        <v>0</v>
      </c>
      <c r="E1" s="4" t="s">
        <v>112</v>
      </c>
      <c r="F1" s="4" t="s">
        <v>3</v>
      </c>
      <c r="G1" s="4" t="s">
        <v>1</v>
      </c>
      <c r="H1" s="7" t="s">
        <v>193</v>
      </c>
      <c r="I1" s="4" t="s">
        <v>194</v>
      </c>
      <c r="J1" s="4" t="s">
        <v>294</v>
      </c>
      <c r="K1" s="4" t="s">
        <v>195</v>
      </c>
      <c r="L1" s="12" t="s">
        <v>141</v>
      </c>
      <c r="M1" s="12" t="s">
        <v>147</v>
      </c>
      <c r="N1" s="12" t="s">
        <v>196</v>
      </c>
      <c r="O1" s="12" t="s">
        <v>149</v>
      </c>
      <c r="P1" s="12" t="s">
        <v>150</v>
      </c>
      <c r="Q1" s="12" t="s">
        <v>153</v>
      </c>
    </row>
    <row r="2" spans="1:17" x14ac:dyDescent="0.2">
      <c r="A2">
        <v>1597</v>
      </c>
      <c r="B2">
        <v>856</v>
      </c>
      <c r="C2" s="1" t="s">
        <v>99</v>
      </c>
      <c r="D2" s="10">
        <v>45275.034722222219</v>
      </c>
      <c r="E2" t="s">
        <v>96</v>
      </c>
      <c r="F2" t="s">
        <v>4</v>
      </c>
      <c r="G2">
        <v>412</v>
      </c>
      <c r="H2" s="5" t="s">
        <v>99</v>
      </c>
      <c r="I2" s="15">
        <v>45275</v>
      </c>
      <c r="J2" s="15" t="s">
        <v>295</v>
      </c>
      <c r="K2" s="6">
        <v>0.53472222222222221</v>
      </c>
      <c r="L2" t="s">
        <v>142</v>
      </c>
      <c r="M2">
        <v>200000</v>
      </c>
      <c r="N2" t="s">
        <v>197</v>
      </c>
      <c r="O2" t="s">
        <v>151</v>
      </c>
      <c r="P2">
        <v>59</v>
      </c>
      <c r="Q2" t="s">
        <v>155</v>
      </c>
    </row>
    <row r="3" spans="1:17" x14ac:dyDescent="0.2">
      <c r="A3">
        <v>2011</v>
      </c>
      <c r="B3">
        <v>525</v>
      </c>
      <c r="C3" s="1" t="s">
        <v>113</v>
      </c>
      <c r="D3" s="10">
        <v>45045.986111111109</v>
      </c>
      <c r="E3" t="s">
        <v>191</v>
      </c>
      <c r="F3" t="s">
        <v>5</v>
      </c>
      <c r="G3">
        <v>4551</v>
      </c>
      <c r="H3" s="5" t="s">
        <v>113</v>
      </c>
      <c r="I3" s="15">
        <v>45045</v>
      </c>
      <c r="J3" s="15" t="s">
        <v>233</v>
      </c>
      <c r="K3" s="6">
        <v>0.4861111111111111</v>
      </c>
      <c r="L3" t="s">
        <v>143</v>
      </c>
      <c r="M3">
        <v>200000</v>
      </c>
      <c r="N3" t="s">
        <v>198</v>
      </c>
      <c r="O3" t="s">
        <v>152</v>
      </c>
      <c r="P3">
        <v>20</v>
      </c>
      <c r="Q3" t="s">
        <v>155</v>
      </c>
    </row>
    <row r="4" spans="1:17" x14ac:dyDescent="0.2">
      <c r="A4">
        <v>2822</v>
      </c>
      <c r="B4">
        <v>1614</v>
      </c>
      <c r="C4" s="1" t="s">
        <v>99</v>
      </c>
      <c r="D4" s="10">
        <v>45290.01458333333</v>
      </c>
      <c r="E4" t="s">
        <v>191</v>
      </c>
      <c r="F4" t="s">
        <v>6</v>
      </c>
      <c r="G4">
        <v>3960</v>
      </c>
      <c r="H4" s="5" t="s">
        <v>99</v>
      </c>
      <c r="I4" s="15">
        <v>45290</v>
      </c>
      <c r="J4" s="15" t="s">
        <v>295</v>
      </c>
      <c r="K4" s="6">
        <v>0.51458333333333328</v>
      </c>
      <c r="L4" t="s">
        <v>144</v>
      </c>
      <c r="M4">
        <v>100000</v>
      </c>
      <c r="N4" t="s">
        <v>199</v>
      </c>
      <c r="O4" t="s">
        <v>151</v>
      </c>
      <c r="P4">
        <v>37</v>
      </c>
      <c r="Q4" t="s">
        <v>157</v>
      </c>
    </row>
    <row r="5" spans="1:17" x14ac:dyDescent="0.2">
      <c r="A5">
        <v>2889</v>
      </c>
      <c r="B5">
        <v>743</v>
      </c>
      <c r="C5" s="1" t="s">
        <v>99</v>
      </c>
      <c r="D5" s="10">
        <v>45258.021527777775</v>
      </c>
      <c r="E5" t="s">
        <v>191</v>
      </c>
      <c r="F5" t="s">
        <v>7</v>
      </c>
      <c r="G5">
        <v>8397</v>
      </c>
      <c r="H5" s="5" t="s">
        <v>99</v>
      </c>
      <c r="I5" s="15">
        <v>45258</v>
      </c>
      <c r="J5" s="15" t="s">
        <v>295</v>
      </c>
      <c r="K5" s="6">
        <v>0.52152777777777781</v>
      </c>
      <c r="L5" t="s">
        <v>144</v>
      </c>
      <c r="M5">
        <v>150000</v>
      </c>
      <c r="N5" t="s">
        <v>200</v>
      </c>
      <c r="O5" t="s">
        <v>152</v>
      </c>
      <c r="P5">
        <v>29</v>
      </c>
      <c r="Q5" t="s">
        <v>155</v>
      </c>
    </row>
    <row r="6" spans="1:17" x14ac:dyDescent="0.2">
      <c r="A6">
        <v>3971</v>
      </c>
      <c r="B6">
        <v>20</v>
      </c>
      <c r="C6" s="1" t="s">
        <v>99</v>
      </c>
      <c r="D6" s="10">
        <v>45225.96597222222</v>
      </c>
      <c r="E6" t="s">
        <v>98</v>
      </c>
      <c r="F6" t="s">
        <v>8</v>
      </c>
      <c r="G6">
        <v>5545</v>
      </c>
      <c r="H6" s="5" t="s">
        <v>99</v>
      </c>
      <c r="I6" s="15">
        <v>45225</v>
      </c>
      <c r="J6" s="15" t="s">
        <v>295</v>
      </c>
      <c r="K6" s="6">
        <v>0.46597222222222223</v>
      </c>
      <c r="L6" t="s">
        <v>142</v>
      </c>
      <c r="M6">
        <v>200000</v>
      </c>
      <c r="N6" t="s">
        <v>201</v>
      </c>
      <c r="O6" t="s">
        <v>152</v>
      </c>
      <c r="P6">
        <v>38</v>
      </c>
      <c r="Q6" t="s">
        <v>154</v>
      </c>
    </row>
    <row r="7" spans="1:17" x14ac:dyDescent="0.2">
      <c r="A7">
        <v>4111</v>
      </c>
      <c r="B7">
        <v>1367</v>
      </c>
      <c r="C7" s="1" t="s">
        <v>107</v>
      </c>
      <c r="D7" s="10">
        <v>44993.952777777777</v>
      </c>
      <c r="E7" t="s">
        <v>97</v>
      </c>
      <c r="F7" t="s">
        <v>9</v>
      </c>
      <c r="G7">
        <v>7800</v>
      </c>
      <c r="H7" s="5" t="s">
        <v>107</v>
      </c>
      <c r="I7" s="15">
        <v>44993</v>
      </c>
      <c r="J7" s="15" t="s">
        <v>232</v>
      </c>
      <c r="K7" s="6">
        <v>0.45277777777777778</v>
      </c>
      <c r="L7" t="s">
        <v>144</v>
      </c>
      <c r="M7">
        <v>150000</v>
      </c>
      <c r="N7" t="s">
        <v>202</v>
      </c>
      <c r="O7" t="s">
        <v>152</v>
      </c>
      <c r="P7">
        <v>25</v>
      </c>
      <c r="Q7" t="s">
        <v>156</v>
      </c>
    </row>
    <row r="8" spans="1:17" x14ac:dyDescent="0.2">
      <c r="A8">
        <v>4801</v>
      </c>
      <c r="B8">
        <v>945</v>
      </c>
      <c r="C8" s="1" t="s">
        <v>100</v>
      </c>
      <c r="D8" s="10">
        <v>44975.015972222223</v>
      </c>
      <c r="E8" t="s">
        <v>96</v>
      </c>
      <c r="F8" t="s">
        <v>10</v>
      </c>
      <c r="G8">
        <v>4674</v>
      </c>
      <c r="H8" s="5" t="s">
        <v>100</v>
      </c>
      <c r="I8" s="15">
        <v>44975</v>
      </c>
      <c r="J8" s="15" t="s">
        <v>232</v>
      </c>
      <c r="K8" s="6">
        <v>0.51597222222222228</v>
      </c>
      <c r="L8" t="s">
        <v>145</v>
      </c>
      <c r="M8">
        <v>150000</v>
      </c>
      <c r="N8" t="s">
        <v>203</v>
      </c>
      <c r="O8" t="s">
        <v>151</v>
      </c>
      <c r="P8">
        <v>34</v>
      </c>
      <c r="Q8" t="s">
        <v>155</v>
      </c>
    </row>
    <row r="9" spans="1:17" ht="15.5" customHeight="1" x14ac:dyDescent="0.2">
      <c r="A9">
        <v>5719</v>
      </c>
      <c r="B9">
        <v>218</v>
      </c>
      <c r="C9" s="1" t="s">
        <v>100</v>
      </c>
      <c r="D9" s="10">
        <v>45253.048611111109</v>
      </c>
      <c r="E9" t="s">
        <v>98</v>
      </c>
      <c r="F9" t="s">
        <v>11</v>
      </c>
      <c r="G9">
        <v>5954</v>
      </c>
      <c r="H9" s="5" t="s">
        <v>100</v>
      </c>
      <c r="I9" s="15">
        <v>45253</v>
      </c>
      <c r="J9" s="15" t="s">
        <v>295</v>
      </c>
      <c r="K9" s="6">
        <v>4.8611111111111112E-2</v>
      </c>
      <c r="L9" t="s">
        <v>143</v>
      </c>
      <c r="M9">
        <v>150000</v>
      </c>
      <c r="N9" t="s">
        <v>204</v>
      </c>
      <c r="O9" t="s">
        <v>152</v>
      </c>
      <c r="P9">
        <v>34</v>
      </c>
      <c r="Q9" t="s">
        <v>154</v>
      </c>
    </row>
    <row r="10" spans="1:17" x14ac:dyDescent="0.2">
      <c r="A10">
        <v>5846</v>
      </c>
      <c r="B10">
        <v>264</v>
      </c>
      <c r="C10" s="1" t="s">
        <v>99</v>
      </c>
      <c r="D10" s="10">
        <v>45283.055555555555</v>
      </c>
      <c r="E10" t="s">
        <v>98</v>
      </c>
      <c r="F10" t="s">
        <v>12</v>
      </c>
      <c r="G10">
        <v>9887</v>
      </c>
      <c r="H10" s="5" t="s">
        <v>99</v>
      </c>
      <c r="I10" s="15">
        <v>45283</v>
      </c>
      <c r="J10" s="15" t="s">
        <v>295</v>
      </c>
      <c r="K10" s="6">
        <v>5.5555555555555552E-2</v>
      </c>
      <c r="L10" t="s">
        <v>143</v>
      </c>
      <c r="M10">
        <v>150000</v>
      </c>
      <c r="N10" t="s">
        <v>205</v>
      </c>
      <c r="O10" t="s">
        <v>151</v>
      </c>
      <c r="P10">
        <v>46</v>
      </c>
      <c r="Q10" t="s">
        <v>154</v>
      </c>
    </row>
    <row r="11" spans="1:17" x14ac:dyDescent="0.2">
      <c r="A11">
        <v>7615</v>
      </c>
      <c r="B11">
        <v>566</v>
      </c>
      <c r="C11" s="1" t="s">
        <v>99</v>
      </c>
      <c r="D11" s="10">
        <v>45233.990277777775</v>
      </c>
      <c r="E11" t="s">
        <v>191</v>
      </c>
      <c r="F11" t="s">
        <v>13</v>
      </c>
      <c r="G11">
        <v>8303</v>
      </c>
      <c r="H11" s="5" t="s">
        <v>99</v>
      </c>
      <c r="I11" s="15">
        <v>45233</v>
      </c>
      <c r="J11" s="15" t="s">
        <v>295</v>
      </c>
      <c r="K11" s="6">
        <v>0.49027777777777776</v>
      </c>
      <c r="L11" t="s">
        <v>143</v>
      </c>
      <c r="M11">
        <v>150000</v>
      </c>
      <c r="N11" t="s">
        <v>206</v>
      </c>
      <c r="O11" t="s">
        <v>151</v>
      </c>
      <c r="P11">
        <v>74</v>
      </c>
      <c r="Q11" t="s">
        <v>155</v>
      </c>
    </row>
    <row r="12" spans="1:17" x14ac:dyDescent="0.2">
      <c r="A12">
        <v>8568</v>
      </c>
      <c r="B12">
        <v>1414</v>
      </c>
      <c r="C12" s="1" t="s">
        <v>99</v>
      </c>
      <c r="D12" s="10">
        <v>45133.007638888892</v>
      </c>
      <c r="E12" t="s">
        <v>97</v>
      </c>
      <c r="F12" t="s">
        <v>14</v>
      </c>
      <c r="G12">
        <v>8969</v>
      </c>
      <c r="H12" s="5" t="s">
        <v>99</v>
      </c>
      <c r="I12" s="15">
        <v>45133</v>
      </c>
      <c r="J12" s="15" t="s">
        <v>234</v>
      </c>
      <c r="K12" s="6">
        <v>0.50763888888888886</v>
      </c>
      <c r="L12" t="s">
        <v>142</v>
      </c>
      <c r="M12">
        <v>250000</v>
      </c>
      <c r="N12" t="s">
        <v>207</v>
      </c>
      <c r="O12" t="s">
        <v>152</v>
      </c>
      <c r="P12">
        <v>28</v>
      </c>
      <c r="Q12" t="s">
        <v>156</v>
      </c>
    </row>
    <row r="13" spans="1:17" x14ac:dyDescent="0.2">
      <c r="A13">
        <v>9339</v>
      </c>
      <c r="B13">
        <v>1681</v>
      </c>
      <c r="C13" s="1" t="s">
        <v>105</v>
      </c>
      <c r="D13" s="10">
        <v>45278.027083333334</v>
      </c>
      <c r="E13" t="s">
        <v>97</v>
      </c>
      <c r="F13" t="s">
        <v>15</v>
      </c>
      <c r="G13">
        <v>2782</v>
      </c>
      <c r="H13" s="5" t="s">
        <v>105</v>
      </c>
      <c r="I13" s="15">
        <v>45278</v>
      </c>
      <c r="J13" s="15" t="s">
        <v>295</v>
      </c>
      <c r="K13" s="6">
        <v>0.52708333333333335</v>
      </c>
      <c r="L13" t="s">
        <v>143</v>
      </c>
      <c r="M13">
        <v>150000</v>
      </c>
      <c r="N13" t="s">
        <v>198</v>
      </c>
      <c r="O13" t="s">
        <v>152</v>
      </c>
      <c r="P13">
        <v>38</v>
      </c>
      <c r="Q13" t="s">
        <v>157</v>
      </c>
    </row>
    <row r="14" spans="1:17" x14ac:dyDescent="0.2">
      <c r="A14">
        <v>9839</v>
      </c>
      <c r="B14">
        <v>223</v>
      </c>
      <c r="C14" s="1" t="s">
        <v>113</v>
      </c>
      <c r="D14" s="10">
        <v>45082.045138888891</v>
      </c>
      <c r="E14" t="s">
        <v>96</v>
      </c>
      <c r="F14" t="s">
        <v>16</v>
      </c>
      <c r="G14">
        <v>7215</v>
      </c>
      <c r="H14" s="5" t="s">
        <v>113</v>
      </c>
      <c r="I14" s="15">
        <v>45082</v>
      </c>
      <c r="J14" s="15" t="s">
        <v>233</v>
      </c>
      <c r="K14" s="6">
        <v>4.5138888888888888E-2</v>
      </c>
      <c r="L14" t="s">
        <v>142</v>
      </c>
      <c r="M14">
        <v>80000</v>
      </c>
      <c r="N14" t="s">
        <v>208</v>
      </c>
      <c r="O14" t="s">
        <v>151</v>
      </c>
      <c r="P14">
        <v>41</v>
      </c>
      <c r="Q14" t="s">
        <v>154</v>
      </c>
    </row>
    <row r="15" spans="1:17" x14ac:dyDescent="0.2">
      <c r="A15">
        <v>10101</v>
      </c>
      <c r="B15">
        <v>276</v>
      </c>
      <c r="C15" s="1" t="s">
        <v>113</v>
      </c>
      <c r="D15" s="10">
        <v>45257.936805555553</v>
      </c>
      <c r="E15" t="s">
        <v>97</v>
      </c>
      <c r="F15" t="s">
        <v>17</v>
      </c>
      <c r="G15">
        <v>6947</v>
      </c>
      <c r="H15" s="5" t="s">
        <v>113</v>
      </c>
      <c r="I15" s="15">
        <v>45257</v>
      </c>
      <c r="J15" s="15" t="s">
        <v>295</v>
      </c>
      <c r="K15" s="6">
        <v>0.43680555555555556</v>
      </c>
      <c r="L15" t="s">
        <v>142</v>
      </c>
      <c r="M15">
        <v>100000</v>
      </c>
      <c r="N15" t="s">
        <v>209</v>
      </c>
      <c r="O15" t="s">
        <v>152</v>
      </c>
      <c r="P15">
        <v>59</v>
      </c>
      <c r="Q15" t="s">
        <v>154</v>
      </c>
    </row>
    <row r="16" spans="1:17" x14ac:dyDescent="0.2">
      <c r="A16">
        <v>10208</v>
      </c>
      <c r="B16">
        <v>1219</v>
      </c>
      <c r="C16" s="1" t="s">
        <v>99</v>
      </c>
      <c r="D16" s="10">
        <v>45203.070833333331</v>
      </c>
      <c r="E16" t="s">
        <v>98</v>
      </c>
      <c r="F16" t="s">
        <v>18</v>
      </c>
      <c r="G16">
        <v>3866</v>
      </c>
      <c r="H16" s="5" t="s">
        <v>99</v>
      </c>
      <c r="I16" s="15">
        <v>45203</v>
      </c>
      <c r="J16" s="15" t="s">
        <v>295</v>
      </c>
      <c r="K16" s="6">
        <v>7.0833333333333331E-2</v>
      </c>
      <c r="L16" t="s">
        <v>145</v>
      </c>
      <c r="M16">
        <v>200000</v>
      </c>
      <c r="N16" t="s">
        <v>210</v>
      </c>
      <c r="O16" t="s">
        <v>151</v>
      </c>
      <c r="P16">
        <v>19</v>
      </c>
      <c r="Q16" t="s">
        <v>156</v>
      </c>
    </row>
    <row r="17" spans="1:17" x14ac:dyDescent="0.2">
      <c r="A17">
        <v>10508</v>
      </c>
      <c r="B17">
        <v>1016</v>
      </c>
      <c r="C17" s="1" t="s">
        <v>113</v>
      </c>
      <c r="D17" s="10">
        <v>45162.967361111114</v>
      </c>
      <c r="E17" t="s">
        <v>191</v>
      </c>
      <c r="F17" t="s">
        <v>19</v>
      </c>
      <c r="G17">
        <v>4247</v>
      </c>
      <c r="H17" s="5" t="s">
        <v>113</v>
      </c>
      <c r="I17" s="15">
        <v>45162</v>
      </c>
      <c r="J17" s="15" t="s">
        <v>234</v>
      </c>
      <c r="K17" s="6">
        <v>0.46736111111111112</v>
      </c>
      <c r="L17" t="s">
        <v>142</v>
      </c>
      <c r="M17">
        <v>150000</v>
      </c>
      <c r="N17" t="s">
        <v>211</v>
      </c>
      <c r="O17" t="s">
        <v>152</v>
      </c>
      <c r="P17">
        <v>23</v>
      </c>
      <c r="Q17" t="s">
        <v>156</v>
      </c>
    </row>
    <row r="18" spans="1:17" x14ac:dyDescent="0.2">
      <c r="A18">
        <v>10526</v>
      </c>
      <c r="B18">
        <v>241</v>
      </c>
      <c r="C18" s="1" t="s">
        <v>99</v>
      </c>
      <c r="D18" s="10">
        <v>45218.952777777777</v>
      </c>
      <c r="E18" t="s">
        <v>98</v>
      </c>
      <c r="F18" t="s">
        <v>20</v>
      </c>
      <c r="G18">
        <v>6627</v>
      </c>
      <c r="H18" s="5" t="s">
        <v>99</v>
      </c>
      <c r="I18" s="15">
        <v>45218</v>
      </c>
      <c r="J18" s="15" t="s">
        <v>295</v>
      </c>
      <c r="K18" s="6">
        <v>0.45277777777777778</v>
      </c>
      <c r="L18" t="s">
        <v>146</v>
      </c>
      <c r="M18">
        <v>150000</v>
      </c>
      <c r="N18" t="s">
        <v>212</v>
      </c>
      <c r="O18" t="s">
        <v>152</v>
      </c>
      <c r="P18">
        <v>22</v>
      </c>
      <c r="Q18" t="s">
        <v>154</v>
      </c>
    </row>
    <row r="19" spans="1:17" x14ac:dyDescent="0.2">
      <c r="A19">
        <v>10667</v>
      </c>
      <c r="B19">
        <v>467</v>
      </c>
      <c r="C19" s="1" t="s">
        <v>100</v>
      </c>
      <c r="D19" s="10">
        <v>45212.042361111111</v>
      </c>
      <c r="E19" t="s">
        <v>191</v>
      </c>
      <c r="F19" t="s">
        <v>21</v>
      </c>
      <c r="G19">
        <v>840</v>
      </c>
      <c r="H19" s="5" t="s">
        <v>100</v>
      </c>
      <c r="I19" s="15">
        <v>45212</v>
      </c>
      <c r="J19" s="15" t="s">
        <v>295</v>
      </c>
      <c r="K19" s="6">
        <v>4.2361111111111113E-2</v>
      </c>
      <c r="L19" t="s">
        <v>142</v>
      </c>
      <c r="M19">
        <v>150000</v>
      </c>
      <c r="N19" t="s">
        <v>211</v>
      </c>
      <c r="O19" t="s">
        <v>151</v>
      </c>
      <c r="P19">
        <v>62</v>
      </c>
      <c r="Q19" t="s">
        <v>154</v>
      </c>
    </row>
    <row r="20" spans="1:17" x14ac:dyDescent="0.2">
      <c r="A20">
        <v>10922</v>
      </c>
      <c r="B20">
        <v>7</v>
      </c>
      <c r="C20" s="1" t="s">
        <v>106</v>
      </c>
      <c r="D20" s="10">
        <v>44945.939583333333</v>
      </c>
      <c r="E20" t="s">
        <v>97</v>
      </c>
      <c r="F20" t="s">
        <v>22</v>
      </c>
      <c r="G20">
        <v>3157</v>
      </c>
      <c r="H20" s="5" t="s">
        <v>106</v>
      </c>
      <c r="I20" s="15">
        <v>44945</v>
      </c>
      <c r="J20" s="15" t="s">
        <v>232</v>
      </c>
      <c r="K20" s="6">
        <v>0.43958333333333333</v>
      </c>
      <c r="L20" t="s">
        <v>144</v>
      </c>
      <c r="M20">
        <v>100000</v>
      </c>
      <c r="N20" t="s">
        <v>202</v>
      </c>
      <c r="O20" t="s">
        <v>151</v>
      </c>
      <c r="P20">
        <v>76</v>
      </c>
      <c r="Q20" t="s">
        <v>154</v>
      </c>
    </row>
    <row r="21" spans="1:17" x14ac:dyDescent="0.2">
      <c r="A21">
        <v>11114</v>
      </c>
      <c r="B21">
        <v>563</v>
      </c>
      <c r="C21" s="1" t="s">
        <v>100</v>
      </c>
      <c r="D21" s="10">
        <v>45002.969444444447</v>
      </c>
      <c r="E21" t="s">
        <v>98</v>
      </c>
      <c r="F21" t="s">
        <v>4</v>
      </c>
      <c r="G21">
        <v>6371</v>
      </c>
      <c r="H21" s="5" t="s">
        <v>100</v>
      </c>
      <c r="I21" s="15">
        <v>45002</v>
      </c>
      <c r="J21" s="15" t="s">
        <v>232</v>
      </c>
      <c r="K21" s="6">
        <v>0.46944444444444444</v>
      </c>
      <c r="L21" t="s">
        <v>142</v>
      </c>
      <c r="M21">
        <v>200000</v>
      </c>
      <c r="N21" t="s">
        <v>197</v>
      </c>
      <c r="O21" t="s">
        <v>152</v>
      </c>
      <c r="P21">
        <v>80</v>
      </c>
      <c r="Q21" t="s">
        <v>155</v>
      </c>
    </row>
    <row r="22" spans="1:17" x14ac:dyDescent="0.2">
      <c r="A22">
        <v>12200</v>
      </c>
      <c r="B22">
        <v>1218</v>
      </c>
      <c r="C22" s="1" t="s">
        <v>99</v>
      </c>
      <c r="D22" s="10">
        <v>45088.008333333331</v>
      </c>
      <c r="E22" t="s">
        <v>191</v>
      </c>
      <c r="F22" t="s">
        <v>23</v>
      </c>
      <c r="G22">
        <v>1774</v>
      </c>
      <c r="H22" s="5" t="s">
        <v>99</v>
      </c>
      <c r="I22" s="15">
        <v>45088</v>
      </c>
      <c r="J22" s="15" t="s">
        <v>233</v>
      </c>
      <c r="K22" s="6">
        <v>0.5083333333333333</v>
      </c>
      <c r="L22" t="s">
        <v>142</v>
      </c>
      <c r="M22">
        <v>150000</v>
      </c>
      <c r="N22" t="s">
        <v>213</v>
      </c>
      <c r="O22" t="s">
        <v>151</v>
      </c>
      <c r="P22">
        <v>68</v>
      </c>
      <c r="Q22" t="s">
        <v>156</v>
      </c>
    </row>
    <row r="23" spans="1:17" x14ac:dyDescent="0.2">
      <c r="A23">
        <v>13586</v>
      </c>
      <c r="B23">
        <v>26</v>
      </c>
      <c r="C23" s="1" t="s">
        <v>100</v>
      </c>
      <c r="D23" s="10">
        <v>44949.011805555558</v>
      </c>
      <c r="E23" t="s">
        <v>97</v>
      </c>
      <c r="F23" t="s">
        <v>24</v>
      </c>
      <c r="G23">
        <v>321</v>
      </c>
      <c r="H23" s="5" t="s">
        <v>100</v>
      </c>
      <c r="I23" s="15">
        <v>44949</v>
      </c>
      <c r="J23" s="15" t="s">
        <v>232</v>
      </c>
      <c r="K23" s="6">
        <v>0.51180555555555551</v>
      </c>
      <c r="L23" t="s">
        <v>143</v>
      </c>
      <c r="M23">
        <v>200000</v>
      </c>
      <c r="N23" t="s">
        <v>214</v>
      </c>
      <c r="O23" t="s">
        <v>151</v>
      </c>
      <c r="P23">
        <v>27</v>
      </c>
      <c r="Q23" t="s">
        <v>154</v>
      </c>
    </row>
    <row r="24" spans="1:17" x14ac:dyDescent="0.2">
      <c r="A24">
        <v>14287</v>
      </c>
      <c r="B24">
        <v>1552</v>
      </c>
      <c r="C24" s="1" t="s">
        <v>107</v>
      </c>
      <c r="D24" s="10">
        <v>44975.023611111108</v>
      </c>
      <c r="E24" t="s">
        <v>96</v>
      </c>
      <c r="F24" t="s">
        <v>18</v>
      </c>
      <c r="G24">
        <v>1628</v>
      </c>
      <c r="H24" s="5" t="s">
        <v>107</v>
      </c>
      <c r="I24" s="15">
        <v>44975</v>
      </c>
      <c r="J24" s="15" t="s">
        <v>232</v>
      </c>
      <c r="K24" s="6">
        <v>0.52361111111111114</v>
      </c>
      <c r="L24" t="s">
        <v>145</v>
      </c>
      <c r="M24">
        <v>200000</v>
      </c>
      <c r="N24" t="s">
        <v>210</v>
      </c>
      <c r="O24" t="s">
        <v>152</v>
      </c>
      <c r="P24">
        <v>37</v>
      </c>
      <c r="Q24" t="s">
        <v>157</v>
      </c>
    </row>
    <row r="25" spans="1:17" x14ac:dyDescent="0.2">
      <c r="A25">
        <v>14971</v>
      </c>
      <c r="B25">
        <v>148</v>
      </c>
      <c r="C25" s="1" t="s">
        <v>105</v>
      </c>
      <c r="D25" s="10">
        <v>45179.004166666666</v>
      </c>
      <c r="E25" t="s">
        <v>96</v>
      </c>
      <c r="F25" t="s">
        <v>25</v>
      </c>
      <c r="G25">
        <v>7545</v>
      </c>
      <c r="H25" s="5" t="s">
        <v>105</v>
      </c>
      <c r="I25" s="15">
        <v>45179</v>
      </c>
      <c r="J25" s="15" t="s">
        <v>234</v>
      </c>
      <c r="K25" s="6">
        <v>0.50416666666666665</v>
      </c>
      <c r="L25" t="s">
        <v>142</v>
      </c>
      <c r="M25">
        <v>100000</v>
      </c>
      <c r="N25" t="s">
        <v>201</v>
      </c>
      <c r="O25" t="s">
        <v>152</v>
      </c>
      <c r="P25">
        <v>33</v>
      </c>
      <c r="Q25" t="s">
        <v>154</v>
      </c>
    </row>
    <row r="26" spans="1:17" x14ac:dyDescent="0.2">
      <c r="A26">
        <v>15113</v>
      </c>
      <c r="B26">
        <v>252</v>
      </c>
      <c r="C26" s="1" t="s">
        <v>99</v>
      </c>
      <c r="D26" s="10">
        <v>45003.083333333336</v>
      </c>
      <c r="E26" t="s">
        <v>97</v>
      </c>
      <c r="F26" t="s">
        <v>26</v>
      </c>
      <c r="G26">
        <v>2730</v>
      </c>
      <c r="H26" s="5" t="s">
        <v>99</v>
      </c>
      <c r="I26" s="15">
        <v>45003</v>
      </c>
      <c r="J26" s="15" t="s">
        <v>232</v>
      </c>
      <c r="K26" s="6">
        <v>8.3333333333333329E-2</v>
      </c>
      <c r="L26" t="s">
        <v>145</v>
      </c>
      <c r="M26">
        <v>100000</v>
      </c>
      <c r="N26" t="s">
        <v>210</v>
      </c>
      <c r="O26" t="s">
        <v>152</v>
      </c>
      <c r="P26">
        <v>89</v>
      </c>
      <c r="Q26" t="s">
        <v>154</v>
      </c>
    </row>
    <row r="27" spans="1:17" x14ac:dyDescent="0.2">
      <c r="A27">
        <v>15878</v>
      </c>
      <c r="B27">
        <v>1524</v>
      </c>
      <c r="C27" s="1" t="s">
        <v>100</v>
      </c>
      <c r="D27" s="10">
        <v>45080.042361111111</v>
      </c>
      <c r="E27" t="s">
        <v>191</v>
      </c>
      <c r="F27" t="s">
        <v>27</v>
      </c>
      <c r="G27">
        <v>2717</v>
      </c>
      <c r="H27" s="5" t="s">
        <v>100</v>
      </c>
      <c r="I27" s="15">
        <v>45080</v>
      </c>
      <c r="J27" s="15" t="s">
        <v>233</v>
      </c>
      <c r="K27" s="6">
        <v>4.2361111111111113E-2</v>
      </c>
      <c r="L27" t="s">
        <v>142</v>
      </c>
      <c r="M27">
        <v>1000000</v>
      </c>
      <c r="N27" t="s">
        <v>209</v>
      </c>
      <c r="O27" t="s">
        <v>152</v>
      </c>
      <c r="P27">
        <v>75</v>
      </c>
      <c r="Q27" t="s">
        <v>157</v>
      </c>
    </row>
    <row r="28" spans="1:17" x14ac:dyDescent="0.2">
      <c r="A28">
        <v>16243</v>
      </c>
      <c r="B28">
        <v>1812</v>
      </c>
      <c r="C28" s="1" t="s">
        <v>105</v>
      </c>
      <c r="D28" s="10">
        <v>45138.97152777778</v>
      </c>
      <c r="E28" t="s">
        <v>98</v>
      </c>
      <c r="F28" t="s">
        <v>21</v>
      </c>
      <c r="G28">
        <v>9723</v>
      </c>
      <c r="H28" s="5" t="s">
        <v>105</v>
      </c>
      <c r="I28" s="15">
        <v>45138</v>
      </c>
      <c r="J28" s="15" t="s">
        <v>234</v>
      </c>
      <c r="K28" s="6">
        <v>0.47152777777777777</v>
      </c>
      <c r="L28" t="s">
        <v>142</v>
      </c>
      <c r="M28">
        <v>150000</v>
      </c>
      <c r="N28" t="s">
        <v>211</v>
      </c>
      <c r="O28" t="s">
        <v>151</v>
      </c>
      <c r="P28">
        <v>49</v>
      </c>
      <c r="Q28" t="s">
        <v>157</v>
      </c>
    </row>
    <row r="29" spans="1:17" x14ac:dyDescent="0.2">
      <c r="A29">
        <v>16263</v>
      </c>
      <c r="B29">
        <v>311</v>
      </c>
      <c r="C29" s="1" t="s">
        <v>101</v>
      </c>
      <c r="D29" s="10">
        <v>45260.957638888889</v>
      </c>
      <c r="E29" t="s">
        <v>98</v>
      </c>
      <c r="F29" t="s">
        <v>28</v>
      </c>
      <c r="G29">
        <v>6673</v>
      </c>
      <c r="H29" s="5" t="s">
        <v>101</v>
      </c>
      <c r="I29" s="15">
        <v>45260</v>
      </c>
      <c r="J29" s="15" t="s">
        <v>295</v>
      </c>
      <c r="K29" s="6">
        <v>0.45763888888888887</v>
      </c>
      <c r="L29" t="s">
        <v>143</v>
      </c>
      <c r="M29">
        <v>100000</v>
      </c>
      <c r="N29" t="s">
        <v>215</v>
      </c>
      <c r="O29" t="s">
        <v>151</v>
      </c>
      <c r="P29">
        <v>45</v>
      </c>
      <c r="Q29" t="s">
        <v>154</v>
      </c>
    </row>
    <row r="30" spans="1:17" x14ac:dyDescent="0.2">
      <c r="A30">
        <v>16847</v>
      </c>
      <c r="B30">
        <v>406</v>
      </c>
      <c r="C30" s="1" t="s">
        <v>113</v>
      </c>
      <c r="D30" s="10">
        <v>45238.011805555558</v>
      </c>
      <c r="E30" t="s">
        <v>96</v>
      </c>
      <c r="F30" t="s">
        <v>29</v>
      </c>
      <c r="G30">
        <v>1802</v>
      </c>
      <c r="H30" s="5" t="s">
        <v>113</v>
      </c>
      <c r="I30" s="15">
        <v>45238</v>
      </c>
      <c r="J30" s="15" t="s">
        <v>295</v>
      </c>
      <c r="K30" s="6">
        <v>0.51180555555555551</v>
      </c>
      <c r="L30" t="s">
        <v>143</v>
      </c>
      <c r="M30">
        <v>150000</v>
      </c>
      <c r="N30" t="s">
        <v>214</v>
      </c>
      <c r="O30" t="s">
        <v>152</v>
      </c>
      <c r="P30">
        <v>34</v>
      </c>
      <c r="Q30" t="s">
        <v>154</v>
      </c>
    </row>
    <row r="31" spans="1:17" x14ac:dyDescent="0.2">
      <c r="A31">
        <v>17912</v>
      </c>
      <c r="B31">
        <v>498</v>
      </c>
      <c r="C31" s="1" t="s">
        <v>109</v>
      </c>
      <c r="D31" s="10">
        <v>45006.955555555556</v>
      </c>
      <c r="E31" t="s">
        <v>96</v>
      </c>
      <c r="F31" t="s">
        <v>9</v>
      </c>
      <c r="G31">
        <v>9179</v>
      </c>
      <c r="H31" s="5" t="s">
        <v>109</v>
      </c>
      <c r="I31" s="15">
        <v>45006</v>
      </c>
      <c r="J31" s="15" t="s">
        <v>232</v>
      </c>
      <c r="K31" s="6">
        <v>0.45555555555555555</v>
      </c>
      <c r="L31" t="s">
        <v>144</v>
      </c>
      <c r="M31">
        <v>150000</v>
      </c>
      <c r="N31" t="s">
        <v>202</v>
      </c>
      <c r="O31" t="s">
        <v>152</v>
      </c>
      <c r="P31">
        <v>32</v>
      </c>
      <c r="Q31" t="s">
        <v>154</v>
      </c>
    </row>
    <row r="32" spans="1:17" x14ac:dyDescent="0.2">
      <c r="A32">
        <v>20076</v>
      </c>
      <c r="B32">
        <v>446</v>
      </c>
      <c r="C32" s="1" t="s">
        <v>99</v>
      </c>
      <c r="D32" s="10">
        <v>45001.972222222219</v>
      </c>
      <c r="E32" t="s">
        <v>98</v>
      </c>
      <c r="F32" t="s">
        <v>30</v>
      </c>
      <c r="G32">
        <v>2311</v>
      </c>
      <c r="H32" s="5" t="s">
        <v>99</v>
      </c>
      <c r="I32" s="15">
        <v>45001</v>
      </c>
      <c r="J32" s="15" t="s">
        <v>232</v>
      </c>
      <c r="K32" s="6">
        <v>0.47222222222222221</v>
      </c>
      <c r="L32" t="s">
        <v>144</v>
      </c>
      <c r="M32">
        <v>200000</v>
      </c>
      <c r="N32" t="s">
        <v>216</v>
      </c>
      <c r="O32" t="s">
        <v>151</v>
      </c>
      <c r="P32">
        <v>67</v>
      </c>
      <c r="Q32" t="s">
        <v>154</v>
      </c>
    </row>
    <row r="33" spans="1:17" x14ac:dyDescent="0.2">
      <c r="A33">
        <v>20342</v>
      </c>
      <c r="B33">
        <v>451</v>
      </c>
      <c r="C33" s="1" t="s">
        <v>103</v>
      </c>
      <c r="D33" s="10">
        <v>44988.040277777778</v>
      </c>
      <c r="E33" t="s">
        <v>96</v>
      </c>
      <c r="F33" t="s">
        <v>31</v>
      </c>
      <c r="G33">
        <v>3940</v>
      </c>
      <c r="H33" s="5" t="s">
        <v>103</v>
      </c>
      <c r="I33" s="15">
        <v>44988</v>
      </c>
      <c r="J33" s="15" t="s">
        <v>232</v>
      </c>
      <c r="K33" s="6">
        <v>0.54027777777777775</v>
      </c>
      <c r="L33" t="s">
        <v>143</v>
      </c>
      <c r="M33">
        <v>80000</v>
      </c>
      <c r="N33" t="s">
        <v>204</v>
      </c>
      <c r="O33" t="s">
        <v>151</v>
      </c>
      <c r="P33">
        <v>74</v>
      </c>
      <c r="Q33" t="s">
        <v>154</v>
      </c>
    </row>
    <row r="34" spans="1:17" x14ac:dyDescent="0.2">
      <c r="A34">
        <v>21461</v>
      </c>
      <c r="B34">
        <v>975</v>
      </c>
      <c r="C34" s="1" t="s">
        <v>100</v>
      </c>
      <c r="D34" s="10">
        <v>44977.986111111109</v>
      </c>
      <c r="E34" t="s">
        <v>98</v>
      </c>
      <c r="F34" t="s">
        <v>32</v>
      </c>
      <c r="G34">
        <v>5888</v>
      </c>
      <c r="H34" s="5" t="s">
        <v>100</v>
      </c>
      <c r="I34" s="15">
        <v>44977</v>
      </c>
      <c r="J34" s="15" t="s">
        <v>232</v>
      </c>
      <c r="K34" s="6">
        <v>0.4861111111111111</v>
      </c>
      <c r="L34" t="s">
        <v>145</v>
      </c>
      <c r="M34">
        <v>80000</v>
      </c>
      <c r="N34" t="s">
        <v>217</v>
      </c>
      <c r="O34" t="s">
        <v>151</v>
      </c>
      <c r="P34">
        <v>45</v>
      </c>
      <c r="Q34" t="s">
        <v>155</v>
      </c>
    </row>
    <row r="35" spans="1:17" x14ac:dyDescent="0.2">
      <c r="A35">
        <v>22486</v>
      </c>
      <c r="B35">
        <v>1315</v>
      </c>
      <c r="C35" s="1" t="s">
        <v>99</v>
      </c>
      <c r="D35" s="10">
        <v>45110.03125</v>
      </c>
      <c r="E35" t="s">
        <v>97</v>
      </c>
      <c r="F35" t="s">
        <v>33</v>
      </c>
      <c r="G35">
        <v>2819</v>
      </c>
      <c r="H35" s="5" t="s">
        <v>99</v>
      </c>
      <c r="I35" s="15">
        <v>45110</v>
      </c>
      <c r="J35" s="15" t="s">
        <v>234</v>
      </c>
      <c r="K35" s="6">
        <v>0.53125</v>
      </c>
      <c r="L35" t="s">
        <v>145</v>
      </c>
      <c r="M35">
        <v>100000</v>
      </c>
      <c r="N35" t="s">
        <v>210</v>
      </c>
      <c r="O35" t="s">
        <v>152</v>
      </c>
      <c r="P35">
        <v>76</v>
      </c>
      <c r="Q35" t="s">
        <v>156</v>
      </c>
    </row>
    <row r="36" spans="1:17" x14ac:dyDescent="0.2">
      <c r="A36">
        <v>23598</v>
      </c>
      <c r="B36">
        <v>1017</v>
      </c>
      <c r="C36" s="1" t="s">
        <v>113</v>
      </c>
      <c r="D36" s="10">
        <v>45209.036111111112</v>
      </c>
      <c r="E36" t="s">
        <v>97</v>
      </c>
      <c r="F36" t="s">
        <v>34</v>
      </c>
      <c r="G36">
        <v>3015</v>
      </c>
      <c r="H36" s="5" t="s">
        <v>113</v>
      </c>
      <c r="I36" s="15">
        <v>45209</v>
      </c>
      <c r="J36" s="15" t="s">
        <v>295</v>
      </c>
      <c r="K36" s="6">
        <v>0.53611111111111109</v>
      </c>
      <c r="L36" t="s">
        <v>144</v>
      </c>
      <c r="M36">
        <v>150000</v>
      </c>
      <c r="N36" t="s">
        <v>218</v>
      </c>
      <c r="O36" t="s">
        <v>151</v>
      </c>
      <c r="P36">
        <v>38</v>
      </c>
      <c r="Q36" t="s">
        <v>156</v>
      </c>
    </row>
    <row r="37" spans="1:17" x14ac:dyDescent="0.2">
      <c r="A37">
        <v>25923</v>
      </c>
      <c r="B37">
        <v>875</v>
      </c>
      <c r="C37" s="1" t="s">
        <v>99</v>
      </c>
      <c r="D37" s="10">
        <v>45226.046527777777</v>
      </c>
      <c r="E37" t="s">
        <v>97</v>
      </c>
      <c r="F37" t="s">
        <v>35</v>
      </c>
      <c r="G37">
        <v>8826</v>
      </c>
      <c r="H37" s="5" t="s">
        <v>99</v>
      </c>
      <c r="I37" s="15">
        <v>45226</v>
      </c>
      <c r="J37" s="15" t="s">
        <v>295</v>
      </c>
      <c r="K37" s="6">
        <v>4.6527777777777779E-2</v>
      </c>
      <c r="L37" t="s">
        <v>144</v>
      </c>
      <c r="M37">
        <v>100000</v>
      </c>
      <c r="N37" t="s">
        <v>219</v>
      </c>
      <c r="O37" t="s">
        <v>151</v>
      </c>
      <c r="P37">
        <v>54</v>
      </c>
      <c r="Q37" t="s">
        <v>155</v>
      </c>
    </row>
    <row r="38" spans="1:17" x14ac:dyDescent="0.2">
      <c r="A38">
        <v>27076</v>
      </c>
      <c r="B38">
        <v>242</v>
      </c>
      <c r="C38" s="1" t="s">
        <v>99</v>
      </c>
      <c r="D38" s="10">
        <v>45107.050694444442</v>
      </c>
      <c r="E38" t="s">
        <v>96</v>
      </c>
      <c r="F38" t="s">
        <v>36</v>
      </c>
      <c r="G38">
        <v>4466</v>
      </c>
      <c r="H38" s="5" t="s">
        <v>99</v>
      </c>
      <c r="I38" s="15">
        <v>45107</v>
      </c>
      <c r="J38" s="15" t="s">
        <v>233</v>
      </c>
      <c r="K38" s="6">
        <v>5.0694444444444445E-2</v>
      </c>
      <c r="L38" t="s">
        <v>146</v>
      </c>
      <c r="M38">
        <v>100000</v>
      </c>
      <c r="N38" t="s">
        <v>220</v>
      </c>
      <c r="O38" t="s">
        <v>152</v>
      </c>
      <c r="P38">
        <v>87</v>
      </c>
      <c r="Q38" t="s">
        <v>154</v>
      </c>
    </row>
    <row r="39" spans="1:17" x14ac:dyDescent="0.2">
      <c r="A39">
        <v>27115</v>
      </c>
      <c r="B39">
        <v>276</v>
      </c>
      <c r="C39" s="1" t="s">
        <v>113</v>
      </c>
      <c r="D39" s="10">
        <v>45235.075694444444</v>
      </c>
      <c r="E39" t="s">
        <v>98</v>
      </c>
      <c r="F39" t="s">
        <v>37</v>
      </c>
      <c r="G39">
        <v>9943</v>
      </c>
      <c r="H39" s="5" t="s">
        <v>113</v>
      </c>
      <c r="I39" s="15">
        <v>45235</v>
      </c>
      <c r="J39" s="15" t="s">
        <v>295</v>
      </c>
      <c r="K39" s="6">
        <v>7.5694444444444439E-2</v>
      </c>
      <c r="L39" t="s">
        <v>144</v>
      </c>
      <c r="M39">
        <v>100000</v>
      </c>
      <c r="N39" t="s">
        <v>199</v>
      </c>
      <c r="O39" t="s">
        <v>152</v>
      </c>
      <c r="P39">
        <v>59</v>
      </c>
      <c r="Q39" t="s">
        <v>154</v>
      </c>
    </row>
    <row r="40" spans="1:17" x14ac:dyDescent="0.2">
      <c r="A40">
        <v>27493</v>
      </c>
      <c r="B40">
        <v>827</v>
      </c>
      <c r="C40" s="1" t="s">
        <v>106</v>
      </c>
      <c r="D40" s="10">
        <v>45225.008333333331</v>
      </c>
      <c r="E40" t="s">
        <v>191</v>
      </c>
      <c r="F40" t="s">
        <v>38</v>
      </c>
      <c r="G40">
        <v>2811</v>
      </c>
      <c r="H40" s="5" t="s">
        <v>106</v>
      </c>
      <c r="I40" s="15">
        <v>45225</v>
      </c>
      <c r="J40" s="15" t="s">
        <v>295</v>
      </c>
      <c r="K40" s="6">
        <v>0.5083333333333333</v>
      </c>
      <c r="L40" t="s">
        <v>143</v>
      </c>
      <c r="M40">
        <v>100000</v>
      </c>
      <c r="N40" t="s">
        <v>221</v>
      </c>
      <c r="O40" t="s">
        <v>151</v>
      </c>
      <c r="P40">
        <v>40</v>
      </c>
      <c r="Q40" t="s">
        <v>155</v>
      </c>
    </row>
    <row r="41" spans="1:17" x14ac:dyDescent="0.2">
      <c r="A41">
        <v>28066</v>
      </c>
      <c r="B41">
        <v>1986</v>
      </c>
      <c r="C41" s="1" t="s">
        <v>100</v>
      </c>
      <c r="D41" s="10">
        <v>45053.004861111112</v>
      </c>
      <c r="E41" t="s">
        <v>97</v>
      </c>
      <c r="F41" t="s">
        <v>39</v>
      </c>
      <c r="G41">
        <v>7129</v>
      </c>
      <c r="H41" s="5" t="s">
        <v>100</v>
      </c>
      <c r="I41" s="15">
        <v>45053</v>
      </c>
      <c r="J41" s="15" t="s">
        <v>233</v>
      </c>
      <c r="K41" s="6">
        <v>0.50486111111111109</v>
      </c>
      <c r="L41" t="s">
        <v>146</v>
      </c>
      <c r="M41">
        <v>100000</v>
      </c>
      <c r="N41" t="s">
        <v>212</v>
      </c>
      <c r="O41" t="s">
        <v>151</v>
      </c>
      <c r="P41">
        <v>21</v>
      </c>
      <c r="Q41" t="s">
        <v>157</v>
      </c>
    </row>
    <row r="42" spans="1:17" x14ac:dyDescent="0.2">
      <c r="A42">
        <v>28318</v>
      </c>
      <c r="B42">
        <v>983</v>
      </c>
      <c r="C42" s="1" t="s">
        <v>99</v>
      </c>
      <c r="D42" s="10">
        <v>44974.03402777778</v>
      </c>
      <c r="E42" t="s">
        <v>98</v>
      </c>
      <c r="F42" t="s">
        <v>24</v>
      </c>
      <c r="G42">
        <v>5284</v>
      </c>
      <c r="H42" s="5" t="s">
        <v>99</v>
      </c>
      <c r="I42" s="15">
        <v>44974</v>
      </c>
      <c r="J42" s="15" t="s">
        <v>232</v>
      </c>
      <c r="K42" s="6">
        <v>0.53402777777777777</v>
      </c>
      <c r="L42" t="s">
        <v>143</v>
      </c>
      <c r="M42">
        <v>200000</v>
      </c>
      <c r="N42" t="s">
        <v>214</v>
      </c>
      <c r="O42" t="s">
        <v>151</v>
      </c>
      <c r="P42">
        <v>58</v>
      </c>
      <c r="Q42" t="s">
        <v>155</v>
      </c>
    </row>
    <row r="43" spans="1:17" x14ac:dyDescent="0.2">
      <c r="A43">
        <v>28720</v>
      </c>
      <c r="B43">
        <v>725</v>
      </c>
      <c r="C43" s="1" t="s">
        <v>99</v>
      </c>
      <c r="D43" s="10">
        <v>44980.036805555559</v>
      </c>
      <c r="E43" t="s">
        <v>191</v>
      </c>
      <c r="F43" t="s">
        <v>40</v>
      </c>
      <c r="G43">
        <v>405</v>
      </c>
      <c r="H43" s="5" t="s">
        <v>99</v>
      </c>
      <c r="I43" s="15">
        <v>44980</v>
      </c>
      <c r="J43" s="15" t="s">
        <v>232</v>
      </c>
      <c r="K43" s="6">
        <v>0.53680555555555554</v>
      </c>
      <c r="L43" t="s">
        <v>142</v>
      </c>
      <c r="M43">
        <v>150000</v>
      </c>
      <c r="N43" t="s">
        <v>207</v>
      </c>
      <c r="O43" t="s">
        <v>151</v>
      </c>
      <c r="P43">
        <v>22</v>
      </c>
      <c r="Q43" t="s">
        <v>155</v>
      </c>
    </row>
    <row r="44" spans="1:17" x14ac:dyDescent="0.2">
      <c r="A44">
        <v>28841</v>
      </c>
      <c r="B44">
        <v>954</v>
      </c>
      <c r="C44" s="1" t="s">
        <v>113</v>
      </c>
      <c r="D44" s="10">
        <v>44945.047222222223</v>
      </c>
      <c r="E44" t="s">
        <v>97</v>
      </c>
      <c r="F44" t="s">
        <v>41</v>
      </c>
      <c r="G44">
        <v>8558</v>
      </c>
      <c r="H44" s="5" t="s">
        <v>113</v>
      </c>
      <c r="I44" s="15">
        <v>44945</v>
      </c>
      <c r="J44" s="15" t="s">
        <v>232</v>
      </c>
      <c r="K44" s="6">
        <v>4.7222222222222221E-2</v>
      </c>
      <c r="L44" t="s">
        <v>145</v>
      </c>
      <c r="M44">
        <v>150000</v>
      </c>
      <c r="N44" t="s">
        <v>203</v>
      </c>
      <c r="O44" t="s">
        <v>151</v>
      </c>
      <c r="P44">
        <v>35</v>
      </c>
      <c r="Q44" t="s">
        <v>155</v>
      </c>
    </row>
    <row r="45" spans="1:17" x14ac:dyDescent="0.2">
      <c r="A45">
        <v>28901</v>
      </c>
      <c r="B45">
        <v>1093</v>
      </c>
      <c r="C45" s="1" t="s">
        <v>113</v>
      </c>
      <c r="D45" s="10">
        <v>45246.990277777775</v>
      </c>
      <c r="E45" t="s">
        <v>97</v>
      </c>
      <c r="F45" t="s">
        <v>42</v>
      </c>
      <c r="G45">
        <v>5536</v>
      </c>
      <c r="H45" s="5" t="s">
        <v>113</v>
      </c>
      <c r="I45" s="15">
        <v>45246</v>
      </c>
      <c r="J45" s="15" t="s">
        <v>295</v>
      </c>
      <c r="K45" s="6">
        <v>0.49027777777777776</v>
      </c>
      <c r="L45" t="s">
        <v>144</v>
      </c>
      <c r="M45">
        <v>100000</v>
      </c>
      <c r="N45" t="s">
        <v>219</v>
      </c>
      <c r="O45" t="s">
        <v>152</v>
      </c>
      <c r="P45">
        <v>34</v>
      </c>
      <c r="Q45" t="s">
        <v>156</v>
      </c>
    </row>
    <row r="46" spans="1:17" x14ac:dyDescent="0.2">
      <c r="A46">
        <v>30449</v>
      </c>
      <c r="B46">
        <v>962</v>
      </c>
      <c r="C46" s="1" t="s">
        <v>99</v>
      </c>
      <c r="D46" s="10">
        <v>45108.987500000003</v>
      </c>
      <c r="E46" t="s">
        <v>97</v>
      </c>
      <c r="F46" t="s">
        <v>43</v>
      </c>
      <c r="G46">
        <v>660</v>
      </c>
      <c r="H46" s="5" t="s">
        <v>99</v>
      </c>
      <c r="I46" s="15">
        <v>45108</v>
      </c>
      <c r="J46" s="15" t="s">
        <v>234</v>
      </c>
      <c r="K46" s="6">
        <v>0.48749999999999999</v>
      </c>
      <c r="L46" t="s">
        <v>145</v>
      </c>
      <c r="M46">
        <v>1000000</v>
      </c>
      <c r="N46" t="s">
        <v>203</v>
      </c>
      <c r="O46" t="s">
        <v>152</v>
      </c>
      <c r="P46">
        <v>75</v>
      </c>
      <c r="Q46" t="s">
        <v>155</v>
      </c>
    </row>
    <row r="47" spans="1:17" x14ac:dyDescent="0.2">
      <c r="A47">
        <v>30739</v>
      </c>
      <c r="B47">
        <v>1771</v>
      </c>
      <c r="C47" s="1" t="s">
        <v>107</v>
      </c>
      <c r="D47" s="10">
        <v>45075.019444444442</v>
      </c>
      <c r="E47" t="s">
        <v>96</v>
      </c>
      <c r="F47" t="s">
        <v>44</v>
      </c>
      <c r="G47">
        <v>5684</v>
      </c>
      <c r="H47" s="5" t="s">
        <v>107</v>
      </c>
      <c r="I47" s="15">
        <v>45075</v>
      </c>
      <c r="J47" s="15" t="s">
        <v>233</v>
      </c>
      <c r="K47" s="6">
        <v>0.51944444444444449</v>
      </c>
      <c r="L47" t="s">
        <v>144</v>
      </c>
      <c r="M47">
        <v>150000</v>
      </c>
      <c r="N47" t="s">
        <v>199</v>
      </c>
      <c r="O47" t="s">
        <v>151</v>
      </c>
      <c r="P47">
        <v>80</v>
      </c>
      <c r="Q47" t="s">
        <v>157</v>
      </c>
    </row>
    <row r="48" spans="1:17" x14ac:dyDescent="0.2">
      <c r="A48">
        <v>31216</v>
      </c>
      <c r="B48">
        <v>1240</v>
      </c>
      <c r="C48" s="1" t="s">
        <v>109</v>
      </c>
      <c r="D48" s="10">
        <v>45194.990277777775</v>
      </c>
      <c r="E48" t="s">
        <v>98</v>
      </c>
      <c r="F48" t="s">
        <v>12</v>
      </c>
      <c r="G48">
        <v>8294</v>
      </c>
      <c r="H48" s="5" t="s">
        <v>109</v>
      </c>
      <c r="I48" s="15">
        <v>45194</v>
      </c>
      <c r="J48" s="15" t="s">
        <v>234</v>
      </c>
      <c r="K48" s="6">
        <v>0.49027777777777776</v>
      </c>
      <c r="L48" t="s">
        <v>143</v>
      </c>
      <c r="M48">
        <v>150000</v>
      </c>
      <c r="N48" t="s">
        <v>205</v>
      </c>
      <c r="O48" t="s">
        <v>151</v>
      </c>
      <c r="P48">
        <v>24</v>
      </c>
      <c r="Q48" t="s">
        <v>156</v>
      </c>
    </row>
    <row r="49" spans="1:17" x14ac:dyDescent="0.2">
      <c r="A49">
        <v>31707</v>
      </c>
      <c r="B49">
        <v>652</v>
      </c>
      <c r="C49" s="1" t="s">
        <v>99</v>
      </c>
      <c r="D49" s="10">
        <v>45057.021527777775</v>
      </c>
      <c r="E49" t="s">
        <v>96</v>
      </c>
      <c r="F49" t="s">
        <v>14</v>
      </c>
      <c r="G49">
        <v>8379</v>
      </c>
      <c r="H49" s="5" t="s">
        <v>99</v>
      </c>
      <c r="I49" s="15">
        <v>45057</v>
      </c>
      <c r="J49" s="15" t="s">
        <v>233</v>
      </c>
      <c r="K49" s="6">
        <v>0.52152777777777781</v>
      </c>
      <c r="L49" t="s">
        <v>142</v>
      </c>
      <c r="M49">
        <v>250000</v>
      </c>
      <c r="N49" t="s">
        <v>207</v>
      </c>
      <c r="O49" t="s">
        <v>152</v>
      </c>
      <c r="P49">
        <v>79</v>
      </c>
      <c r="Q49" t="s">
        <v>155</v>
      </c>
    </row>
    <row r="50" spans="1:17" x14ac:dyDescent="0.2">
      <c r="A50">
        <v>33662</v>
      </c>
      <c r="B50">
        <v>1381</v>
      </c>
      <c r="C50" s="1" t="s">
        <v>99</v>
      </c>
      <c r="D50" s="10">
        <v>44945.963194444441</v>
      </c>
      <c r="E50" t="s">
        <v>98</v>
      </c>
      <c r="F50" t="s">
        <v>43</v>
      </c>
      <c r="G50">
        <v>8214</v>
      </c>
      <c r="H50" s="5" t="s">
        <v>99</v>
      </c>
      <c r="I50" s="15">
        <v>44945</v>
      </c>
      <c r="J50" s="15" t="s">
        <v>232</v>
      </c>
      <c r="K50" s="6">
        <v>0.46319444444444446</v>
      </c>
      <c r="L50" t="s">
        <v>145</v>
      </c>
      <c r="M50">
        <v>1000000</v>
      </c>
      <c r="N50" t="s">
        <v>203</v>
      </c>
      <c r="O50" t="s">
        <v>151</v>
      </c>
      <c r="P50">
        <v>28</v>
      </c>
      <c r="Q50" t="s">
        <v>156</v>
      </c>
    </row>
    <row r="51" spans="1:17" x14ac:dyDescent="0.2">
      <c r="A51">
        <v>33963</v>
      </c>
      <c r="B51">
        <v>1251</v>
      </c>
      <c r="C51" s="1" t="s">
        <v>99</v>
      </c>
      <c r="D51" s="10">
        <v>45205.986111111109</v>
      </c>
      <c r="E51" t="s">
        <v>96</v>
      </c>
      <c r="F51" t="s">
        <v>45</v>
      </c>
      <c r="G51">
        <v>6147</v>
      </c>
      <c r="H51" s="5" t="s">
        <v>99</v>
      </c>
      <c r="I51" s="15">
        <v>45205</v>
      </c>
      <c r="J51" s="15" t="s">
        <v>295</v>
      </c>
      <c r="K51" s="6">
        <v>0.4861111111111111</v>
      </c>
      <c r="L51" t="s">
        <v>142</v>
      </c>
      <c r="M51">
        <v>100000</v>
      </c>
      <c r="N51" t="s">
        <v>197</v>
      </c>
      <c r="O51" t="s">
        <v>151</v>
      </c>
      <c r="P51">
        <v>31</v>
      </c>
      <c r="Q51" t="s">
        <v>156</v>
      </c>
    </row>
    <row r="52" spans="1:17" x14ac:dyDescent="0.2">
      <c r="A52">
        <v>33983</v>
      </c>
      <c r="B52">
        <v>305</v>
      </c>
      <c r="C52" s="1" t="s">
        <v>101</v>
      </c>
      <c r="D52" s="10">
        <v>45063.098611111112</v>
      </c>
      <c r="E52" t="s">
        <v>97</v>
      </c>
      <c r="F52" t="s">
        <v>8</v>
      </c>
      <c r="G52">
        <v>3894</v>
      </c>
      <c r="H52" s="5" t="s">
        <v>101</v>
      </c>
      <c r="I52" s="15">
        <v>45063</v>
      </c>
      <c r="J52" s="15" t="s">
        <v>233</v>
      </c>
      <c r="K52" s="6">
        <v>9.8611111111111108E-2</v>
      </c>
      <c r="L52" t="s">
        <v>142</v>
      </c>
      <c r="M52">
        <v>200000</v>
      </c>
      <c r="N52" t="s">
        <v>201</v>
      </c>
      <c r="O52" t="s">
        <v>152</v>
      </c>
      <c r="P52">
        <v>58</v>
      </c>
      <c r="Q52" t="s">
        <v>154</v>
      </c>
    </row>
    <row r="53" spans="1:17" x14ac:dyDescent="0.2">
      <c r="A53">
        <v>34125</v>
      </c>
      <c r="B53">
        <v>530</v>
      </c>
      <c r="C53" s="1" t="s">
        <v>101</v>
      </c>
      <c r="D53" s="10">
        <v>45217.039583333331</v>
      </c>
      <c r="E53" t="s">
        <v>191</v>
      </c>
      <c r="F53" t="s">
        <v>46</v>
      </c>
      <c r="G53">
        <v>4341</v>
      </c>
      <c r="H53" s="5" t="s">
        <v>101</v>
      </c>
      <c r="I53" s="15">
        <v>45217</v>
      </c>
      <c r="J53" s="15" t="s">
        <v>295</v>
      </c>
      <c r="K53" s="6">
        <v>0.5395833333333333</v>
      </c>
      <c r="L53" t="s">
        <v>142</v>
      </c>
      <c r="M53">
        <v>200000</v>
      </c>
      <c r="N53" t="s">
        <v>211</v>
      </c>
      <c r="O53" t="s">
        <v>152</v>
      </c>
      <c r="P53">
        <v>23</v>
      </c>
      <c r="Q53" t="s">
        <v>155</v>
      </c>
    </row>
    <row r="54" spans="1:17" x14ac:dyDescent="0.2">
      <c r="A54">
        <v>34477</v>
      </c>
      <c r="B54">
        <v>1749</v>
      </c>
      <c r="C54" s="1" t="s">
        <v>104</v>
      </c>
      <c r="D54" s="10">
        <v>45042.992361111108</v>
      </c>
      <c r="E54" t="s">
        <v>97</v>
      </c>
      <c r="F54" t="s">
        <v>47</v>
      </c>
      <c r="G54">
        <v>9140</v>
      </c>
      <c r="H54" s="5" t="s">
        <v>104</v>
      </c>
      <c r="I54" s="15">
        <v>45042</v>
      </c>
      <c r="J54" s="15" t="s">
        <v>233</v>
      </c>
      <c r="K54" s="6">
        <v>0.49236111111111114</v>
      </c>
      <c r="L54" t="s">
        <v>144</v>
      </c>
      <c r="M54">
        <v>100000</v>
      </c>
      <c r="N54" t="s">
        <v>218</v>
      </c>
      <c r="O54" t="s">
        <v>151</v>
      </c>
      <c r="P54">
        <v>30</v>
      </c>
      <c r="Q54" t="s">
        <v>157</v>
      </c>
    </row>
    <row r="55" spans="1:17" x14ac:dyDescent="0.2">
      <c r="A55">
        <v>34504</v>
      </c>
      <c r="B55">
        <v>915</v>
      </c>
      <c r="C55" s="1" t="s">
        <v>100</v>
      </c>
      <c r="D55" s="10">
        <v>44963.038194444445</v>
      </c>
      <c r="E55" t="s">
        <v>96</v>
      </c>
      <c r="F55" t="s">
        <v>27</v>
      </c>
      <c r="G55">
        <v>9163</v>
      </c>
      <c r="H55" s="5" t="s">
        <v>100</v>
      </c>
      <c r="I55" s="15">
        <v>44963</v>
      </c>
      <c r="J55" s="15" t="s">
        <v>232</v>
      </c>
      <c r="K55" s="6">
        <v>0.53819444444444442</v>
      </c>
      <c r="L55" t="s">
        <v>142</v>
      </c>
      <c r="M55">
        <v>1000000</v>
      </c>
      <c r="N55" t="s">
        <v>209</v>
      </c>
      <c r="O55" t="s">
        <v>151</v>
      </c>
      <c r="P55">
        <v>39</v>
      </c>
      <c r="Q55" t="s">
        <v>155</v>
      </c>
    </row>
    <row r="56" spans="1:17" x14ac:dyDescent="0.2">
      <c r="A56">
        <v>34978</v>
      </c>
      <c r="B56">
        <v>492</v>
      </c>
      <c r="C56" s="1" t="s">
        <v>105</v>
      </c>
      <c r="D56" s="10">
        <v>45120.076388888891</v>
      </c>
      <c r="E56" t="s">
        <v>97</v>
      </c>
      <c r="F56" t="s">
        <v>4</v>
      </c>
      <c r="G56">
        <v>1494</v>
      </c>
      <c r="H56" s="5" t="s">
        <v>105</v>
      </c>
      <c r="I56" s="15">
        <v>45120</v>
      </c>
      <c r="J56" s="15" t="s">
        <v>234</v>
      </c>
      <c r="K56" s="6">
        <v>7.6388888888888895E-2</v>
      </c>
      <c r="L56" t="s">
        <v>142</v>
      </c>
      <c r="M56">
        <v>200000</v>
      </c>
      <c r="N56" t="s">
        <v>197</v>
      </c>
      <c r="O56" t="s">
        <v>152</v>
      </c>
      <c r="P56">
        <v>32</v>
      </c>
      <c r="Q56" t="s">
        <v>154</v>
      </c>
    </row>
    <row r="57" spans="1:17" x14ac:dyDescent="0.2">
      <c r="A57">
        <v>35391</v>
      </c>
      <c r="B57">
        <v>1057</v>
      </c>
      <c r="C57" s="1" t="s">
        <v>105</v>
      </c>
      <c r="D57" s="10">
        <v>45056.074999999997</v>
      </c>
      <c r="E57" t="s">
        <v>98</v>
      </c>
      <c r="F57" t="s">
        <v>14</v>
      </c>
      <c r="G57">
        <v>6287</v>
      </c>
      <c r="H57" s="5" t="s">
        <v>105</v>
      </c>
      <c r="I57" s="15">
        <v>45056</v>
      </c>
      <c r="J57" s="15" t="s">
        <v>233</v>
      </c>
      <c r="K57" s="6">
        <v>7.4999999999999997E-2</v>
      </c>
      <c r="L57" t="s">
        <v>142</v>
      </c>
      <c r="M57">
        <v>250000</v>
      </c>
      <c r="N57" t="s">
        <v>207</v>
      </c>
      <c r="O57" t="s">
        <v>151</v>
      </c>
      <c r="P57">
        <v>71</v>
      </c>
      <c r="Q57" t="s">
        <v>156</v>
      </c>
    </row>
    <row r="58" spans="1:17" x14ac:dyDescent="0.2">
      <c r="A58">
        <v>36759</v>
      </c>
      <c r="B58">
        <v>1667</v>
      </c>
      <c r="C58" s="1" t="s">
        <v>100</v>
      </c>
      <c r="D58" s="10">
        <v>44949.064583333333</v>
      </c>
      <c r="E58" t="s">
        <v>191</v>
      </c>
      <c r="F58" t="s">
        <v>6</v>
      </c>
      <c r="G58">
        <v>6587</v>
      </c>
      <c r="H58" s="5" t="s">
        <v>100</v>
      </c>
      <c r="I58" s="15">
        <v>44949</v>
      </c>
      <c r="J58" s="15" t="s">
        <v>232</v>
      </c>
      <c r="K58" s="6">
        <v>6.458333333333334E-2</v>
      </c>
      <c r="L58" t="s">
        <v>144</v>
      </c>
      <c r="M58">
        <v>100000</v>
      </c>
      <c r="N58" t="s">
        <v>199</v>
      </c>
      <c r="O58" t="s">
        <v>152</v>
      </c>
      <c r="P58">
        <v>73</v>
      </c>
      <c r="Q58" t="s">
        <v>157</v>
      </c>
    </row>
    <row r="59" spans="1:17" x14ac:dyDescent="0.2">
      <c r="A59">
        <v>37737</v>
      </c>
      <c r="B59">
        <v>744</v>
      </c>
      <c r="C59" s="1" t="s">
        <v>102</v>
      </c>
      <c r="D59" s="10">
        <v>45223.003472222219</v>
      </c>
      <c r="E59" t="s">
        <v>98</v>
      </c>
      <c r="F59" t="s">
        <v>7</v>
      </c>
      <c r="G59">
        <v>9738</v>
      </c>
      <c r="H59" s="5" t="s">
        <v>102</v>
      </c>
      <c r="I59" s="15">
        <v>45223</v>
      </c>
      <c r="J59" s="15" t="s">
        <v>295</v>
      </c>
      <c r="K59" s="6">
        <v>0.50347222222222221</v>
      </c>
      <c r="L59" t="s">
        <v>144</v>
      </c>
      <c r="M59">
        <v>150000</v>
      </c>
      <c r="N59" t="s">
        <v>200</v>
      </c>
      <c r="O59" t="s">
        <v>151</v>
      </c>
      <c r="P59">
        <v>33</v>
      </c>
      <c r="Q59" t="s">
        <v>155</v>
      </c>
    </row>
    <row r="60" spans="1:17" x14ac:dyDescent="0.2">
      <c r="A60">
        <v>37971</v>
      </c>
      <c r="B60">
        <v>433</v>
      </c>
      <c r="C60" s="1" t="s">
        <v>113</v>
      </c>
      <c r="D60" s="10">
        <v>45101.061111111114</v>
      </c>
      <c r="E60" t="s">
        <v>191</v>
      </c>
      <c r="F60" t="s">
        <v>8</v>
      </c>
      <c r="G60">
        <v>7884</v>
      </c>
      <c r="H60" s="5" t="s">
        <v>113</v>
      </c>
      <c r="I60" s="15">
        <v>45101</v>
      </c>
      <c r="J60" s="15" t="s">
        <v>233</v>
      </c>
      <c r="K60" s="6">
        <v>6.1111111111111109E-2</v>
      </c>
      <c r="L60" t="s">
        <v>142</v>
      </c>
      <c r="M60">
        <v>200000</v>
      </c>
      <c r="N60" t="s">
        <v>201</v>
      </c>
      <c r="O60" t="s">
        <v>151</v>
      </c>
      <c r="P60">
        <v>55</v>
      </c>
      <c r="Q60" t="s">
        <v>154</v>
      </c>
    </row>
    <row r="61" spans="1:17" x14ac:dyDescent="0.2">
      <c r="A61">
        <v>38242</v>
      </c>
      <c r="B61">
        <v>1131</v>
      </c>
      <c r="C61" s="1" t="s">
        <v>101</v>
      </c>
      <c r="D61" s="10">
        <v>44929.020138888889</v>
      </c>
      <c r="E61" t="s">
        <v>191</v>
      </c>
      <c r="F61" t="s">
        <v>9</v>
      </c>
      <c r="G61">
        <v>9299</v>
      </c>
      <c r="H61" s="5" t="s">
        <v>101</v>
      </c>
      <c r="I61" s="15">
        <v>44929</v>
      </c>
      <c r="J61" s="15" t="s">
        <v>232</v>
      </c>
      <c r="K61" s="6">
        <v>0.52013888888888893</v>
      </c>
      <c r="L61" t="s">
        <v>144</v>
      </c>
      <c r="M61">
        <v>150000</v>
      </c>
      <c r="N61" t="s">
        <v>202</v>
      </c>
      <c r="O61" t="s">
        <v>152</v>
      </c>
      <c r="P61">
        <v>38</v>
      </c>
      <c r="Q61" t="s">
        <v>156</v>
      </c>
    </row>
    <row r="62" spans="1:17" x14ac:dyDescent="0.2">
      <c r="A62">
        <v>38528</v>
      </c>
      <c r="B62">
        <v>551</v>
      </c>
      <c r="C62" s="1" t="s">
        <v>110</v>
      </c>
      <c r="D62" s="10">
        <v>45219.027777777781</v>
      </c>
      <c r="E62" t="s">
        <v>96</v>
      </c>
      <c r="F62" t="s">
        <v>10</v>
      </c>
      <c r="G62">
        <v>7036</v>
      </c>
      <c r="H62" s="5" t="s">
        <v>110</v>
      </c>
      <c r="I62" s="15">
        <v>45219</v>
      </c>
      <c r="J62" s="15" t="s">
        <v>295</v>
      </c>
      <c r="K62" s="6">
        <v>0.52777777777777779</v>
      </c>
      <c r="L62" t="s">
        <v>145</v>
      </c>
      <c r="M62">
        <v>150000</v>
      </c>
      <c r="N62" t="s">
        <v>203</v>
      </c>
      <c r="O62" t="s">
        <v>151</v>
      </c>
      <c r="P62">
        <v>20</v>
      </c>
      <c r="Q62" t="s">
        <v>155</v>
      </c>
    </row>
    <row r="63" spans="1:17" x14ac:dyDescent="0.2">
      <c r="A63">
        <v>40114</v>
      </c>
      <c r="B63">
        <v>172</v>
      </c>
      <c r="C63" s="1" t="s">
        <v>99</v>
      </c>
      <c r="D63" s="10">
        <v>45193.05</v>
      </c>
      <c r="E63" t="s">
        <v>97</v>
      </c>
      <c r="F63" t="s">
        <v>11</v>
      </c>
      <c r="G63">
        <v>1841</v>
      </c>
      <c r="H63" s="5" t="s">
        <v>99</v>
      </c>
      <c r="I63" s="15">
        <v>45193</v>
      </c>
      <c r="J63" s="15" t="s">
        <v>234</v>
      </c>
      <c r="K63" s="6">
        <v>0.05</v>
      </c>
      <c r="L63" t="s">
        <v>143</v>
      </c>
      <c r="M63">
        <v>150000</v>
      </c>
      <c r="N63" t="s">
        <v>204</v>
      </c>
      <c r="O63" t="s">
        <v>151</v>
      </c>
      <c r="P63">
        <v>36</v>
      </c>
      <c r="Q63" t="s">
        <v>154</v>
      </c>
    </row>
    <row r="64" spans="1:17" x14ac:dyDescent="0.2">
      <c r="A64">
        <v>41110</v>
      </c>
      <c r="B64">
        <v>1858</v>
      </c>
      <c r="C64" s="1" t="s">
        <v>99</v>
      </c>
      <c r="D64" s="10">
        <v>45080.022916666669</v>
      </c>
      <c r="E64" t="s">
        <v>98</v>
      </c>
      <c r="F64" t="s">
        <v>12</v>
      </c>
      <c r="G64">
        <v>9844</v>
      </c>
      <c r="H64" s="5" t="s">
        <v>99</v>
      </c>
      <c r="I64" s="15">
        <v>45080</v>
      </c>
      <c r="J64" s="15" t="s">
        <v>233</v>
      </c>
      <c r="K64" s="6">
        <v>0.5229166666666667</v>
      </c>
      <c r="L64" t="s">
        <v>143</v>
      </c>
      <c r="M64">
        <v>150000</v>
      </c>
      <c r="N64" t="s">
        <v>205</v>
      </c>
      <c r="O64" t="s">
        <v>152</v>
      </c>
      <c r="P64">
        <v>59</v>
      </c>
      <c r="Q64" t="s">
        <v>157</v>
      </c>
    </row>
    <row r="65" spans="1:17" x14ac:dyDescent="0.2">
      <c r="A65">
        <v>41478</v>
      </c>
      <c r="B65">
        <v>871</v>
      </c>
      <c r="C65" s="1" t="s">
        <v>107</v>
      </c>
      <c r="D65" s="10">
        <v>45058.015277777777</v>
      </c>
      <c r="E65" t="s">
        <v>98</v>
      </c>
      <c r="F65" t="s">
        <v>48</v>
      </c>
      <c r="G65">
        <v>2454</v>
      </c>
      <c r="H65" s="5" t="s">
        <v>107</v>
      </c>
      <c r="I65" s="15">
        <v>45058</v>
      </c>
      <c r="J65" s="15" t="s">
        <v>233</v>
      </c>
      <c r="K65" s="6">
        <v>0.51527777777777772</v>
      </c>
      <c r="L65" t="s">
        <v>142</v>
      </c>
      <c r="M65">
        <v>100000</v>
      </c>
      <c r="N65" t="s">
        <v>209</v>
      </c>
      <c r="O65" t="s">
        <v>152</v>
      </c>
      <c r="P65">
        <v>76</v>
      </c>
      <c r="Q65" t="s">
        <v>155</v>
      </c>
    </row>
    <row r="66" spans="1:17" x14ac:dyDescent="0.2">
      <c r="A66">
        <v>42094</v>
      </c>
      <c r="B66">
        <v>987</v>
      </c>
      <c r="C66" s="1" t="s">
        <v>99</v>
      </c>
      <c r="D66" s="10">
        <v>45093.940972222219</v>
      </c>
      <c r="E66" t="s">
        <v>98</v>
      </c>
      <c r="F66" t="s">
        <v>14</v>
      </c>
      <c r="G66">
        <v>4039</v>
      </c>
      <c r="H66" s="5" t="s">
        <v>99</v>
      </c>
      <c r="I66" s="15">
        <v>45093</v>
      </c>
      <c r="J66" s="15" t="s">
        <v>233</v>
      </c>
      <c r="K66" s="6">
        <v>0.44097222222222221</v>
      </c>
      <c r="L66" t="s">
        <v>142</v>
      </c>
      <c r="M66">
        <v>250000</v>
      </c>
      <c r="N66" t="s">
        <v>207</v>
      </c>
      <c r="O66" t="s">
        <v>152</v>
      </c>
      <c r="P66">
        <v>23</v>
      </c>
      <c r="Q66" t="s">
        <v>155</v>
      </c>
    </row>
    <row r="67" spans="1:17" x14ac:dyDescent="0.2">
      <c r="A67">
        <v>43427</v>
      </c>
      <c r="B67">
        <v>1066</v>
      </c>
      <c r="C67" s="1" t="s">
        <v>113</v>
      </c>
      <c r="D67" s="10">
        <v>45003.974999999999</v>
      </c>
      <c r="E67" t="s">
        <v>191</v>
      </c>
      <c r="F67" t="s">
        <v>49</v>
      </c>
      <c r="G67">
        <v>959</v>
      </c>
      <c r="H67" s="5" t="s">
        <v>113</v>
      </c>
      <c r="I67" s="15">
        <v>45003</v>
      </c>
      <c r="J67" s="15" t="s">
        <v>232</v>
      </c>
      <c r="K67" s="6">
        <v>0.47499999999999998</v>
      </c>
      <c r="L67" t="s">
        <v>146</v>
      </c>
      <c r="M67">
        <v>100000</v>
      </c>
      <c r="N67" t="s">
        <v>222</v>
      </c>
      <c r="O67" t="s">
        <v>151</v>
      </c>
      <c r="P67">
        <v>70</v>
      </c>
      <c r="Q67" t="s">
        <v>156</v>
      </c>
    </row>
    <row r="68" spans="1:17" x14ac:dyDescent="0.2">
      <c r="A68">
        <v>43722</v>
      </c>
      <c r="B68">
        <v>1223</v>
      </c>
      <c r="C68" s="1" t="s">
        <v>99</v>
      </c>
      <c r="D68" s="10">
        <v>45233.979861111111</v>
      </c>
      <c r="E68" t="s">
        <v>96</v>
      </c>
      <c r="F68" t="s">
        <v>16</v>
      </c>
      <c r="G68">
        <v>6074</v>
      </c>
      <c r="H68" s="5" t="s">
        <v>99</v>
      </c>
      <c r="I68" s="15">
        <v>45233</v>
      </c>
      <c r="J68" s="15" t="s">
        <v>295</v>
      </c>
      <c r="K68" s="6">
        <v>0.47986111111111113</v>
      </c>
      <c r="L68" t="s">
        <v>142</v>
      </c>
      <c r="M68">
        <v>80000</v>
      </c>
      <c r="N68" t="s">
        <v>208</v>
      </c>
      <c r="O68" t="s">
        <v>151</v>
      </c>
      <c r="P68">
        <v>63</v>
      </c>
      <c r="Q68" t="s">
        <v>156</v>
      </c>
    </row>
    <row r="69" spans="1:17" x14ac:dyDescent="0.2">
      <c r="A69">
        <v>44241</v>
      </c>
      <c r="B69">
        <v>800</v>
      </c>
      <c r="C69" s="1" t="s">
        <v>111</v>
      </c>
      <c r="D69" s="10">
        <v>45214.022222222222</v>
      </c>
      <c r="E69" t="s">
        <v>191</v>
      </c>
      <c r="F69" t="s">
        <v>17</v>
      </c>
      <c r="G69">
        <v>3306</v>
      </c>
      <c r="H69" s="5" t="s">
        <v>111</v>
      </c>
      <c r="I69" s="15">
        <v>45214</v>
      </c>
      <c r="J69" s="15" t="s">
        <v>295</v>
      </c>
      <c r="K69" s="6">
        <v>0.52222222222222225</v>
      </c>
      <c r="L69" t="s">
        <v>142</v>
      </c>
      <c r="M69">
        <v>100000</v>
      </c>
      <c r="N69" t="s">
        <v>209</v>
      </c>
      <c r="O69" t="s">
        <v>151</v>
      </c>
      <c r="P69">
        <v>87</v>
      </c>
      <c r="Q69" t="s">
        <v>155</v>
      </c>
    </row>
    <row r="70" spans="1:17" x14ac:dyDescent="0.2">
      <c r="A70">
        <v>44275</v>
      </c>
      <c r="B70">
        <v>423</v>
      </c>
      <c r="C70" s="1" t="s">
        <v>106</v>
      </c>
      <c r="D70" s="10">
        <v>45016.072916666664</v>
      </c>
      <c r="E70" t="s">
        <v>97</v>
      </c>
      <c r="F70" t="s">
        <v>18</v>
      </c>
      <c r="G70">
        <v>7290</v>
      </c>
      <c r="H70" s="5" t="s">
        <v>106</v>
      </c>
      <c r="I70" s="15">
        <v>45016</v>
      </c>
      <c r="J70" s="15" t="s">
        <v>232</v>
      </c>
      <c r="K70" s="6">
        <v>7.2916666666666671E-2</v>
      </c>
      <c r="L70" t="s">
        <v>145</v>
      </c>
      <c r="M70">
        <v>200000</v>
      </c>
      <c r="N70" t="s">
        <v>210</v>
      </c>
      <c r="O70" t="s">
        <v>152</v>
      </c>
      <c r="P70">
        <v>27</v>
      </c>
      <c r="Q70" t="s">
        <v>154</v>
      </c>
    </row>
    <row r="71" spans="1:17" x14ac:dyDescent="0.2">
      <c r="A71">
        <v>44486</v>
      </c>
      <c r="B71">
        <v>905</v>
      </c>
      <c r="C71" s="1" t="s">
        <v>99</v>
      </c>
      <c r="D71" s="10">
        <v>45086.02847222222</v>
      </c>
      <c r="E71" t="s">
        <v>98</v>
      </c>
      <c r="F71" t="s">
        <v>19</v>
      </c>
      <c r="G71">
        <v>8730</v>
      </c>
      <c r="H71" s="5" t="s">
        <v>99</v>
      </c>
      <c r="I71" s="15">
        <v>45086</v>
      </c>
      <c r="J71" s="15" t="s">
        <v>233</v>
      </c>
      <c r="K71" s="6">
        <v>0.52847222222222223</v>
      </c>
      <c r="L71" t="s">
        <v>142</v>
      </c>
      <c r="M71">
        <v>150000</v>
      </c>
      <c r="N71" t="s">
        <v>211</v>
      </c>
      <c r="O71" t="s">
        <v>152</v>
      </c>
      <c r="P71">
        <v>25</v>
      </c>
      <c r="Q71" t="s">
        <v>155</v>
      </c>
    </row>
    <row r="72" spans="1:17" x14ac:dyDescent="0.2">
      <c r="A72">
        <v>47050</v>
      </c>
      <c r="B72">
        <v>1466</v>
      </c>
      <c r="C72" s="1" t="s">
        <v>111</v>
      </c>
      <c r="D72" s="10">
        <v>45248.011111111111</v>
      </c>
      <c r="E72" t="s">
        <v>98</v>
      </c>
      <c r="F72" t="s">
        <v>50</v>
      </c>
      <c r="G72">
        <v>6692</v>
      </c>
      <c r="H72" s="5" t="s">
        <v>111</v>
      </c>
      <c r="I72" s="15">
        <v>45248</v>
      </c>
      <c r="J72" s="15" t="s">
        <v>295</v>
      </c>
      <c r="K72" s="6">
        <v>0.51111111111111107</v>
      </c>
      <c r="L72" t="s">
        <v>143</v>
      </c>
      <c r="M72">
        <v>30000</v>
      </c>
      <c r="N72" t="s">
        <v>223</v>
      </c>
      <c r="O72" t="s">
        <v>152</v>
      </c>
      <c r="P72">
        <v>39</v>
      </c>
      <c r="Q72" t="s">
        <v>156</v>
      </c>
    </row>
    <row r="73" spans="1:17" x14ac:dyDescent="0.2">
      <c r="A73">
        <v>47212</v>
      </c>
      <c r="B73">
        <v>1083</v>
      </c>
      <c r="C73" s="1" t="s">
        <v>105</v>
      </c>
      <c r="D73" s="10">
        <v>45116.981249999997</v>
      </c>
      <c r="E73" t="s">
        <v>96</v>
      </c>
      <c r="F73" t="s">
        <v>51</v>
      </c>
      <c r="G73">
        <v>1067</v>
      </c>
      <c r="H73" s="5" t="s">
        <v>105</v>
      </c>
      <c r="I73" s="15">
        <v>45116</v>
      </c>
      <c r="J73" s="15" t="s">
        <v>234</v>
      </c>
      <c r="K73" s="6">
        <v>0.48125000000000001</v>
      </c>
      <c r="L73" t="s">
        <v>145</v>
      </c>
      <c r="M73">
        <v>100000</v>
      </c>
      <c r="N73" t="s">
        <v>217</v>
      </c>
      <c r="O73" t="s">
        <v>152</v>
      </c>
      <c r="P73">
        <v>25</v>
      </c>
      <c r="Q73" t="s">
        <v>156</v>
      </c>
    </row>
    <row r="74" spans="1:17" x14ac:dyDescent="0.2">
      <c r="A74">
        <v>49060</v>
      </c>
      <c r="B74">
        <v>430</v>
      </c>
      <c r="C74" s="1" t="s">
        <v>113</v>
      </c>
      <c r="D74" s="10">
        <v>45191.022916666669</v>
      </c>
      <c r="E74" t="s">
        <v>96</v>
      </c>
      <c r="F74" t="s">
        <v>22</v>
      </c>
      <c r="G74">
        <v>5513</v>
      </c>
      <c r="H74" s="5" t="s">
        <v>113</v>
      </c>
      <c r="I74" s="15">
        <v>45191</v>
      </c>
      <c r="J74" s="15" t="s">
        <v>234</v>
      </c>
      <c r="K74" s="6">
        <v>0.5229166666666667</v>
      </c>
      <c r="L74" t="s">
        <v>144</v>
      </c>
      <c r="M74">
        <v>100000</v>
      </c>
      <c r="N74" t="s">
        <v>202</v>
      </c>
      <c r="O74" t="s">
        <v>151</v>
      </c>
      <c r="P74">
        <v>82</v>
      </c>
      <c r="Q74" t="s">
        <v>154</v>
      </c>
    </row>
    <row r="75" spans="1:17" x14ac:dyDescent="0.2">
      <c r="A75">
        <v>49520</v>
      </c>
      <c r="B75">
        <v>1670</v>
      </c>
      <c r="C75" s="1" t="s">
        <v>99</v>
      </c>
      <c r="D75" s="10">
        <v>45110.000694444447</v>
      </c>
      <c r="E75" t="s">
        <v>191</v>
      </c>
      <c r="F75" t="s">
        <v>4</v>
      </c>
      <c r="G75">
        <v>6214</v>
      </c>
      <c r="H75" s="5" t="s">
        <v>99</v>
      </c>
      <c r="I75" s="15">
        <v>45110</v>
      </c>
      <c r="J75" s="15" t="s">
        <v>234</v>
      </c>
      <c r="K75" s="6">
        <v>0.50069444444444444</v>
      </c>
      <c r="L75" t="s">
        <v>142</v>
      </c>
      <c r="M75">
        <v>200000</v>
      </c>
      <c r="N75" t="s">
        <v>197</v>
      </c>
      <c r="O75" t="s">
        <v>152</v>
      </c>
      <c r="P75">
        <v>80</v>
      </c>
      <c r="Q75" t="s">
        <v>157</v>
      </c>
    </row>
    <row r="76" spans="1:17" x14ac:dyDescent="0.2">
      <c r="A76">
        <v>49544</v>
      </c>
      <c r="B76">
        <v>526</v>
      </c>
      <c r="C76" s="1" t="s">
        <v>99</v>
      </c>
      <c r="D76" s="10">
        <v>45227.00277777778</v>
      </c>
      <c r="E76" t="s">
        <v>98</v>
      </c>
      <c r="F76" t="s">
        <v>39</v>
      </c>
      <c r="G76">
        <v>7802</v>
      </c>
      <c r="H76" s="5" t="s">
        <v>99</v>
      </c>
      <c r="I76" s="15">
        <v>45227</v>
      </c>
      <c r="J76" s="15" t="s">
        <v>295</v>
      </c>
      <c r="K76" s="6">
        <v>0.50277777777777777</v>
      </c>
      <c r="L76" t="s">
        <v>146</v>
      </c>
      <c r="M76">
        <v>100000</v>
      </c>
      <c r="N76" t="s">
        <v>212</v>
      </c>
      <c r="O76" t="s">
        <v>151</v>
      </c>
      <c r="P76">
        <v>49</v>
      </c>
      <c r="Q76" t="s">
        <v>155</v>
      </c>
    </row>
    <row r="77" spans="1:17" x14ac:dyDescent="0.2">
      <c r="A77">
        <v>50199</v>
      </c>
      <c r="B77">
        <v>105</v>
      </c>
      <c r="C77" s="1" t="s">
        <v>99</v>
      </c>
      <c r="D77" s="10">
        <v>44955.05972222222</v>
      </c>
      <c r="E77" t="s">
        <v>191</v>
      </c>
      <c r="F77" t="s">
        <v>24</v>
      </c>
      <c r="G77">
        <v>8898</v>
      </c>
      <c r="H77" s="5" t="s">
        <v>99</v>
      </c>
      <c r="I77" s="15">
        <v>44955</v>
      </c>
      <c r="J77" s="15" t="s">
        <v>232</v>
      </c>
      <c r="K77" s="6">
        <v>5.9722222222222225E-2</v>
      </c>
      <c r="L77" t="s">
        <v>143</v>
      </c>
      <c r="M77">
        <v>200000</v>
      </c>
      <c r="N77" t="s">
        <v>214</v>
      </c>
      <c r="O77" t="s">
        <v>151</v>
      </c>
      <c r="P77">
        <v>80</v>
      </c>
      <c r="Q77" t="s">
        <v>154</v>
      </c>
    </row>
    <row r="78" spans="1:17" x14ac:dyDescent="0.2">
      <c r="A78">
        <v>50499</v>
      </c>
      <c r="B78">
        <v>639</v>
      </c>
      <c r="C78" s="1" t="s">
        <v>99</v>
      </c>
      <c r="D78" s="10">
        <v>45018.963888888888</v>
      </c>
      <c r="E78" t="s">
        <v>98</v>
      </c>
      <c r="F78" t="s">
        <v>32</v>
      </c>
      <c r="G78">
        <v>3514</v>
      </c>
      <c r="H78" s="5" t="s">
        <v>99</v>
      </c>
      <c r="I78" s="15">
        <v>45018</v>
      </c>
      <c r="J78" s="15" t="s">
        <v>233</v>
      </c>
      <c r="K78" s="6">
        <v>0.46388888888888891</v>
      </c>
      <c r="L78" t="s">
        <v>145</v>
      </c>
      <c r="M78">
        <v>80000</v>
      </c>
      <c r="N78" t="s">
        <v>217</v>
      </c>
      <c r="O78" t="s">
        <v>152</v>
      </c>
      <c r="P78">
        <v>59</v>
      </c>
      <c r="Q78" t="s">
        <v>155</v>
      </c>
    </row>
    <row r="79" spans="1:17" x14ac:dyDescent="0.2">
      <c r="A79">
        <v>51688</v>
      </c>
      <c r="B79">
        <v>453</v>
      </c>
      <c r="C79" s="1" t="s">
        <v>100</v>
      </c>
      <c r="D79" s="10">
        <v>45278.024305555555</v>
      </c>
      <c r="E79" t="s">
        <v>96</v>
      </c>
      <c r="F79" t="s">
        <v>25</v>
      </c>
      <c r="G79">
        <v>4365</v>
      </c>
      <c r="H79" s="5" t="s">
        <v>100</v>
      </c>
      <c r="I79" s="15">
        <v>45278</v>
      </c>
      <c r="J79" s="15" t="s">
        <v>295</v>
      </c>
      <c r="K79" s="6">
        <v>0.52430555555555558</v>
      </c>
      <c r="L79" t="s">
        <v>142</v>
      </c>
      <c r="M79">
        <v>100000</v>
      </c>
      <c r="N79" t="s">
        <v>201</v>
      </c>
      <c r="O79" t="s">
        <v>151</v>
      </c>
      <c r="P79">
        <v>52</v>
      </c>
      <c r="Q79" t="s">
        <v>154</v>
      </c>
    </row>
    <row r="80" spans="1:17" x14ac:dyDescent="0.2">
      <c r="A80">
        <v>51913</v>
      </c>
      <c r="B80">
        <v>1208</v>
      </c>
      <c r="C80" s="1" t="s">
        <v>99</v>
      </c>
      <c r="D80" s="10">
        <v>45241.013888888891</v>
      </c>
      <c r="E80" t="s">
        <v>98</v>
      </c>
      <c r="F80" t="s">
        <v>13</v>
      </c>
      <c r="G80">
        <v>1733</v>
      </c>
      <c r="H80" s="5" t="s">
        <v>99</v>
      </c>
      <c r="I80" s="15">
        <v>45241</v>
      </c>
      <c r="J80" s="15" t="s">
        <v>295</v>
      </c>
      <c r="K80" s="6">
        <v>0.51388888888888884</v>
      </c>
      <c r="L80" t="s">
        <v>143</v>
      </c>
      <c r="M80">
        <v>150000</v>
      </c>
      <c r="N80" t="s">
        <v>206</v>
      </c>
      <c r="O80" t="s">
        <v>151</v>
      </c>
      <c r="P80">
        <v>73</v>
      </c>
      <c r="Q80" t="s">
        <v>156</v>
      </c>
    </row>
    <row r="81" spans="1:17" x14ac:dyDescent="0.2">
      <c r="A81">
        <v>52659</v>
      </c>
      <c r="B81">
        <v>1282</v>
      </c>
      <c r="C81" s="1" t="s">
        <v>100</v>
      </c>
      <c r="D81" s="10">
        <v>45084.038194444445</v>
      </c>
      <c r="E81" t="s">
        <v>191</v>
      </c>
      <c r="F81" t="s">
        <v>27</v>
      </c>
      <c r="G81">
        <v>3865</v>
      </c>
      <c r="H81" s="5" t="s">
        <v>100</v>
      </c>
      <c r="I81" s="15">
        <v>45084</v>
      </c>
      <c r="J81" s="15" t="s">
        <v>233</v>
      </c>
      <c r="K81" s="6">
        <v>0.53819444444444442</v>
      </c>
      <c r="L81" t="s">
        <v>142</v>
      </c>
      <c r="M81">
        <v>1000000</v>
      </c>
      <c r="N81" t="s">
        <v>209</v>
      </c>
      <c r="O81" t="s">
        <v>151</v>
      </c>
      <c r="P81">
        <v>35</v>
      </c>
      <c r="Q81" t="s">
        <v>156</v>
      </c>
    </row>
    <row r="82" spans="1:17" x14ac:dyDescent="0.2">
      <c r="A82">
        <v>53119</v>
      </c>
      <c r="B82">
        <v>1257</v>
      </c>
      <c r="C82" s="1" t="s">
        <v>99</v>
      </c>
      <c r="D82" s="10">
        <v>45030.061111111114</v>
      </c>
      <c r="E82" t="s">
        <v>97</v>
      </c>
      <c r="F82" t="s">
        <v>4</v>
      </c>
      <c r="G82">
        <v>6403</v>
      </c>
      <c r="H82" s="5" t="s">
        <v>99</v>
      </c>
      <c r="I82" s="15">
        <v>45030</v>
      </c>
      <c r="J82" s="15" t="s">
        <v>233</v>
      </c>
      <c r="K82" s="6">
        <v>6.1111111111111109E-2</v>
      </c>
      <c r="L82" t="s">
        <v>142</v>
      </c>
      <c r="M82">
        <v>200000</v>
      </c>
      <c r="N82" t="s">
        <v>197</v>
      </c>
      <c r="O82" t="s">
        <v>151</v>
      </c>
      <c r="P82">
        <v>69</v>
      </c>
      <c r="Q82" t="s">
        <v>156</v>
      </c>
    </row>
    <row r="83" spans="1:17" x14ac:dyDescent="0.2">
      <c r="A83">
        <v>53899</v>
      </c>
      <c r="B83">
        <v>392</v>
      </c>
      <c r="C83" s="1" t="s">
        <v>113</v>
      </c>
      <c r="D83" s="10">
        <v>45192.036805555559</v>
      </c>
      <c r="E83" t="s">
        <v>191</v>
      </c>
      <c r="F83" t="s">
        <v>14</v>
      </c>
      <c r="G83">
        <v>8165</v>
      </c>
      <c r="H83" s="5" t="s">
        <v>113</v>
      </c>
      <c r="I83" s="15">
        <v>45192</v>
      </c>
      <c r="J83" s="15" t="s">
        <v>234</v>
      </c>
      <c r="K83" s="6">
        <v>0.53680555555555554</v>
      </c>
      <c r="L83" t="s">
        <v>142</v>
      </c>
      <c r="M83">
        <v>250000</v>
      </c>
      <c r="N83" t="s">
        <v>207</v>
      </c>
      <c r="O83" t="s">
        <v>151</v>
      </c>
      <c r="P83">
        <v>79</v>
      </c>
      <c r="Q83" t="s">
        <v>154</v>
      </c>
    </row>
    <row r="84" spans="1:17" x14ac:dyDescent="0.2">
      <c r="A84">
        <v>54569</v>
      </c>
      <c r="B84">
        <v>147</v>
      </c>
      <c r="C84" s="1" t="s">
        <v>99</v>
      </c>
      <c r="D84" s="10">
        <v>45277.972916666666</v>
      </c>
      <c r="E84" t="s">
        <v>97</v>
      </c>
      <c r="F84" t="s">
        <v>6</v>
      </c>
      <c r="G84">
        <v>6561</v>
      </c>
      <c r="H84" s="5" t="s">
        <v>99</v>
      </c>
      <c r="I84" s="15">
        <v>45277</v>
      </c>
      <c r="J84" s="15" t="s">
        <v>295</v>
      </c>
      <c r="K84" s="6">
        <v>0.47291666666666665</v>
      </c>
      <c r="L84" t="s">
        <v>144</v>
      </c>
      <c r="M84">
        <v>100000</v>
      </c>
      <c r="N84" t="s">
        <v>199</v>
      </c>
      <c r="O84" t="s">
        <v>152</v>
      </c>
      <c r="P84">
        <v>29</v>
      </c>
      <c r="Q84" t="s">
        <v>154</v>
      </c>
    </row>
    <row r="85" spans="1:17" x14ac:dyDescent="0.2">
      <c r="A85">
        <v>55920</v>
      </c>
      <c r="B85">
        <v>769</v>
      </c>
      <c r="C85" s="1" t="s">
        <v>100</v>
      </c>
      <c r="D85" s="10">
        <v>44964.968055555553</v>
      </c>
      <c r="E85" t="s">
        <v>96</v>
      </c>
      <c r="F85" t="s">
        <v>7</v>
      </c>
      <c r="G85">
        <v>9946</v>
      </c>
      <c r="H85" s="5" t="s">
        <v>100</v>
      </c>
      <c r="I85" s="15">
        <v>44964</v>
      </c>
      <c r="J85" s="15" t="s">
        <v>232</v>
      </c>
      <c r="K85" s="6">
        <v>0.46805555555555556</v>
      </c>
      <c r="L85" t="s">
        <v>144</v>
      </c>
      <c r="M85">
        <v>150000</v>
      </c>
      <c r="N85" t="s">
        <v>200</v>
      </c>
      <c r="O85" t="s">
        <v>151</v>
      </c>
      <c r="P85">
        <v>22</v>
      </c>
      <c r="Q85" t="s">
        <v>155</v>
      </c>
    </row>
    <row r="86" spans="1:17" x14ac:dyDescent="0.2">
      <c r="A86">
        <v>56130</v>
      </c>
      <c r="B86">
        <v>1446</v>
      </c>
      <c r="C86" s="1" t="s">
        <v>109</v>
      </c>
      <c r="D86" s="10">
        <v>45168.978472222225</v>
      </c>
      <c r="E86" t="s">
        <v>98</v>
      </c>
      <c r="F86" t="s">
        <v>8</v>
      </c>
      <c r="G86">
        <v>9631</v>
      </c>
      <c r="H86" s="5" t="s">
        <v>109</v>
      </c>
      <c r="I86" s="15">
        <v>45168</v>
      </c>
      <c r="J86" s="15" t="s">
        <v>234</v>
      </c>
      <c r="K86" s="6">
        <v>0.47847222222222224</v>
      </c>
      <c r="L86" t="s">
        <v>142</v>
      </c>
      <c r="M86">
        <v>200000</v>
      </c>
      <c r="N86" t="s">
        <v>201</v>
      </c>
      <c r="O86" t="s">
        <v>152</v>
      </c>
      <c r="P86">
        <v>52</v>
      </c>
      <c r="Q86" t="s">
        <v>156</v>
      </c>
    </row>
    <row r="87" spans="1:17" x14ac:dyDescent="0.2">
      <c r="A87">
        <v>56703</v>
      </c>
      <c r="B87">
        <v>381</v>
      </c>
      <c r="C87" s="1" t="s">
        <v>107</v>
      </c>
      <c r="D87" s="10">
        <v>45204.015277777777</v>
      </c>
      <c r="E87" t="s">
        <v>191</v>
      </c>
      <c r="F87" t="s">
        <v>9</v>
      </c>
      <c r="G87">
        <v>3490</v>
      </c>
      <c r="H87" s="5" t="s">
        <v>107</v>
      </c>
      <c r="I87" s="15">
        <v>45204</v>
      </c>
      <c r="J87" s="15" t="s">
        <v>295</v>
      </c>
      <c r="K87" s="6">
        <v>0.51527777777777772</v>
      </c>
      <c r="L87" t="s">
        <v>144</v>
      </c>
      <c r="M87">
        <v>150000</v>
      </c>
      <c r="N87" t="s">
        <v>202</v>
      </c>
      <c r="O87" t="s">
        <v>151</v>
      </c>
      <c r="P87">
        <v>86</v>
      </c>
      <c r="Q87" t="s">
        <v>154</v>
      </c>
    </row>
    <row r="88" spans="1:17" x14ac:dyDescent="0.2">
      <c r="A88">
        <v>57478</v>
      </c>
      <c r="B88">
        <v>1004</v>
      </c>
      <c r="C88" s="1" t="s">
        <v>99</v>
      </c>
      <c r="D88" s="10">
        <v>44963.002083333333</v>
      </c>
      <c r="E88" t="s">
        <v>96</v>
      </c>
      <c r="F88" t="s">
        <v>10</v>
      </c>
      <c r="G88">
        <v>7689</v>
      </c>
      <c r="H88" s="5" t="s">
        <v>99</v>
      </c>
      <c r="I88" s="15">
        <v>44963</v>
      </c>
      <c r="J88" s="15" t="s">
        <v>232</v>
      </c>
      <c r="K88" s="6">
        <v>0.50208333333333333</v>
      </c>
      <c r="L88" t="s">
        <v>145</v>
      </c>
      <c r="M88">
        <v>150000</v>
      </c>
      <c r="N88" t="s">
        <v>203</v>
      </c>
      <c r="O88" t="s">
        <v>151</v>
      </c>
      <c r="P88">
        <v>55</v>
      </c>
      <c r="Q88" t="s">
        <v>156</v>
      </c>
    </row>
    <row r="89" spans="1:17" x14ac:dyDescent="0.2">
      <c r="A89">
        <v>57568</v>
      </c>
      <c r="B89">
        <v>464</v>
      </c>
      <c r="C89" s="1" t="s">
        <v>107</v>
      </c>
      <c r="D89" s="10">
        <v>45006.037499999999</v>
      </c>
      <c r="E89" t="s">
        <v>98</v>
      </c>
      <c r="F89" t="s">
        <v>11</v>
      </c>
      <c r="G89">
        <v>5877</v>
      </c>
      <c r="H89" s="5" t="s">
        <v>107</v>
      </c>
      <c r="I89" s="15">
        <v>45006</v>
      </c>
      <c r="J89" s="15" t="s">
        <v>232</v>
      </c>
      <c r="K89" s="6">
        <v>0.53749999999999998</v>
      </c>
      <c r="L89" t="s">
        <v>143</v>
      </c>
      <c r="M89">
        <v>150000</v>
      </c>
      <c r="N89" t="s">
        <v>204</v>
      </c>
      <c r="O89" t="s">
        <v>152</v>
      </c>
      <c r="P89">
        <v>26</v>
      </c>
      <c r="Q89" t="s">
        <v>154</v>
      </c>
    </row>
    <row r="90" spans="1:17" x14ac:dyDescent="0.2">
      <c r="A90">
        <v>57650</v>
      </c>
      <c r="B90">
        <v>1542</v>
      </c>
      <c r="C90" s="1" t="s">
        <v>100</v>
      </c>
      <c r="D90" s="10">
        <v>45227.00277777778</v>
      </c>
      <c r="E90" t="s">
        <v>191</v>
      </c>
      <c r="F90" t="s">
        <v>12</v>
      </c>
      <c r="G90">
        <v>1231</v>
      </c>
      <c r="H90" s="5" t="s">
        <v>100</v>
      </c>
      <c r="I90" s="15">
        <v>45227</v>
      </c>
      <c r="J90" s="15" t="s">
        <v>295</v>
      </c>
      <c r="K90" s="6">
        <v>0.50277777777777777</v>
      </c>
      <c r="L90" t="s">
        <v>143</v>
      </c>
      <c r="M90">
        <v>150000</v>
      </c>
      <c r="N90" t="s">
        <v>205</v>
      </c>
      <c r="O90" t="s">
        <v>151</v>
      </c>
      <c r="P90">
        <v>65</v>
      </c>
      <c r="Q90" t="s">
        <v>157</v>
      </c>
    </row>
    <row r="91" spans="1:17" x14ac:dyDescent="0.2">
      <c r="A91">
        <v>58309</v>
      </c>
      <c r="B91">
        <v>479</v>
      </c>
      <c r="C91" s="1" t="s">
        <v>102</v>
      </c>
      <c r="D91" s="10">
        <v>44938.982638888891</v>
      </c>
      <c r="E91" t="s">
        <v>98</v>
      </c>
      <c r="F91" t="s">
        <v>48</v>
      </c>
      <c r="G91">
        <v>9668</v>
      </c>
      <c r="H91" s="5" t="s">
        <v>102</v>
      </c>
      <c r="I91" s="15">
        <v>44938</v>
      </c>
      <c r="J91" s="15" t="s">
        <v>232</v>
      </c>
      <c r="K91" s="6">
        <v>0.4826388888888889</v>
      </c>
      <c r="L91" t="s">
        <v>142</v>
      </c>
      <c r="M91">
        <v>100000</v>
      </c>
      <c r="N91" t="s">
        <v>209</v>
      </c>
      <c r="O91" t="s">
        <v>151</v>
      </c>
      <c r="P91">
        <v>81</v>
      </c>
      <c r="Q91" t="s">
        <v>154</v>
      </c>
    </row>
    <row r="92" spans="1:17" x14ac:dyDescent="0.2">
      <c r="A92">
        <v>58546</v>
      </c>
      <c r="B92">
        <v>1218</v>
      </c>
      <c r="C92" s="1" t="s">
        <v>99</v>
      </c>
      <c r="D92" s="10">
        <v>45128.007638888892</v>
      </c>
      <c r="E92" t="s">
        <v>96</v>
      </c>
      <c r="F92" t="s">
        <v>14</v>
      </c>
      <c r="G92">
        <v>736</v>
      </c>
      <c r="H92" s="5" t="s">
        <v>99</v>
      </c>
      <c r="I92" s="15">
        <v>45128</v>
      </c>
      <c r="J92" s="15" t="s">
        <v>234</v>
      </c>
      <c r="K92" s="6">
        <v>0.50763888888888886</v>
      </c>
      <c r="L92" t="s">
        <v>142</v>
      </c>
      <c r="M92">
        <v>250000</v>
      </c>
      <c r="N92" t="s">
        <v>207</v>
      </c>
      <c r="O92" t="s">
        <v>151</v>
      </c>
      <c r="P92">
        <v>68</v>
      </c>
      <c r="Q92" t="s">
        <v>156</v>
      </c>
    </row>
    <row r="93" spans="1:17" x14ac:dyDescent="0.2">
      <c r="A93">
        <v>59723</v>
      </c>
      <c r="B93">
        <v>1606</v>
      </c>
      <c r="C93" s="1" t="s">
        <v>100</v>
      </c>
      <c r="D93" s="10">
        <v>45235.045138888891</v>
      </c>
      <c r="E93" t="s">
        <v>96</v>
      </c>
      <c r="F93" t="s">
        <v>15</v>
      </c>
      <c r="G93">
        <v>3606</v>
      </c>
      <c r="H93" s="5" t="s">
        <v>100</v>
      </c>
      <c r="I93" s="15">
        <v>45235</v>
      </c>
      <c r="J93" s="15" t="s">
        <v>295</v>
      </c>
      <c r="K93" s="6">
        <v>4.5138888888888888E-2</v>
      </c>
      <c r="L93" t="s">
        <v>143</v>
      </c>
      <c r="M93">
        <v>150000</v>
      </c>
      <c r="N93" t="s">
        <v>198</v>
      </c>
      <c r="O93" t="s">
        <v>151</v>
      </c>
      <c r="P93">
        <v>23</v>
      </c>
      <c r="Q93" t="s">
        <v>157</v>
      </c>
    </row>
    <row r="94" spans="1:17" x14ac:dyDescent="0.2">
      <c r="A94">
        <v>60635</v>
      </c>
      <c r="B94">
        <v>723</v>
      </c>
      <c r="C94" s="1" t="s">
        <v>108</v>
      </c>
      <c r="D94" s="10">
        <v>44939.004861111112</v>
      </c>
      <c r="E94" t="s">
        <v>96</v>
      </c>
      <c r="F94" t="s">
        <v>16</v>
      </c>
      <c r="G94">
        <v>2575</v>
      </c>
      <c r="H94" s="5" t="s">
        <v>108</v>
      </c>
      <c r="I94" s="15">
        <v>44939</v>
      </c>
      <c r="J94" s="15" t="s">
        <v>232</v>
      </c>
      <c r="K94" s="6">
        <v>0.50486111111111109</v>
      </c>
      <c r="L94" t="s">
        <v>142</v>
      </c>
      <c r="M94">
        <v>80000</v>
      </c>
      <c r="N94" t="s">
        <v>208</v>
      </c>
      <c r="O94" t="s">
        <v>152</v>
      </c>
      <c r="P94">
        <v>80</v>
      </c>
      <c r="Q94" t="s">
        <v>155</v>
      </c>
    </row>
    <row r="95" spans="1:17" x14ac:dyDescent="0.2">
      <c r="A95">
        <v>60770</v>
      </c>
      <c r="B95">
        <v>1934</v>
      </c>
      <c r="C95" s="1" t="s">
        <v>105</v>
      </c>
      <c r="D95" s="10">
        <v>44932.032638888886</v>
      </c>
      <c r="E95" t="s">
        <v>97</v>
      </c>
      <c r="F95" t="s">
        <v>17</v>
      </c>
      <c r="G95">
        <v>7606</v>
      </c>
      <c r="H95" s="5" t="s">
        <v>105</v>
      </c>
      <c r="I95" s="15">
        <v>44932</v>
      </c>
      <c r="J95" s="15" t="s">
        <v>232</v>
      </c>
      <c r="K95" s="6">
        <v>0.53263888888888888</v>
      </c>
      <c r="L95" t="s">
        <v>142</v>
      </c>
      <c r="M95">
        <v>100000</v>
      </c>
      <c r="N95" t="s">
        <v>209</v>
      </c>
      <c r="O95" t="s">
        <v>151</v>
      </c>
      <c r="P95">
        <v>25</v>
      </c>
      <c r="Q95" t="s">
        <v>157</v>
      </c>
    </row>
    <row r="96" spans="1:17" x14ac:dyDescent="0.2">
      <c r="A96">
        <v>60781</v>
      </c>
      <c r="B96">
        <v>353</v>
      </c>
      <c r="C96" s="1" t="s">
        <v>100</v>
      </c>
      <c r="D96" s="10">
        <v>45225.069444444445</v>
      </c>
      <c r="E96" t="s">
        <v>97</v>
      </c>
      <c r="F96" t="s">
        <v>18</v>
      </c>
      <c r="G96">
        <v>936</v>
      </c>
      <c r="H96" s="5" t="s">
        <v>100</v>
      </c>
      <c r="I96" s="15">
        <v>45225</v>
      </c>
      <c r="J96" s="15" t="s">
        <v>295</v>
      </c>
      <c r="K96" s="6">
        <v>6.9444444444444448E-2</v>
      </c>
      <c r="L96" t="s">
        <v>145</v>
      </c>
      <c r="M96">
        <v>200000</v>
      </c>
      <c r="N96" t="s">
        <v>210</v>
      </c>
      <c r="O96" t="s">
        <v>152</v>
      </c>
      <c r="P96">
        <v>66</v>
      </c>
      <c r="Q96" t="s">
        <v>154</v>
      </c>
    </row>
    <row r="97" spans="1:17" x14ac:dyDescent="0.2">
      <c r="A97">
        <v>61005</v>
      </c>
      <c r="B97">
        <v>480</v>
      </c>
      <c r="C97" s="1" t="s">
        <v>102</v>
      </c>
      <c r="D97" s="10">
        <v>44928.031944444447</v>
      </c>
      <c r="E97" t="s">
        <v>96</v>
      </c>
      <c r="F97" t="s">
        <v>19</v>
      </c>
      <c r="G97">
        <v>7727</v>
      </c>
      <c r="H97" s="5" t="s">
        <v>102</v>
      </c>
      <c r="I97" s="15">
        <v>44928</v>
      </c>
      <c r="J97" s="15" t="s">
        <v>232</v>
      </c>
      <c r="K97" s="6">
        <v>0.53194444444444444</v>
      </c>
      <c r="L97" t="s">
        <v>142</v>
      </c>
      <c r="M97">
        <v>150000</v>
      </c>
      <c r="N97" t="s">
        <v>211</v>
      </c>
      <c r="O97" t="s">
        <v>151</v>
      </c>
      <c r="P97">
        <v>46</v>
      </c>
      <c r="Q97" t="s">
        <v>154</v>
      </c>
    </row>
    <row r="98" spans="1:17" x14ac:dyDescent="0.2">
      <c r="A98">
        <v>61504</v>
      </c>
      <c r="B98">
        <v>260</v>
      </c>
      <c r="C98" s="1" t="s">
        <v>99</v>
      </c>
      <c r="D98" s="10">
        <v>45286.022222222222</v>
      </c>
      <c r="E98" t="s">
        <v>97</v>
      </c>
      <c r="F98" t="s">
        <v>20</v>
      </c>
      <c r="G98">
        <v>7129</v>
      </c>
      <c r="H98" s="5" t="s">
        <v>99</v>
      </c>
      <c r="I98" s="15">
        <v>45286</v>
      </c>
      <c r="J98" s="15" t="s">
        <v>295</v>
      </c>
      <c r="K98" s="6">
        <v>0.52222222222222225</v>
      </c>
      <c r="L98" t="s">
        <v>146</v>
      </c>
      <c r="M98">
        <v>150000</v>
      </c>
      <c r="N98" t="s">
        <v>212</v>
      </c>
      <c r="O98" t="s">
        <v>152</v>
      </c>
      <c r="P98">
        <v>88</v>
      </c>
      <c r="Q98" t="s">
        <v>154</v>
      </c>
    </row>
    <row r="99" spans="1:17" x14ac:dyDescent="0.2">
      <c r="A99">
        <v>61520</v>
      </c>
      <c r="B99">
        <v>1870</v>
      </c>
      <c r="C99" s="1" t="s">
        <v>99</v>
      </c>
      <c r="D99" s="10">
        <v>45099.984027777777</v>
      </c>
      <c r="E99" t="s">
        <v>191</v>
      </c>
      <c r="F99" t="s">
        <v>51</v>
      </c>
      <c r="G99">
        <v>3077</v>
      </c>
      <c r="H99" s="5" t="s">
        <v>99</v>
      </c>
      <c r="I99" s="15">
        <v>45099</v>
      </c>
      <c r="J99" s="15" t="s">
        <v>233</v>
      </c>
      <c r="K99" s="6">
        <v>0.48402777777777778</v>
      </c>
      <c r="L99" t="s">
        <v>145</v>
      </c>
      <c r="M99">
        <v>100000</v>
      </c>
      <c r="N99" t="s">
        <v>217</v>
      </c>
      <c r="O99" t="s">
        <v>152</v>
      </c>
      <c r="P99">
        <v>39</v>
      </c>
      <c r="Q99" t="s">
        <v>157</v>
      </c>
    </row>
    <row r="100" spans="1:17" x14ac:dyDescent="0.2">
      <c r="A100">
        <v>63153</v>
      </c>
      <c r="B100">
        <v>765</v>
      </c>
      <c r="C100" s="1" t="s">
        <v>103</v>
      </c>
      <c r="D100" s="10">
        <v>45013.977083333331</v>
      </c>
      <c r="E100" t="s">
        <v>191</v>
      </c>
      <c r="F100" t="s">
        <v>22</v>
      </c>
      <c r="G100">
        <v>5427</v>
      </c>
      <c r="H100" s="5" t="s">
        <v>103</v>
      </c>
      <c r="I100" s="15">
        <v>45013</v>
      </c>
      <c r="J100" s="15" t="s">
        <v>232</v>
      </c>
      <c r="K100" s="6">
        <v>0.47708333333333336</v>
      </c>
      <c r="L100" t="s">
        <v>144</v>
      </c>
      <c r="M100">
        <v>100000</v>
      </c>
      <c r="N100" t="s">
        <v>202</v>
      </c>
      <c r="O100" t="s">
        <v>152</v>
      </c>
      <c r="P100">
        <v>46</v>
      </c>
      <c r="Q100" t="s">
        <v>155</v>
      </c>
    </row>
    <row r="101" spans="1:17" x14ac:dyDescent="0.2">
      <c r="A101">
        <v>64461</v>
      </c>
      <c r="B101">
        <v>1755</v>
      </c>
      <c r="C101" s="1" t="s">
        <v>105</v>
      </c>
      <c r="D101" s="10">
        <v>45006.984722222223</v>
      </c>
      <c r="E101" t="s">
        <v>191</v>
      </c>
      <c r="F101" t="s">
        <v>4</v>
      </c>
      <c r="G101">
        <v>7725</v>
      </c>
      <c r="H101" s="5" t="s">
        <v>105</v>
      </c>
      <c r="I101" s="15">
        <v>45006</v>
      </c>
      <c r="J101" s="15" t="s">
        <v>232</v>
      </c>
      <c r="K101" s="6">
        <v>0.48472222222222222</v>
      </c>
      <c r="L101" t="s">
        <v>142</v>
      </c>
      <c r="M101">
        <v>200000</v>
      </c>
      <c r="N101" t="s">
        <v>197</v>
      </c>
      <c r="O101" t="s">
        <v>151</v>
      </c>
      <c r="P101">
        <v>66</v>
      </c>
      <c r="Q101" t="s">
        <v>157</v>
      </c>
    </row>
    <row r="102" spans="1:17" x14ac:dyDescent="0.2">
      <c r="A102">
        <v>66118</v>
      </c>
      <c r="B102">
        <v>1425</v>
      </c>
      <c r="C102" s="1" t="s">
        <v>101</v>
      </c>
      <c r="D102" s="10">
        <v>44982.007638888892</v>
      </c>
      <c r="E102" t="s">
        <v>96</v>
      </c>
      <c r="F102" t="s">
        <v>39</v>
      </c>
      <c r="G102">
        <v>1282</v>
      </c>
      <c r="H102" s="5" t="s">
        <v>101</v>
      </c>
      <c r="I102" s="15">
        <v>44982</v>
      </c>
      <c r="J102" s="15" t="s">
        <v>232</v>
      </c>
      <c r="K102" s="6">
        <v>0.50763888888888886</v>
      </c>
      <c r="L102" t="s">
        <v>146</v>
      </c>
      <c r="M102">
        <v>100000</v>
      </c>
      <c r="N102" t="s">
        <v>212</v>
      </c>
      <c r="O102" t="s">
        <v>152</v>
      </c>
      <c r="P102">
        <v>79</v>
      </c>
      <c r="Q102" t="s">
        <v>156</v>
      </c>
    </row>
    <row r="103" spans="1:17" x14ac:dyDescent="0.2">
      <c r="A103">
        <v>66951</v>
      </c>
      <c r="B103">
        <v>342</v>
      </c>
      <c r="C103" s="1" t="s">
        <v>113</v>
      </c>
      <c r="D103" s="10">
        <v>45134.00277777778</v>
      </c>
      <c r="E103" t="s">
        <v>191</v>
      </c>
      <c r="F103" t="s">
        <v>9</v>
      </c>
      <c r="G103">
        <v>7338</v>
      </c>
      <c r="H103" s="5" t="s">
        <v>113</v>
      </c>
      <c r="I103" s="15">
        <v>45134</v>
      </c>
      <c r="J103" s="15" t="s">
        <v>234</v>
      </c>
      <c r="K103" s="6">
        <v>0.50277777777777777</v>
      </c>
      <c r="L103" t="s">
        <v>144</v>
      </c>
      <c r="M103">
        <v>150000</v>
      </c>
      <c r="N103" t="s">
        <v>202</v>
      </c>
      <c r="O103" t="s">
        <v>152</v>
      </c>
      <c r="P103">
        <v>65</v>
      </c>
      <c r="Q103" t="s">
        <v>154</v>
      </c>
    </row>
    <row r="104" spans="1:17" x14ac:dyDescent="0.2">
      <c r="A104">
        <v>69722</v>
      </c>
      <c r="B104">
        <v>571</v>
      </c>
      <c r="C104" s="1" t="s">
        <v>102</v>
      </c>
      <c r="D104" s="10">
        <v>45174.040277777778</v>
      </c>
      <c r="E104" t="s">
        <v>98</v>
      </c>
      <c r="F104" t="s">
        <v>32</v>
      </c>
      <c r="G104">
        <v>1269</v>
      </c>
      <c r="H104" s="5" t="s">
        <v>102</v>
      </c>
      <c r="I104" s="15">
        <v>45174</v>
      </c>
      <c r="J104" s="15" t="s">
        <v>234</v>
      </c>
      <c r="K104" s="6">
        <v>0.54027777777777775</v>
      </c>
      <c r="L104" t="s">
        <v>145</v>
      </c>
      <c r="M104">
        <v>80000</v>
      </c>
      <c r="N104" t="s">
        <v>217</v>
      </c>
      <c r="O104" t="s">
        <v>152</v>
      </c>
      <c r="P104">
        <v>88</v>
      </c>
      <c r="Q104" t="s">
        <v>155</v>
      </c>
    </row>
    <row r="105" spans="1:17" x14ac:dyDescent="0.2">
      <c r="A105">
        <v>69918</v>
      </c>
      <c r="B105">
        <v>1378</v>
      </c>
      <c r="C105" s="1" t="s">
        <v>105</v>
      </c>
      <c r="D105" s="10">
        <v>44992.006249999999</v>
      </c>
      <c r="E105" t="s">
        <v>97</v>
      </c>
      <c r="F105" t="s">
        <v>25</v>
      </c>
      <c r="G105">
        <v>8657</v>
      </c>
      <c r="H105" s="5" t="s">
        <v>105</v>
      </c>
      <c r="I105" s="15">
        <v>44992</v>
      </c>
      <c r="J105" s="15" t="s">
        <v>232</v>
      </c>
      <c r="K105" s="6">
        <v>0.50624999999999998</v>
      </c>
      <c r="L105" t="s">
        <v>142</v>
      </c>
      <c r="M105">
        <v>100000</v>
      </c>
      <c r="N105" t="s">
        <v>201</v>
      </c>
      <c r="O105" t="s">
        <v>151</v>
      </c>
      <c r="P105">
        <v>31</v>
      </c>
      <c r="Q105" t="s">
        <v>156</v>
      </c>
    </row>
    <row r="106" spans="1:17" x14ac:dyDescent="0.2">
      <c r="A106">
        <v>69942</v>
      </c>
      <c r="B106">
        <v>1070</v>
      </c>
      <c r="C106" s="1" t="s">
        <v>106</v>
      </c>
      <c r="D106" s="10">
        <v>45273.957638888889</v>
      </c>
      <c r="E106" t="s">
        <v>98</v>
      </c>
      <c r="F106" t="s">
        <v>26</v>
      </c>
      <c r="G106">
        <v>3418</v>
      </c>
      <c r="H106" s="5" t="s">
        <v>106</v>
      </c>
      <c r="I106" s="15">
        <v>45273</v>
      </c>
      <c r="J106" s="15" t="s">
        <v>295</v>
      </c>
      <c r="K106" s="6">
        <v>0.45763888888888887</v>
      </c>
      <c r="L106" t="s">
        <v>145</v>
      </c>
      <c r="M106">
        <v>100000</v>
      </c>
      <c r="N106" t="s">
        <v>210</v>
      </c>
      <c r="O106" t="s">
        <v>152</v>
      </c>
      <c r="P106">
        <v>60</v>
      </c>
      <c r="Q106" t="s">
        <v>156</v>
      </c>
    </row>
    <row r="107" spans="1:17" x14ac:dyDescent="0.2">
      <c r="A107">
        <v>70005</v>
      </c>
      <c r="B107">
        <v>1014</v>
      </c>
      <c r="C107" s="1" t="s">
        <v>113</v>
      </c>
      <c r="D107" s="10">
        <v>45086.003472222219</v>
      </c>
      <c r="E107" t="s">
        <v>97</v>
      </c>
      <c r="F107" t="s">
        <v>27</v>
      </c>
      <c r="G107">
        <v>3582</v>
      </c>
      <c r="H107" s="5" t="s">
        <v>113</v>
      </c>
      <c r="I107" s="15">
        <v>45086</v>
      </c>
      <c r="J107" s="15" t="s">
        <v>233</v>
      </c>
      <c r="K107" s="6">
        <v>0.50347222222222221</v>
      </c>
      <c r="L107" t="s">
        <v>142</v>
      </c>
      <c r="M107">
        <v>1000000</v>
      </c>
      <c r="N107" t="s">
        <v>209</v>
      </c>
      <c r="O107" t="s">
        <v>152</v>
      </c>
      <c r="P107">
        <v>69</v>
      </c>
      <c r="Q107" t="s">
        <v>156</v>
      </c>
    </row>
    <row r="108" spans="1:17" x14ac:dyDescent="0.2">
      <c r="A108">
        <v>70020</v>
      </c>
      <c r="B108">
        <v>1811</v>
      </c>
      <c r="C108" s="1" t="s">
        <v>99</v>
      </c>
      <c r="D108" s="10">
        <v>44943.004861111112</v>
      </c>
      <c r="E108" t="s">
        <v>97</v>
      </c>
      <c r="F108" t="s">
        <v>52</v>
      </c>
      <c r="G108">
        <v>7484</v>
      </c>
      <c r="H108" s="5" t="s">
        <v>99</v>
      </c>
      <c r="I108" s="15">
        <v>44943</v>
      </c>
      <c r="J108" s="15" t="s">
        <v>232</v>
      </c>
      <c r="K108" s="6">
        <v>0.50486111111111109</v>
      </c>
      <c r="L108" t="s">
        <v>143</v>
      </c>
      <c r="M108">
        <v>100000</v>
      </c>
      <c r="N108" t="s">
        <v>206</v>
      </c>
      <c r="O108" t="s">
        <v>152</v>
      </c>
      <c r="P108">
        <v>79</v>
      </c>
      <c r="Q108" t="s">
        <v>157</v>
      </c>
    </row>
    <row r="109" spans="1:17" x14ac:dyDescent="0.2">
      <c r="A109">
        <v>71722</v>
      </c>
      <c r="B109">
        <v>1420</v>
      </c>
      <c r="C109" s="1" t="s">
        <v>99</v>
      </c>
      <c r="D109" s="10">
        <v>45184.023611111108</v>
      </c>
      <c r="E109" t="s">
        <v>97</v>
      </c>
      <c r="F109" t="s">
        <v>23</v>
      </c>
      <c r="G109">
        <v>8556</v>
      </c>
      <c r="H109" s="5" t="s">
        <v>99</v>
      </c>
      <c r="I109" s="15">
        <v>45184</v>
      </c>
      <c r="J109" s="15" t="s">
        <v>234</v>
      </c>
      <c r="K109" s="6">
        <v>0.52361111111111114</v>
      </c>
      <c r="L109" t="s">
        <v>142</v>
      </c>
      <c r="M109">
        <v>150000</v>
      </c>
      <c r="N109" t="s">
        <v>213</v>
      </c>
      <c r="O109" t="s">
        <v>151</v>
      </c>
      <c r="P109">
        <v>28</v>
      </c>
      <c r="Q109" t="s">
        <v>156</v>
      </c>
    </row>
    <row r="110" spans="1:17" x14ac:dyDescent="0.2">
      <c r="A110">
        <v>72556</v>
      </c>
      <c r="B110">
        <v>89</v>
      </c>
      <c r="C110" s="1" t="s">
        <v>107</v>
      </c>
      <c r="D110" s="10">
        <v>45120.091666666667</v>
      </c>
      <c r="E110" t="s">
        <v>98</v>
      </c>
      <c r="F110" t="s">
        <v>53</v>
      </c>
      <c r="G110">
        <v>427</v>
      </c>
      <c r="H110" s="5" t="s">
        <v>107</v>
      </c>
      <c r="I110" s="15">
        <v>45120</v>
      </c>
      <c r="J110" s="15" t="s">
        <v>234</v>
      </c>
      <c r="K110" s="6">
        <v>9.166666666666666E-2</v>
      </c>
      <c r="L110" t="s">
        <v>142</v>
      </c>
      <c r="M110">
        <v>100000</v>
      </c>
      <c r="N110" t="s">
        <v>207</v>
      </c>
      <c r="O110" t="s">
        <v>151</v>
      </c>
      <c r="P110">
        <v>33</v>
      </c>
      <c r="Q110" t="s">
        <v>154</v>
      </c>
    </row>
    <row r="111" spans="1:17" x14ac:dyDescent="0.2">
      <c r="A111">
        <v>73057</v>
      </c>
      <c r="B111">
        <v>306</v>
      </c>
      <c r="C111" s="1" t="s">
        <v>113</v>
      </c>
      <c r="D111" s="10">
        <v>45237.038194444445</v>
      </c>
      <c r="E111" t="s">
        <v>97</v>
      </c>
      <c r="F111" t="s">
        <v>54</v>
      </c>
      <c r="G111">
        <v>7936</v>
      </c>
      <c r="H111" s="5" t="s">
        <v>113</v>
      </c>
      <c r="I111" s="15">
        <v>45237</v>
      </c>
      <c r="J111" s="15" t="s">
        <v>295</v>
      </c>
      <c r="K111" s="6">
        <v>0.53819444444444442</v>
      </c>
      <c r="L111" t="s">
        <v>144</v>
      </c>
      <c r="M111">
        <v>100000</v>
      </c>
      <c r="N111" t="s">
        <v>224</v>
      </c>
      <c r="O111" t="s">
        <v>152</v>
      </c>
      <c r="P111">
        <v>20</v>
      </c>
      <c r="Q111" t="s">
        <v>154</v>
      </c>
    </row>
    <row r="112" spans="1:17" x14ac:dyDescent="0.2">
      <c r="A112">
        <v>73293</v>
      </c>
      <c r="B112">
        <v>128</v>
      </c>
      <c r="C112" s="1" t="s">
        <v>99</v>
      </c>
      <c r="D112" s="10">
        <v>45272.057638888888</v>
      </c>
      <c r="E112" t="s">
        <v>97</v>
      </c>
      <c r="F112" t="s">
        <v>20</v>
      </c>
      <c r="G112">
        <v>7868</v>
      </c>
      <c r="H112" s="5" t="s">
        <v>99</v>
      </c>
      <c r="I112" s="15">
        <v>45272</v>
      </c>
      <c r="J112" s="15" t="s">
        <v>295</v>
      </c>
      <c r="K112" s="6">
        <v>5.7638888888888892E-2</v>
      </c>
      <c r="L112" t="s">
        <v>146</v>
      </c>
      <c r="M112">
        <v>150000</v>
      </c>
      <c r="N112" t="s">
        <v>212</v>
      </c>
      <c r="O112" t="s">
        <v>152</v>
      </c>
      <c r="P112">
        <v>55</v>
      </c>
      <c r="Q112" t="s">
        <v>154</v>
      </c>
    </row>
    <row r="113" spans="1:17" x14ac:dyDescent="0.2">
      <c r="A113">
        <v>73642</v>
      </c>
      <c r="B113">
        <v>1519</v>
      </c>
      <c r="C113" s="1" t="s">
        <v>105</v>
      </c>
      <c r="D113" s="10">
        <v>45194.052777777775</v>
      </c>
      <c r="E113" t="s">
        <v>191</v>
      </c>
      <c r="F113" t="s">
        <v>41</v>
      </c>
      <c r="G113">
        <v>3758</v>
      </c>
      <c r="H113" s="5" t="s">
        <v>105</v>
      </c>
      <c r="I113" s="15">
        <v>45194</v>
      </c>
      <c r="J113" s="15" t="s">
        <v>234</v>
      </c>
      <c r="K113" s="6">
        <v>5.2777777777777778E-2</v>
      </c>
      <c r="L113" t="s">
        <v>145</v>
      </c>
      <c r="M113">
        <v>150000</v>
      </c>
      <c r="N113" t="s">
        <v>203</v>
      </c>
      <c r="O113" t="s">
        <v>151</v>
      </c>
      <c r="P113">
        <v>20</v>
      </c>
      <c r="Q113" t="s">
        <v>157</v>
      </c>
    </row>
    <row r="114" spans="1:17" x14ac:dyDescent="0.2">
      <c r="A114">
        <v>73914</v>
      </c>
      <c r="B114">
        <v>1772</v>
      </c>
      <c r="C114" s="1" t="s">
        <v>99</v>
      </c>
      <c r="D114" s="10">
        <v>45100.030555555553</v>
      </c>
      <c r="E114" t="s">
        <v>96</v>
      </c>
      <c r="F114" t="s">
        <v>55</v>
      </c>
      <c r="G114">
        <v>8306</v>
      </c>
      <c r="H114" s="5" t="s">
        <v>99</v>
      </c>
      <c r="I114" s="15">
        <v>45100</v>
      </c>
      <c r="J114" s="15" t="s">
        <v>233</v>
      </c>
      <c r="K114" s="6">
        <v>0.53055555555555556</v>
      </c>
      <c r="L114" t="s">
        <v>144</v>
      </c>
      <c r="M114">
        <v>100000</v>
      </c>
      <c r="N114" t="s">
        <v>219</v>
      </c>
      <c r="O114" t="s">
        <v>151</v>
      </c>
      <c r="P114">
        <v>42</v>
      </c>
      <c r="Q114" t="s">
        <v>157</v>
      </c>
    </row>
    <row r="115" spans="1:17" x14ac:dyDescent="0.2">
      <c r="A115">
        <v>74485</v>
      </c>
      <c r="B115">
        <v>1247</v>
      </c>
      <c r="C115" s="1" t="s">
        <v>99</v>
      </c>
      <c r="D115" s="10">
        <v>45274.013888888891</v>
      </c>
      <c r="E115" t="s">
        <v>97</v>
      </c>
      <c r="F115" t="s">
        <v>56</v>
      </c>
      <c r="G115">
        <v>4523</v>
      </c>
      <c r="H115" s="5" t="s">
        <v>99</v>
      </c>
      <c r="I115" s="15">
        <v>45274</v>
      </c>
      <c r="J115" s="15" t="s">
        <v>295</v>
      </c>
      <c r="K115" s="6">
        <v>0.51388888888888884</v>
      </c>
      <c r="L115" t="s">
        <v>146</v>
      </c>
      <c r="M115">
        <v>50000</v>
      </c>
      <c r="N115" t="s">
        <v>220</v>
      </c>
      <c r="O115" t="s">
        <v>152</v>
      </c>
      <c r="P115">
        <v>24</v>
      </c>
      <c r="Q115" t="s">
        <v>156</v>
      </c>
    </row>
    <row r="116" spans="1:17" x14ac:dyDescent="0.2">
      <c r="A116">
        <v>74526</v>
      </c>
      <c r="B116">
        <v>1489</v>
      </c>
      <c r="C116" s="1" t="s">
        <v>105</v>
      </c>
      <c r="D116" s="10">
        <v>45273.070138888892</v>
      </c>
      <c r="E116" t="s">
        <v>98</v>
      </c>
      <c r="F116" t="s">
        <v>57</v>
      </c>
      <c r="G116">
        <v>1132</v>
      </c>
      <c r="H116" s="5" t="s">
        <v>105</v>
      </c>
      <c r="I116" s="15">
        <v>45273</v>
      </c>
      <c r="J116" s="15" t="s">
        <v>295</v>
      </c>
      <c r="K116" s="6">
        <v>7.013888888888889E-2</v>
      </c>
      <c r="L116" t="s">
        <v>142</v>
      </c>
      <c r="M116">
        <v>50000</v>
      </c>
      <c r="N116" t="s">
        <v>208</v>
      </c>
      <c r="O116" t="s">
        <v>152</v>
      </c>
      <c r="P116">
        <v>46</v>
      </c>
      <c r="Q116" t="s">
        <v>156</v>
      </c>
    </row>
    <row r="117" spans="1:17" x14ac:dyDescent="0.2">
      <c r="A117">
        <v>75315</v>
      </c>
      <c r="B117">
        <v>1291</v>
      </c>
      <c r="C117" s="1" t="s">
        <v>99</v>
      </c>
      <c r="D117" s="10">
        <v>45138.032638888886</v>
      </c>
      <c r="E117" t="s">
        <v>98</v>
      </c>
      <c r="F117" t="s">
        <v>58</v>
      </c>
      <c r="G117">
        <v>7931</v>
      </c>
      <c r="H117" s="5" t="s">
        <v>99</v>
      </c>
      <c r="I117" s="15">
        <v>45138</v>
      </c>
      <c r="J117" s="15" t="s">
        <v>234</v>
      </c>
      <c r="K117" s="6">
        <v>0.53263888888888888</v>
      </c>
      <c r="L117" t="s">
        <v>143</v>
      </c>
      <c r="M117">
        <v>80000</v>
      </c>
      <c r="N117" t="s">
        <v>214</v>
      </c>
      <c r="O117" t="s">
        <v>152</v>
      </c>
      <c r="P117">
        <v>72</v>
      </c>
      <c r="Q117" t="s">
        <v>156</v>
      </c>
    </row>
    <row r="118" spans="1:17" x14ac:dyDescent="0.2">
      <c r="A118">
        <v>75706</v>
      </c>
      <c r="B118">
        <v>737</v>
      </c>
      <c r="C118" s="1" t="s">
        <v>113</v>
      </c>
      <c r="D118" s="10">
        <v>45021.993750000001</v>
      </c>
      <c r="E118" t="s">
        <v>98</v>
      </c>
      <c r="F118" t="s">
        <v>59</v>
      </c>
      <c r="G118">
        <v>989</v>
      </c>
      <c r="H118" s="5" t="s">
        <v>113</v>
      </c>
      <c r="I118" s="15">
        <v>45021</v>
      </c>
      <c r="J118" s="15" t="s">
        <v>233</v>
      </c>
      <c r="K118" s="6">
        <v>0.49375000000000002</v>
      </c>
      <c r="L118" t="s">
        <v>144</v>
      </c>
      <c r="M118">
        <v>80000</v>
      </c>
      <c r="N118" t="s">
        <v>224</v>
      </c>
      <c r="O118" t="s">
        <v>151</v>
      </c>
      <c r="P118">
        <v>42</v>
      </c>
      <c r="Q118" t="s">
        <v>155</v>
      </c>
    </row>
    <row r="119" spans="1:17" x14ac:dyDescent="0.2">
      <c r="A119">
        <v>76181</v>
      </c>
      <c r="B119">
        <v>773</v>
      </c>
      <c r="C119" s="1" t="s">
        <v>99</v>
      </c>
      <c r="D119" s="10">
        <v>45220.033333333333</v>
      </c>
      <c r="E119" t="s">
        <v>191</v>
      </c>
      <c r="F119" t="s">
        <v>4</v>
      </c>
      <c r="G119">
        <v>2221</v>
      </c>
      <c r="H119" s="5" t="s">
        <v>99</v>
      </c>
      <c r="I119" s="15">
        <v>45220</v>
      </c>
      <c r="J119" s="15" t="s">
        <v>295</v>
      </c>
      <c r="K119" s="6">
        <v>0.53333333333333333</v>
      </c>
      <c r="L119" t="s">
        <v>142</v>
      </c>
      <c r="M119">
        <v>200000</v>
      </c>
      <c r="N119" t="s">
        <v>197</v>
      </c>
      <c r="O119" t="s">
        <v>151</v>
      </c>
      <c r="P119">
        <v>77</v>
      </c>
      <c r="Q119" t="s">
        <v>155</v>
      </c>
    </row>
    <row r="120" spans="1:17" x14ac:dyDescent="0.2">
      <c r="A120">
        <v>78613</v>
      </c>
      <c r="B120">
        <v>784</v>
      </c>
      <c r="C120" s="1" t="s">
        <v>99</v>
      </c>
      <c r="D120" s="10">
        <v>44999.001388888886</v>
      </c>
      <c r="E120" t="s">
        <v>191</v>
      </c>
      <c r="F120" t="s">
        <v>47</v>
      </c>
      <c r="G120">
        <v>6104</v>
      </c>
      <c r="H120" s="5" t="s">
        <v>99</v>
      </c>
      <c r="I120" s="15">
        <v>44999</v>
      </c>
      <c r="J120" s="15" t="s">
        <v>232</v>
      </c>
      <c r="K120" s="6">
        <v>0.50138888888888888</v>
      </c>
      <c r="L120" t="s">
        <v>144</v>
      </c>
      <c r="M120">
        <v>100000</v>
      </c>
      <c r="N120" t="s">
        <v>218</v>
      </c>
      <c r="O120" t="s">
        <v>151</v>
      </c>
      <c r="P120">
        <v>38</v>
      </c>
      <c r="Q120" t="s">
        <v>155</v>
      </c>
    </row>
    <row r="121" spans="1:17" x14ac:dyDescent="0.2">
      <c r="A121">
        <v>79407</v>
      </c>
      <c r="B121">
        <v>1784</v>
      </c>
      <c r="C121" s="1" t="s">
        <v>99</v>
      </c>
      <c r="D121" s="10">
        <v>45146.943749999999</v>
      </c>
      <c r="E121" t="s">
        <v>191</v>
      </c>
      <c r="F121" t="s">
        <v>60</v>
      </c>
      <c r="G121">
        <v>8067</v>
      </c>
      <c r="H121" s="5" t="s">
        <v>99</v>
      </c>
      <c r="I121" s="15">
        <v>45146</v>
      </c>
      <c r="J121" s="15" t="s">
        <v>234</v>
      </c>
      <c r="K121" s="6">
        <v>0.44374999999999998</v>
      </c>
      <c r="L121" t="s">
        <v>146</v>
      </c>
      <c r="M121">
        <v>100000</v>
      </c>
      <c r="N121" t="s">
        <v>225</v>
      </c>
      <c r="O121" t="s">
        <v>151</v>
      </c>
      <c r="P121">
        <v>57</v>
      </c>
      <c r="Q121" t="s">
        <v>157</v>
      </c>
    </row>
    <row r="122" spans="1:17" x14ac:dyDescent="0.2">
      <c r="A122">
        <v>80630</v>
      </c>
      <c r="B122">
        <v>748</v>
      </c>
      <c r="C122" s="1" t="s">
        <v>99</v>
      </c>
      <c r="D122" s="10">
        <v>45059.980555555558</v>
      </c>
      <c r="E122" t="s">
        <v>191</v>
      </c>
      <c r="F122" t="s">
        <v>61</v>
      </c>
      <c r="G122">
        <v>62</v>
      </c>
      <c r="H122" s="5" t="s">
        <v>99</v>
      </c>
      <c r="I122" s="15">
        <v>45059</v>
      </c>
      <c r="J122" s="15" t="s">
        <v>233</v>
      </c>
      <c r="K122" s="6">
        <v>0.48055555555555557</v>
      </c>
      <c r="L122" t="s">
        <v>142</v>
      </c>
      <c r="M122">
        <v>80000</v>
      </c>
      <c r="N122" t="s">
        <v>197</v>
      </c>
      <c r="O122" t="s">
        <v>152</v>
      </c>
      <c r="P122">
        <v>40</v>
      </c>
      <c r="Q122" t="s">
        <v>155</v>
      </c>
    </row>
    <row r="123" spans="1:17" x14ac:dyDescent="0.2">
      <c r="A123">
        <v>80707</v>
      </c>
      <c r="B123">
        <v>1993</v>
      </c>
      <c r="C123" s="1" t="s">
        <v>99</v>
      </c>
      <c r="D123" s="10">
        <v>45269.04791666667</v>
      </c>
      <c r="E123" t="s">
        <v>97</v>
      </c>
      <c r="F123" t="s">
        <v>62</v>
      </c>
      <c r="G123">
        <v>2966</v>
      </c>
      <c r="H123" s="5" t="s">
        <v>99</v>
      </c>
      <c r="I123" s="15">
        <v>45269</v>
      </c>
      <c r="J123" s="15" t="s">
        <v>295</v>
      </c>
      <c r="K123" s="6">
        <v>4.791666666666667E-2</v>
      </c>
      <c r="L123" t="s">
        <v>145</v>
      </c>
      <c r="M123">
        <v>100000</v>
      </c>
      <c r="N123" t="s">
        <v>217</v>
      </c>
      <c r="O123" t="s">
        <v>151</v>
      </c>
      <c r="P123">
        <v>61</v>
      </c>
      <c r="Q123" t="s">
        <v>157</v>
      </c>
    </row>
    <row r="124" spans="1:17" x14ac:dyDescent="0.2">
      <c r="A124">
        <v>81061</v>
      </c>
      <c r="B124">
        <v>676</v>
      </c>
      <c r="C124" s="1" t="s">
        <v>113</v>
      </c>
      <c r="D124" s="10">
        <v>45015.019444444442</v>
      </c>
      <c r="E124" t="s">
        <v>98</v>
      </c>
      <c r="F124" t="s">
        <v>33</v>
      </c>
      <c r="G124">
        <v>4219</v>
      </c>
      <c r="H124" s="5" t="s">
        <v>113</v>
      </c>
      <c r="I124" s="15">
        <v>45015</v>
      </c>
      <c r="J124" s="15" t="s">
        <v>232</v>
      </c>
      <c r="K124" s="6">
        <v>0.51944444444444449</v>
      </c>
      <c r="L124" t="s">
        <v>145</v>
      </c>
      <c r="M124">
        <v>100000</v>
      </c>
      <c r="N124" t="s">
        <v>210</v>
      </c>
      <c r="O124" t="s">
        <v>152</v>
      </c>
      <c r="P124">
        <v>74</v>
      </c>
      <c r="Q124" t="s">
        <v>155</v>
      </c>
    </row>
    <row r="125" spans="1:17" x14ac:dyDescent="0.2">
      <c r="A125">
        <v>81431</v>
      </c>
      <c r="B125">
        <v>508</v>
      </c>
      <c r="C125" s="1" t="s">
        <v>110</v>
      </c>
      <c r="D125" s="10">
        <v>45122.027083333334</v>
      </c>
      <c r="E125" t="s">
        <v>97</v>
      </c>
      <c r="F125" t="s">
        <v>63</v>
      </c>
      <c r="G125">
        <v>9101</v>
      </c>
      <c r="H125" s="5" t="s">
        <v>110</v>
      </c>
      <c r="I125" s="15">
        <v>45122</v>
      </c>
      <c r="J125" s="15" t="s">
        <v>234</v>
      </c>
      <c r="K125" s="6">
        <v>0.52708333333333335</v>
      </c>
      <c r="L125" t="s">
        <v>143</v>
      </c>
      <c r="M125">
        <v>100000</v>
      </c>
      <c r="N125" t="s">
        <v>198</v>
      </c>
      <c r="O125" t="s">
        <v>152</v>
      </c>
      <c r="P125">
        <v>65</v>
      </c>
      <c r="Q125" t="s">
        <v>155</v>
      </c>
    </row>
    <row r="126" spans="1:17" x14ac:dyDescent="0.2">
      <c r="A126">
        <v>82314</v>
      </c>
      <c r="B126">
        <v>1242</v>
      </c>
      <c r="C126" s="1" t="s">
        <v>105</v>
      </c>
      <c r="D126" s="10">
        <v>45281.035416666666</v>
      </c>
      <c r="E126" t="s">
        <v>97</v>
      </c>
      <c r="F126" t="s">
        <v>21</v>
      </c>
      <c r="G126">
        <v>9870</v>
      </c>
      <c r="H126" s="5" t="s">
        <v>105</v>
      </c>
      <c r="I126" s="15">
        <v>45281</v>
      </c>
      <c r="J126" s="15" t="s">
        <v>295</v>
      </c>
      <c r="K126" s="6">
        <v>0.53541666666666665</v>
      </c>
      <c r="L126" t="s">
        <v>142</v>
      </c>
      <c r="M126">
        <v>150000</v>
      </c>
      <c r="N126" t="s">
        <v>211</v>
      </c>
      <c r="O126" t="s">
        <v>152</v>
      </c>
      <c r="P126">
        <v>55</v>
      </c>
      <c r="Q126" t="s">
        <v>156</v>
      </c>
    </row>
    <row r="127" spans="1:17" x14ac:dyDescent="0.2">
      <c r="A127">
        <v>82480</v>
      </c>
      <c r="B127">
        <v>1899</v>
      </c>
      <c r="C127" s="1" t="s">
        <v>99</v>
      </c>
      <c r="D127" s="10">
        <v>44968.994444444441</v>
      </c>
      <c r="E127" t="s">
        <v>98</v>
      </c>
      <c r="F127" t="s">
        <v>31</v>
      </c>
      <c r="G127">
        <v>3220</v>
      </c>
      <c r="H127" s="5" t="s">
        <v>99</v>
      </c>
      <c r="I127" s="15">
        <v>44968</v>
      </c>
      <c r="J127" s="15" t="s">
        <v>232</v>
      </c>
      <c r="K127" s="6">
        <v>0.49444444444444446</v>
      </c>
      <c r="L127" t="s">
        <v>143</v>
      </c>
      <c r="M127">
        <v>80000</v>
      </c>
      <c r="N127" t="s">
        <v>204</v>
      </c>
      <c r="O127" t="s">
        <v>152</v>
      </c>
      <c r="P127">
        <v>63</v>
      </c>
      <c r="Q127" t="s">
        <v>157</v>
      </c>
    </row>
    <row r="128" spans="1:17" x14ac:dyDescent="0.2">
      <c r="A128">
        <v>82755</v>
      </c>
      <c r="B128">
        <v>689</v>
      </c>
      <c r="C128" s="1" t="s">
        <v>100</v>
      </c>
      <c r="D128" s="10">
        <v>45232.054861111108</v>
      </c>
      <c r="E128" t="s">
        <v>97</v>
      </c>
      <c r="F128" t="s">
        <v>27</v>
      </c>
      <c r="G128">
        <v>5551</v>
      </c>
      <c r="H128" s="5" t="s">
        <v>100</v>
      </c>
      <c r="I128" s="15">
        <v>45232</v>
      </c>
      <c r="J128" s="15" t="s">
        <v>295</v>
      </c>
      <c r="K128" s="6">
        <v>5.486111111111111E-2</v>
      </c>
      <c r="L128" t="s">
        <v>142</v>
      </c>
      <c r="M128">
        <v>1000000</v>
      </c>
      <c r="N128" t="s">
        <v>209</v>
      </c>
      <c r="O128" t="s">
        <v>152</v>
      </c>
      <c r="P128">
        <v>41</v>
      </c>
      <c r="Q128" t="s">
        <v>155</v>
      </c>
    </row>
    <row r="129" spans="1:17" x14ac:dyDescent="0.2">
      <c r="A129">
        <v>83365</v>
      </c>
      <c r="B129">
        <v>829</v>
      </c>
      <c r="C129" s="1" t="s">
        <v>99</v>
      </c>
      <c r="D129" s="10">
        <v>45051.998611111114</v>
      </c>
      <c r="E129" t="s">
        <v>191</v>
      </c>
      <c r="F129" t="s">
        <v>5</v>
      </c>
      <c r="G129">
        <v>7937</v>
      </c>
      <c r="H129" s="5" t="s">
        <v>99</v>
      </c>
      <c r="I129" s="15">
        <v>45051</v>
      </c>
      <c r="J129" s="15" t="s">
        <v>233</v>
      </c>
      <c r="K129" s="6">
        <v>0.49861111111111112</v>
      </c>
      <c r="L129" t="s">
        <v>143</v>
      </c>
      <c r="M129">
        <v>200000</v>
      </c>
      <c r="N129" t="s">
        <v>198</v>
      </c>
      <c r="O129" t="s">
        <v>152</v>
      </c>
      <c r="P129">
        <v>65</v>
      </c>
      <c r="Q129" t="s">
        <v>155</v>
      </c>
    </row>
    <row r="130" spans="1:17" x14ac:dyDescent="0.2">
      <c r="A130">
        <v>83818</v>
      </c>
      <c r="B130">
        <v>827</v>
      </c>
      <c r="C130" s="1" t="s">
        <v>106</v>
      </c>
      <c r="D130" s="10">
        <v>45033.027777777781</v>
      </c>
      <c r="E130" t="s">
        <v>97</v>
      </c>
      <c r="F130" t="s">
        <v>64</v>
      </c>
      <c r="G130">
        <v>7643</v>
      </c>
      <c r="H130" s="5" t="s">
        <v>106</v>
      </c>
      <c r="I130" s="15">
        <v>45033</v>
      </c>
      <c r="J130" s="15" t="s">
        <v>233</v>
      </c>
      <c r="K130" s="6">
        <v>0.52777777777777779</v>
      </c>
      <c r="L130" t="s">
        <v>143</v>
      </c>
      <c r="M130">
        <v>100000</v>
      </c>
      <c r="N130" t="s">
        <v>223</v>
      </c>
      <c r="O130" t="s">
        <v>151</v>
      </c>
      <c r="P130">
        <v>40</v>
      </c>
      <c r="Q130" t="s">
        <v>155</v>
      </c>
    </row>
    <row r="131" spans="1:17" x14ac:dyDescent="0.2">
      <c r="A131">
        <v>84351</v>
      </c>
      <c r="B131">
        <v>1331</v>
      </c>
      <c r="C131" s="1" t="s">
        <v>99</v>
      </c>
      <c r="D131" s="10">
        <v>45035.009027777778</v>
      </c>
      <c r="E131" t="s">
        <v>191</v>
      </c>
      <c r="F131" t="s">
        <v>8</v>
      </c>
      <c r="G131">
        <v>4824</v>
      </c>
      <c r="H131" s="5" t="s">
        <v>99</v>
      </c>
      <c r="I131" s="15">
        <v>45035</v>
      </c>
      <c r="J131" s="15" t="s">
        <v>233</v>
      </c>
      <c r="K131" s="6">
        <v>0.50902777777777775</v>
      </c>
      <c r="L131" t="s">
        <v>142</v>
      </c>
      <c r="M131">
        <v>200000</v>
      </c>
      <c r="N131" t="s">
        <v>201</v>
      </c>
      <c r="O131" t="s">
        <v>152</v>
      </c>
      <c r="P131">
        <v>84</v>
      </c>
      <c r="Q131" t="s">
        <v>156</v>
      </c>
    </row>
    <row r="132" spans="1:17" x14ac:dyDescent="0.2">
      <c r="A132">
        <v>85001</v>
      </c>
      <c r="B132">
        <v>266</v>
      </c>
      <c r="C132" s="1" t="s">
        <v>99</v>
      </c>
      <c r="D132" s="10">
        <v>45242.047222222223</v>
      </c>
      <c r="E132" t="s">
        <v>191</v>
      </c>
      <c r="F132" t="s">
        <v>6</v>
      </c>
      <c r="G132">
        <v>9796</v>
      </c>
      <c r="H132" s="5" t="s">
        <v>99</v>
      </c>
      <c r="I132" s="15">
        <v>45242</v>
      </c>
      <c r="J132" s="15" t="s">
        <v>295</v>
      </c>
      <c r="K132" s="6">
        <v>4.7222222222222221E-2</v>
      </c>
      <c r="L132" t="s">
        <v>144</v>
      </c>
      <c r="M132">
        <v>100000</v>
      </c>
      <c r="N132" t="s">
        <v>199</v>
      </c>
      <c r="O132" t="s">
        <v>152</v>
      </c>
      <c r="P132">
        <v>37</v>
      </c>
      <c r="Q132" t="s">
        <v>154</v>
      </c>
    </row>
    <row r="133" spans="1:17" x14ac:dyDescent="0.2">
      <c r="A133">
        <v>85142</v>
      </c>
      <c r="B133">
        <v>1794</v>
      </c>
      <c r="C133" s="1" t="s">
        <v>101</v>
      </c>
      <c r="D133" s="10">
        <v>44976.094444444447</v>
      </c>
      <c r="E133" t="s">
        <v>98</v>
      </c>
      <c r="F133" t="s">
        <v>65</v>
      </c>
      <c r="G133">
        <v>1569</v>
      </c>
      <c r="H133" s="5" t="s">
        <v>101</v>
      </c>
      <c r="I133" s="15">
        <v>44976</v>
      </c>
      <c r="J133" s="15" t="s">
        <v>232</v>
      </c>
      <c r="K133" s="6">
        <v>9.4444444444444442E-2</v>
      </c>
      <c r="L133" t="s">
        <v>146</v>
      </c>
      <c r="M133">
        <v>200000</v>
      </c>
      <c r="N133" t="s">
        <v>225</v>
      </c>
      <c r="O133" t="s">
        <v>151</v>
      </c>
      <c r="P133">
        <v>41</v>
      </c>
      <c r="Q133" t="s">
        <v>157</v>
      </c>
    </row>
    <row r="134" spans="1:17" x14ac:dyDescent="0.2">
      <c r="A134">
        <v>85195</v>
      </c>
      <c r="B134">
        <v>1954</v>
      </c>
      <c r="C134" s="1" t="s">
        <v>102</v>
      </c>
      <c r="D134" s="10">
        <v>45226.981944444444</v>
      </c>
      <c r="E134" t="s">
        <v>191</v>
      </c>
      <c r="F134" t="s">
        <v>62</v>
      </c>
      <c r="G134">
        <v>1860</v>
      </c>
      <c r="H134" s="5" t="s">
        <v>102</v>
      </c>
      <c r="I134" s="15">
        <v>45226</v>
      </c>
      <c r="J134" s="15" t="s">
        <v>295</v>
      </c>
      <c r="K134" s="6">
        <v>0.48194444444444445</v>
      </c>
      <c r="L134" t="s">
        <v>145</v>
      </c>
      <c r="M134">
        <v>100000</v>
      </c>
      <c r="N134" t="s">
        <v>217</v>
      </c>
      <c r="O134" t="s">
        <v>152</v>
      </c>
      <c r="P134">
        <v>55</v>
      </c>
      <c r="Q134" t="s">
        <v>157</v>
      </c>
    </row>
    <row r="135" spans="1:17" x14ac:dyDescent="0.2">
      <c r="A135">
        <v>85703</v>
      </c>
      <c r="B135">
        <v>142</v>
      </c>
      <c r="C135" s="1" t="s">
        <v>113</v>
      </c>
      <c r="D135" s="10">
        <v>44931.990972222222</v>
      </c>
      <c r="E135" t="s">
        <v>97</v>
      </c>
      <c r="F135" t="s">
        <v>21</v>
      </c>
      <c r="G135">
        <v>3427</v>
      </c>
      <c r="H135" s="5" t="s">
        <v>113</v>
      </c>
      <c r="I135" s="15">
        <v>44931</v>
      </c>
      <c r="J135" s="15" t="s">
        <v>232</v>
      </c>
      <c r="K135" s="6">
        <v>0.4909722222222222</v>
      </c>
      <c r="L135" t="s">
        <v>142</v>
      </c>
      <c r="M135">
        <v>150000</v>
      </c>
      <c r="N135" t="s">
        <v>211</v>
      </c>
      <c r="O135" t="s">
        <v>151</v>
      </c>
      <c r="P135">
        <v>77</v>
      </c>
      <c r="Q135" t="s">
        <v>154</v>
      </c>
    </row>
    <row r="136" spans="1:17" x14ac:dyDescent="0.2">
      <c r="A136">
        <v>85897</v>
      </c>
      <c r="B136">
        <v>948</v>
      </c>
      <c r="C136" s="1" t="s">
        <v>102</v>
      </c>
      <c r="D136" s="10">
        <v>44955.98541666667</v>
      </c>
      <c r="E136" t="s">
        <v>98</v>
      </c>
      <c r="F136" t="s">
        <v>66</v>
      </c>
      <c r="G136">
        <v>4650</v>
      </c>
      <c r="H136" s="5" t="s">
        <v>102</v>
      </c>
      <c r="I136" s="15">
        <v>44955</v>
      </c>
      <c r="J136" s="15" t="s">
        <v>232</v>
      </c>
      <c r="K136" s="6">
        <v>0.48541666666666666</v>
      </c>
      <c r="L136" t="s">
        <v>144</v>
      </c>
      <c r="M136">
        <v>150000</v>
      </c>
      <c r="N136" t="s">
        <v>224</v>
      </c>
      <c r="O136" t="s">
        <v>151</v>
      </c>
      <c r="P136">
        <v>27</v>
      </c>
      <c r="Q136" t="s">
        <v>155</v>
      </c>
    </row>
    <row r="137" spans="1:17" x14ac:dyDescent="0.2">
      <c r="A137">
        <v>86258</v>
      </c>
      <c r="B137">
        <v>726</v>
      </c>
      <c r="C137" s="1" t="s">
        <v>99</v>
      </c>
      <c r="D137" s="10">
        <v>45253.078472222223</v>
      </c>
      <c r="E137" t="s">
        <v>97</v>
      </c>
      <c r="F137" t="s">
        <v>29</v>
      </c>
      <c r="G137">
        <v>6129</v>
      </c>
      <c r="H137" s="5" t="s">
        <v>99</v>
      </c>
      <c r="I137" s="15">
        <v>45253</v>
      </c>
      <c r="J137" s="15" t="s">
        <v>295</v>
      </c>
      <c r="K137" s="6">
        <v>7.8472222222222221E-2</v>
      </c>
      <c r="L137" t="s">
        <v>143</v>
      </c>
      <c r="M137">
        <v>150000</v>
      </c>
      <c r="N137" t="s">
        <v>214</v>
      </c>
      <c r="O137" t="s">
        <v>151</v>
      </c>
      <c r="P137">
        <v>73</v>
      </c>
      <c r="Q137" t="s">
        <v>155</v>
      </c>
    </row>
    <row r="138" spans="1:17" x14ac:dyDescent="0.2">
      <c r="A138">
        <v>88069</v>
      </c>
      <c r="B138">
        <v>61</v>
      </c>
      <c r="C138" s="1" t="s">
        <v>105</v>
      </c>
      <c r="D138" s="10">
        <v>44952.061805555553</v>
      </c>
      <c r="E138" t="s">
        <v>96</v>
      </c>
      <c r="F138" t="s">
        <v>9</v>
      </c>
      <c r="G138">
        <v>8410</v>
      </c>
      <c r="H138" s="5" t="s">
        <v>105</v>
      </c>
      <c r="I138" s="15">
        <v>44952</v>
      </c>
      <c r="J138" s="15" t="s">
        <v>232</v>
      </c>
      <c r="K138" s="6">
        <v>6.1805555555555558E-2</v>
      </c>
      <c r="L138" t="s">
        <v>144</v>
      </c>
      <c r="M138">
        <v>150000</v>
      </c>
      <c r="N138" t="s">
        <v>202</v>
      </c>
      <c r="O138" t="s">
        <v>152</v>
      </c>
      <c r="P138">
        <v>47</v>
      </c>
      <c r="Q138" t="s">
        <v>154</v>
      </c>
    </row>
    <row r="139" spans="1:17" x14ac:dyDescent="0.2">
      <c r="A139">
        <v>88156</v>
      </c>
      <c r="B139">
        <v>719</v>
      </c>
      <c r="C139" s="1" t="s">
        <v>103</v>
      </c>
      <c r="D139" s="10">
        <v>45274.046527777777</v>
      </c>
      <c r="E139" t="s">
        <v>96</v>
      </c>
      <c r="F139" t="s">
        <v>30</v>
      </c>
      <c r="G139">
        <v>9836</v>
      </c>
      <c r="H139" s="5" t="s">
        <v>103</v>
      </c>
      <c r="I139" s="15">
        <v>45274</v>
      </c>
      <c r="J139" s="15" t="s">
        <v>295</v>
      </c>
      <c r="K139" s="6">
        <v>4.6527777777777779E-2</v>
      </c>
      <c r="L139" t="s">
        <v>144</v>
      </c>
      <c r="M139">
        <v>200000</v>
      </c>
      <c r="N139" t="s">
        <v>216</v>
      </c>
      <c r="O139" t="s">
        <v>151</v>
      </c>
      <c r="P139">
        <v>29</v>
      </c>
      <c r="Q139" t="s">
        <v>155</v>
      </c>
    </row>
    <row r="140" spans="1:17" x14ac:dyDescent="0.2">
      <c r="A140">
        <v>89811</v>
      </c>
      <c r="B140">
        <v>1007</v>
      </c>
      <c r="C140" s="1" t="s">
        <v>99</v>
      </c>
      <c r="D140" s="10">
        <v>45137.986111111109</v>
      </c>
      <c r="E140" t="s">
        <v>98</v>
      </c>
      <c r="F140" t="s">
        <v>67</v>
      </c>
      <c r="G140">
        <v>3761</v>
      </c>
      <c r="H140" s="5" t="s">
        <v>99</v>
      </c>
      <c r="I140" s="15">
        <v>45137</v>
      </c>
      <c r="J140" s="15" t="s">
        <v>234</v>
      </c>
      <c r="K140" s="6">
        <v>0.4861111111111111</v>
      </c>
      <c r="L140" t="s">
        <v>142</v>
      </c>
      <c r="M140">
        <v>100000</v>
      </c>
      <c r="N140" t="s">
        <v>213</v>
      </c>
      <c r="O140" t="s">
        <v>152</v>
      </c>
      <c r="P140">
        <v>62</v>
      </c>
      <c r="Q140" t="s">
        <v>156</v>
      </c>
    </row>
    <row r="141" spans="1:17" x14ac:dyDescent="0.2">
      <c r="A141">
        <v>89864</v>
      </c>
      <c r="B141">
        <v>1150</v>
      </c>
      <c r="C141" s="1" t="s">
        <v>99</v>
      </c>
      <c r="D141" s="10">
        <v>45215.07708333333</v>
      </c>
      <c r="E141" t="s">
        <v>96</v>
      </c>
      <c r="F141" t="s">
        <v>53</v>
      </c>
      <c r="G141">
        <v>8022</v>
      </c>
      <c r="H141" s="5" t="s">
        <v>99</v>
      </c>
      <c r="I141" s="15">
        <v>45215</v>
      </c>
      <c r="J141" s="15" t="s">
        <v>295</v>
      </c>
      <c r="K141" s="6">
        <v>7.7083333333333337E-2</v>
      </c>
      <c r="L141" t="s">
        <v>142</v>
      </c>
      <c r="M141">
        <v>100000</v>
      </c>
      <c r="N141" t="s">
        <v>207</v>
      </c>
      <c r="O141" t="s">
        <v>151</v>
      </c>
      <c r="P141">
        <v>77</v>
      </c>
      <c r="Q141" t="s">
        <v>156</v>
      </c>
    </row>
    <row r="142" spans="1:17" x14ac:dyDescent="0.2">
      <c r="A142">
        <v>92317</v>
      </c>
      <c r="B142">
        <v>820</v>
      </c>
      <c r="C142" s="1" t="s">
        <v>107</v>
      </c>
      <c r="D142" s="10">
        <v>44967.05972222222</v>
      </c>
      <c r="E142" t="s">
        <v>98</v>
      </c>
      <c r="F142" t="s">
        <v>33</v>
      </c>
      <c r="G142">
        <v>6790</v>
      </c>
      <c r="H142" s="5" t="s">
        <v>107</v>
      </c>
      <c r="I142" s="15">
        <v>44967</v>
      </c>
      <c r="J142" s="15" t="s">
        <v>232</v>
      </c>
      <c r="K142" s="6">
        <v>5.9722222222222225E-2</v>
      </c>
      <c r="L142" t="s">
        <v>145</v>
      </c>
      <c r="M142">
        <v>100000</v>
      </c>
      <c r="N142" t="s">
        <v>210</v>
      </c>
      <c r="O142" t="s">
        <v>151</v>
      </c>
      <c r="P142">
        <v>29</v>
      </c>
      <c r="Q142" t="s">
        <v>155</v>
      </c>
    </row>
    <row r="143" spans="1:17" x14ac:dyDescent="0.2">
      <c r="A143">
        <v>93408</v>
      </c>
      <c r="B143">
        <v>1804</v>
      </c>
      <c r="C143" s="1" t="s">
        <v>101</v>
      </c>
      <c r="D143" s="10">
        <v>45235.95416666667</v>
      </c>
      <c r="E143" t="s">
        <v>97</v>
      </c>
      <c r="F143" t="s">
        <v>34</v>
      </c>
      <c r="G143">
        <v>6323</v>
      </c>
      <c r="H143" s="5" t="s">
        <v>101</v>
      </c>
      <c r="I143" s="15">
        <v>45235</v>
      </c>
      <c r="J143" s="15" t="s">
        <v>295</v>
      </c>
      <c r="K143" s="6">
        <v>0.45416666666666666</v>
      </c>
      <c r="L143" t="s">
        <v>144</v>
      </c>
      <c r="M143">
        <v>150000</v>
      </c>
      <c r="N143" t="s">
        <v>218</v>
      </c>
      <c r="O143" t="s">
        <v>152</v>
      </c>
      <c r="P143">
        <v>81</v>
      </c>
      <c r="Q143" t="s">
        <v>157</v>
      </c>
    </row>
    <row r="144" spans="1:17" x14ac:dyDescent="0.2">
      <c r="A144">
        <v>94344</v>
      </c>
      <c r="B144">
        <v>1122</v>
      </c>
      <c r="C144" s="1" t="s">
        <v>109</v>
      </c>
      <c r="D144" s="10">
        <v>44999.03402777778</v>
      </c>
      <c r="E144" t="s">
        <v>191</v>
      </c>
      <c r="F144" t="s">
        <v>68</v>
      </c>
      <c r="G144">
        <v>5649</v>
      </c>
      <c r="H144" s="5" t="s">
        <v>109</v>
      </c>
      <c r="I144" s="15">
        <v>44999</v>
      </c>
      <c r="J144" s="15" t="s">
        <v>232</v>
      </c>
      <c r="K144" s="6">
        <v>0.53402777777777777</v>
      </c>
      <c r="L144" t="s">
        <v>144</v>
      </c>
      <c r="M144">
        <v>100000</v>
      </c>
      <c r="N144" t="s">
        <v>200</v>
      </c>
      <c r="O144" t="s">
        <v>151</v>
      </c>
      <c r="P144">
        <v>33</v>
      </c>
      <c r="Q144" t="s">
        <v>156</v>
      </c>
    </row>
    <row r="145" spans="1:17" x14ac:dyDescent="0.2">
      <c r="A145">
        <v>94709</v>
      </c>
      <c r="B145">
        <v>991</v>
      </c>
      <c r="C145" s="1" t="s">
        <v>99</v>
      </c>
      <c r="D145" s="10">
        <v>45061.941666666666</v>
      </c>
      <c r="E145" t="s">
        <v>98</v>
      </c>
      <c r="F145" t="s">
        <v>69</v>
      </c>
      <c r="G145">
        <v>1850</v>
      </c>
      <c r="H145" s="5" t="s">
        <v>99</v>
      </c>
      <c r="I145" s="15">
        <v>45061</v>
      </c>
      <c r="J145" s="15" t="s">
        <v>233</v>
      </c>
      <c r="K145" s="6">
        <v>0.44166666666666665</v>
      </c>
      <c r="L145" t="s">
        <v>146</v>
      </c>
      <c r="M145">
        <v>250000</v>
      </c>
      <c r="N145" t="s">
        <v>225</v>
      </c>
      <c r="O145" t="s">
        <v>152</v>
      </c>
      <c r="P145">
        <v>55</v>
      </c>
      <c r="Q145" t="s">
        <v>155</v>
      </c>
    </row>
    <row r="146" spans="1:17" x14ac:dyDescent="0.2">
      <c r="A146">
        <v>95054</v>
      </c>
      <c r="B146">
        <v>1666</v>
      </c>
      <c r="C146" s="1" t="s">
        <v>105</v>
      </c>
      <c r="D146" s="10">
        <v>45087.027777777781</v>
      </c>
      <c r="E146" t="s">
        <v>96</v>
      </c>
      <c r="F146" t="s">
        <v>43</v>
      </c>
      <c r="G146">
        <v>2320</v>
      </c>
      <c r="H146" s="5" t="s">
        <v>105</v>
      </c>
      <c r="I146" s="15">
        <v>45087</v>
      </c>
      <c r="J146" s="15" t="s">
        <v>233</v>
      </c>
      <c r="K146" s="6">
        <v>0.52777777777777779</v>
      </c>
      <c r="L146" t="s">
        <v>145</v>
      </c>
      <c r="M146">
        <v>1000000</v>
      </c>
      <c r="N146" t="s">
        <v>203</v>
      </c>
      <c r="O146" t="s">
        <v>152</v>
      </c>
      <c r="P146">
        <v>21</v>
      </c>
      <c r="Q146" t="s">
        <v>157</v>
      </c>
    </row>
    <row r="147" spans="1:17" x14ac:dyDescent="0.2">
      <c r="A147">
        <v>95500</v>
      </c>
      <c r="B147">
        <v>158</v>
      </c>
      <c r="C147" s="1" t="s">
        <v>99</v>
      </c>
      <c r="D147" s="10">
        <v>45010.035416666666</v>
      </c>
      <c r="E147" t="s">
        <v>191</v>
      </c>
      <c r="F147" t="s">
        <v>38</v>
      </c>
      <c r="G147">
        <v>7674</v>
      </c>
      <c r="H147" s="5" t="s">
        <v>99</v>
      </c>
      <c r="I147" s="15">
        <v>45010</v>
      </c>
      <c r="J147" s="15" t="s">
        <v>232</v>
      </c>
      <c r="K147" s="6">
        <v>0.53541666666666665</v>
      </c>
      <c r="L147" t="s">
        <v>143</v>
      </c>
      <c r="M147">
        <v>100000</v>
      </c>
      <c r="N147" t="s">
        <v>221</v>
      </c>
      <c r="O147" t="s">
        <v>152</v>
      </c>
      <c r="P147">
        <v>41</v>
      </c>
      <c r="Q147" t="s">
        <v>154</v>
      </c>
    </row>
    <row r="148" spans="1:17" x14ac:dyDescent="0.2">
      <c r="A148">
        <v>95657</v>
      </c>
      <c r="B148">
        <v>985</v>
      </c>
      <c r="C148" s="1" t="s">
        <v>99</v>
      </c>
      <c r="D148" s="10">
        <v>45058.986111111109</v>
      </c>
      <c r="E148" t="s">
        <v>96</v>
      </c>
      <c r="F148" t="s">
        <v>69</v>
      </c>
      <c r="G148">
        <v>8990</v>
      </c>
      <c r="H148" s="5" t="s">
        <v>99</v>
      </c>
      <c r="I148" s="15">
        <v>45058</v>
      </c>
      <c r="J148" s="15" t="s">
        <v>233</v>
      </c>
      <c r="K148" s="6">
        <v>0.4861111111111111</v>
      </c>
      <c r="L148" t="s">
        <v>146</v>
      </c>
      <c r="M148">
        <v>250000</v>
      </c>
      <c r="N148" t="s">
        <v>225</v>
      </c>
      <c r="O148" t="s">
        <v>151</v>
      </c>
      <c r="P148">
        <v>69</v>
      </c>
      <c r="Q148" t="s">
        <v>155</v>
      </c>
    </row>
    <row r="149" spans="1:17" x14ac:dyDescent="0.2">
      <c r="A149">
        <v>98453</v>
      </c>
      <c r="B149">
        <v>1169</v>
      </c>
      <c r="C149" s="1" t="s">
        <v>100</v>
      </c>
      <c r="D149" s="10">
        <v>45045.006944444445</v>
      </c>
      <c r="E149" t="s">
        <v>191</v>
      </c>
      <c r="F149" t="s">
        <v>24</v>
      </c>
      <c r="G149">
        <v>2261</v>
      </c>
      <c r="H149" s="5" t="s">
        <v>100</v>
      </c>
      <c r="I149" s="15">
        <v>45045</v>
      </c>
      <c r="J149" s="15" t="s">
        <v>233</v>
      </c>
      <c r="K149" s="6">
        <v>0.50694444444444442</v>
      </c>
      <c r="L149" t="s">
        <v>143</v>
      </c>
      <c r="M149">
        <v>200000</v>
      </c>
      <c r="N149" t="s">
        <v>214</v>
      </c>
      <c r="O149" t="s">
        <v>151</v>
      </c>
      <c r="P149">
        <v>26</v>
      </c>
      <c r="Q149" t="s">
        <v>156</v>
      </c>
    </row>
    <row r="150" spans="1:17" x14ac:dyDescent="0.2">
      <c r="A150">
        <v>98856</v>
      </c>
      <c r="B150">
        <v>129</v>
      </c>
      <c r="C150" s="1" t="s">
        <v>99</v>
      </c>
      <c r="D150" s="10">
        <v>45239.006944444445</v>
      </c>
      <c r="E150" t="s">
        <v>98</v>
      </c>
      <c r="F150" t="s">
        <v>22</v>
      </c>
      <c r="G150">
        <v>7750</v>
      </c>
      <c r="H150" s="5" t="s">
        <v>99</v>
      </c>
      <c r="I150" s="15">
        <v>45239</v>
      </c>
      <c r="J150" s="15" t="s">
        <v>295</v>
      </c>
      <c r="K150" s="6">
        <v>0.50694444444444442</v>
      </c>
      <c r="L150" t="s">
        <v>144</v>
      </c>
      <c r="M150">
        <v>100000</v>
      </c>
      <c r="N150" t="s">
        <v>202</v>
      </c>
      <c r="O150" t="s">
        <v>152</v>
      </c>
      <c r="P150">
        <v>21</v>
      </c>
      <c r="Q150" t="s">
        <v>154</v>
      </c>
    </row>
    <row r="151" spans="1:17" x14ac:dyDescent="0.2">
      <c r="A151">
        <v>98968</v>
      </c>
      <c r="B151">
        <v>215</v>
      </c>
      <c r="C151" s="1" t="s">
        <v>99</v>
      </c>
      <c r="D151" s="10">
        <v>44949.009027777778</v>
      </c>
      <c r="E151" t="s">
        <v>97</v>
      </c>
      <c r="F151" t="s">
        <v>41</v>
      </c>
      <c r="G151">
        <v>2161</v>
      </c>
      <c r="H151" s="5" t="s">
        <v>99</v>
      </c>
      <c r="I151" s="15">
        <v>44949</v>
      </c>
      <c r="J151" s="15" t="s">
        <v>232</v>
      </c>
      <c r="K151" s="6">
        <v>0.50902777777777775</v>
      </c>
      <c r="L151" t="s">
        <v>145</v>
      </c>
      <c r="M151">
        <v>150000</v>
      </c>
      <c r="N151" t="s">
        <v>203</v>
      </c>
      <c r="O151" t="s">
        <v>151</v>
      </c>
      <c r="P151">
        <v>60</v>
      </c>
      <c r="Q151" t="s">
        <v>154</v>
      </c>
    </row>
    <row r="152" spans="1:17" x14ac:dyDescent="0.2">
      <c r="A152">
        <v>99495</v>
      </c>
      <c r="B152">
        <v>1957</v>
      </c>
      <c r="C152" s="1" t="s">
        <v>99</v>
      </c>
      <c r="D152" s="10">
        <v>45001.979861111111</v>
      </c>
      <c r="E152" t="s">
        <v>98</v>
      </c>
      <c r="F152" t="s">
        <v>19</v>
      </c>
      <c r="G152">
        <v>1403</v>
      </c>
      <c r="H152" s="5" t="s">
        <v>99</v>
      </c>
      <c r="I152" s="15">
        <v>45001</v>
      </c>
      <c r="J152" s="15" t="s">
        <v>232</v>
      </c>
      <c r="K152" s="6">
        <v>0.47986111111111113</v>
      </c>
      <c r="L152" t="s">
        <v>142</v>
      </c>
      <c r="M152">
        <v>150000</v>
      </c>
      <c r="N152" t="s">
        <v>211</v>
      </c>
      <c r="O152" t="s">
        <v>152</v>
      </c>
      <c r="P152">
        <v>42</v>
      </c>
      <c r="Q152" t="s">
        <v>157</v>
      </c>
    </row>
    <row r="153" spans="1:17" x14ac:dyDescent="0.2">
      <c r="A153">
        <v>101471</v>
      </c>
      <c r="B153">
        <v>584</v>
      </c>
      <c r="C153" s="1" t="s">
        <v>99</v>
      </c>
      <c r="D153" s="10">
        <v>45255.05</v>
      </c>
      <c r="E153" t="s">
        <v>96</v>
      </c>
      <c r="F153" t="s">
        <v>35</v>
      </c>
      <c r="G153">
        <v>9105</v>
      </c>
      <c r="H153" s="5" t="s">
        <v>99</v>
      </c>
      <c r="I153" s="15">
        <v>45255</v>
      </c>
      <c r="J153" s="15" t="s">
        <v>295</v>
      </c>
      <c r="K153" s="6">
        <v>0.05</v>
      </c>
      <c r="L153" t="s">
        <v>144</v>
      </c>
      <c r="M153">
        <v>100000</v>
      </c>
      <c r="N153" t="s">
        <v>219</v>
      </c>
      <c r="O153" t="s">
        <v>152</v>
      </c>
      <c r="P153">
        <v>70</v>
      </c>
      <c r="Q153" t="s">
        <v>155</v>
      </c>
    </row>
    <row r="154" spans="1:17" x14ac:dyDescent="0.2">
      <c r="A154">
        <v>101807</v>
      </c>
      <c r="B154">
        <v>1181</v>
      </c>
      <c r="C154" s="1" t="s">
        <v>106</v>
      </c>
      <c r="D154" s="10">
        <v>45232.018750000003</v>
      </c>
      <c r="E154" t="s">
        <v>191</v>
      </c>
      <c r="F154" t="s">
        <v>44</v>
      </c>
      <c r="G154">
        <v>3541</v>
      </c>
      <c r="H154" s="5" t="s">
        <v>106</v>
      </c>
      <c r="I154" s="15">
        <v>45232</v>
      </c>
      <c r="J154" s="15" t="s">
        <v>295</v>
      </c>
      <c r="K154" s="6">
        <v>0.51875000000000004</v>
      </c>
      <c r="L154" t="s">
        <v>144</v>
      </c>
      <c r="M154">
        <v>150000</v>
      </c>
      <c r="N154" t="s">
        <v>199</v>
      </c>
      <c r="O154" t="s">
        <v>152</v>
      </c>
      <c r="P154">
        <v>68</v>
      </c>
      <c r="Q154" t="s">
        <v>156</v>
      </c>
    </row>
    <row r="155" spans="1:17" x14ac:dyDescent="0.2">
      <c r="A155">
        <v>101815</v>
      </c>
      <c r="B155">
        <v>520</v>
      </c>
      <c r="C155" s="1" t="s">
        <v>105</v>
      </c>
      <c r="D155" s="10">
        <v>45187.067361111112</v>
      </c>
      <c r="E155" t="s">
        <v>191</v>
      </c>
      <c r="F155" t="s">
        <v>28</v>
      </c>
      <c r="G155">
        <v>5420</v>
      </c>
      <c r="H155" s="5" t="s">
        <v>105</v>
      </c>
      <c r="I155" s="15">
        <v>45187</v>
      </c>
      <c r="J155" s="15" t="s">
        <v>234</v>
      </c>
      <c r="K155" s="6">
        <v>6.7361111111111108E-2</v>
      </c>
      <c r="L155" t="s">
        <v>143</v>
      </c>
      <c r="M155">
        <v>100000</v>
      </c>
      <c r="N155" t="s">
        <v>215</v>
      </c>
      <c r="O155" t="s">
        <v>151</v>
      </c>
      <c r="P155">
        <v>81</v>
      </c>
      <c r="Q155" t="s">
        <v>155</v>
      </c>
    </row>
    <row r="156" spans="1:17" x14ac:dyDescent="0.2">
      <c r="A156">
        <v>102053</v>
      </c>
      <c r="B156">
        <v>1739</v>
      </c>
      <c r="C156" s="1" t="s">
        <v>105</v>
      </c>
      <c r="D156" s="10">
        <v>45155.97152777778</v>
      </c>
      <c r="E156" t="s">
        <v>96</v>
      </c>
      <c r="F156" t="s">
        <v>14</v>
      </c>
      <c r="G156">
        <v>3746</v>
      </c>
      <c r="H156" s="5" t="s">
        <v>105</v>
      </c>
      <c r="I156" s="15">
        <v>45155</v>
      </c>
      <c r="J156" s="15" t="s">
        <v>234</v>
      </c>
      <c r="K156" s="6">
        <v>0.47152777777777777</v>
      </c>
      <c r="L156" t="s">
        <v>142</v>
      </c>
      <c r="M156">
        <v>250000</v>
      </c>
      <c r="N156" t="s">
        <v>207</v>
      </c>
      <c r="O156" t="s">
        <v>152</v>
      </c>
      <c r="P156">
        <v>44</v>
      </c>
      <c r="Q156" t="s">
        <v>157</v>
      </c>
    </row>
    <row r="157" spans="1:17" x14ac:dyDescent="0.2">
      <c r="A157">
        <v>102252</v>
      </c>
      <c r="B157">
        <v>1812</v>
      </c>
      <c r="C157" s="1" t="s">
        <v>105</v>
      </c>
      <c r="D157" s="10">
        <v>45238.015972222223</v>
      </c>
      <c r="E157" t="s">
        <v>97</v>
      </c>
      <c r="F157" t="s">
        <v>43</v>
      </c>
      <c r="G157">
        <v>2944</v>
      </c>
      <c r="H157" s="5" t="s">
        <v>105</v>
      </c>
      <c r="I157" s="15">
        <v>45238</v>
      </c>
      <c r="J157" s="15" t="s">
        <v>295</v>
      </c>
      <c r="K157" s="6">
        <v>0.51597222222222228</v>
      </c>
      <c r="L157" t="s">
        <v>145</v>
      </c>
      <c r="M157">
        <v>1000000</v>
      </c>
      <c r="N157" t="s">
        <v>203</v>
      </c>
      <c r="O157" t="s">
        <v>151</v>
      </c>
      <c r="P157">
        <v>49</v>
      </c>
      <c r="Q157" t="s">
        <v>157</v>
      </c>
    </row>
    <row r="158" spans="1:17" x14ac:dyDescent="0.2">
      <c r="A158">
        <v>102931</v>
      </c>
      <c r="B158">
        <v>1185</v>
      </c>
      <c r="C158" s="1" t="s">
        <v>101</v>
      </c>
      <c r="D158" s="10">
        <v>45092.956250000003</v>
      </c>
      <c r="E158" t="s">
        <v>191</v>
      </c>
      <c r="F158" t="s">
        <v>46</v>
      </c>
      <c r="G158">
        <v>3433</v>
      </c>
      <c r="H158" s="5" t="s">
        <v>101</v>
      </c>
      <c r="I158" s="15">
        <v>45092</v>
      </c>
      <c r="J158" s="15" t="s">
        <v>233</v>
      </c>
      <c r="K158" s="6">
        <v>0.45624999999999999</v>
      </c>
      <c r="L158" t="s">
        <v>142</v>
      </c>
      <c r="M158">
        <v>200000</v>
      </c>
      <c r="N158" t="s">
        <v>211</v>
      </c>
      <c r="O158" t="s">
        <v>152</v>
      </c>
      <c r="P158">
        <v>34</v>
      </c>
      <c r="Q158" t="s">
        <v>156</v>
      </c>
    </row>
    <row r="159" spans="1:17" x14ac:dyDescent="0.2">
      <c r="A159">
        <v>103462</v>
      </c>
      <c r="B159">
        <v>1280</v>
      </c>
      <c r="C159" s="1" t="s">
        <v>99</v>
      </c>
      <c r="D159" s="10">
        <v>45212.024305555555</v>
      </c>
      <c r="E159" t="s">
        <v>191</v>
      </c>
      <c r="F159" t="s">
        <v>8</v>
      </c>
      <c r="G159">
        <v>9693</v>
      </c>
      <c r="H159" s="5" t="s">
        <v>99</v>
      </c>
      <c r="I159" s="15">
        <v>45212</v>
      </c>
      <c r="J159" s="15" t="s">
        <v>295</v>
      </c>
      <c r="K159" s="6">
        <v>0.52430555555555558</v>
      </c>
      <c r="L159" t="s">
        <v>142</v>
      </c>
      <c r="M159">
        <v>200000</v>
      </c>
      <c r="N159" t="s">
        <v>201</v>
      </c>
      <c r="O159" t="s">
        <v>151</v>
      </c>
      <c r="P159">
        <v>69</v>
      </c>
      <c r="Q159" t="s">
        <v>156</v>
      </c>
    </row>
    <row r="160" spans="1:17" x14ac:dyDescent="0.2">
      <c r="A160">
        <v>103711</v>
      </c>
      <c r="B160">
        <v>1972</v>
      </c>
      <c r="C160" s="1" t="s">
        <v>99</v>
      </c>
      <c r="D160" s="10">
        <v>45091.03125</v>
      </c>
      <c r="E160" t="s">
        <v>98</v>
      </c>
      <c r="F160" t="s">
        <v>46</v>
      </c>
      <c r="G160">
        <v>9524</v>
      </c>
      <c r="H160" s="5" t="s">
        <v>99</v>
      </c>
      <c r="I160" s="15">
        <v>45091</v>
      </c>
      <c r="J160" s="15" t="s">
        <v>233</v>
      </c>
      <c r="K160" s="6">
        <v>0.53125</v>
      </c>
      <c r="L160" t="s">
        <v>142</v>
      </c>
      <c r="M160">
        <v>200000</v>
      </c>
      <c r="N160" t="s">
        <v>211</v>
      </c>
      <c r="O160" t="s">
        <v>151</v>
      </c>
      <c r="P160">
        <v>37</v>
      </c>
      <c r="Q160" t="s">
        <v>157</v>
      </c>
    </row>
    <row r="161" spans="1:17" x14ac:dyDescent="0.2">
      <c r="A161">
        <v>103812</v>
      </c>
      <c r="B161">
        <v>1047</v>
      </c>
      <c r="C161" s="1" t="s">
        <v>107</v>
      </c>
      <c r="D161" s="10">
        <v>45273.020833333336</v>
      </c>
      <c r="E161" t="s">
        <v>98</v>
      </c>
      <c r="F161" t="s">
        <v>47</v>
      </c>
      <c r="G161">
        <v>3954</v>
      </c>
      <c r="H161" s="5" t="s">
        <v>107</v>
      </c>
      <c r="I161" s="15">
        <v>45273</v>
      </c>
      <c r="J161" s="15" t="s">
        <v>295</v>
      </c>
      <c r="K161" s="6">
        <v>0.52083333333333337</v>
      </c>
      <c r="L161" t="s">
        <v>144</v>
      </c>
      <c r="M161">
        <v>100000</v>
      </c>
      <c r="N161" t="s">
        <v>218</v>
      </c>
      <c r="O161" t="s">
        <v>152</v>
      </c>
      <c r="P161">
        <v>20</v>
      </c>
      <c r="Q161" t="s">
        <v>156</v>
      </c>
    </row>
    <row r="162" spans="1:17" x14ac:dyDescent="0.2">
      <c r="A162">
        <v>104755</v>
      </c>
      <c r="B162">
        <v>1663</v>
      </c>
      <c r="C162" s="1" t="s">
        <v>104</v>
      </c>
      <c r="D162" s="10">
        <v>45066.029861111114</v>
      </c>
      <c r="E162" t="s">
        <v>96</v>
      </c>
      <c r="F162" t="s">
        <v>18</v>
      </c>
      <c r="G162">
        <v>4423</v>
      </c>
      <c r="H162" s="5" t="s">
        <v>104</v>
      </c>
      <c r="I162" s="15">
        <v>45066</v>
      </c>
      <c r="J162" s="15" t="s">
        <v>233</v>
      </c>
      <c r="K162" s="6">
        <v>0.52986111111111112</v>
      </c>
      <c r="L162" t="s">
        <v>145</v>
      </c>
      <c r="M162">
        <v>200000</v>
      </c>
      <c r="N162" t="s">
        <v>210</v>
      </c>
      <c r="O162" t="s">
        <v>152</v>
      </c>
      <c r="P162">
        <v>60</v>
      </c>
      <c r="Q162" t="s">
        <v>157</v>
      </c>
    </row>
    <row r="163" spans="1:17" x14ac:dyDescent="0.2">
      <c r="A163">
        <v>105735</v>
      </c>
      <c r="B163">
        <v>1793</v>
      </c>
      <c r="C163" s="1" t="s">
        <v>100</v>
      </c>
      <c r="D163" s="10">
        <v>45254.07708333333</v>
      </c>
      <c r="E163" t="s">
        <v>97</v>
      </c>
      <c r="F163" t="s">
        <v>70</v>
      </c>
      <c r="G163">
        <v>5861</v>
      </c>
      <c r="H163" s="5" t="s">
        <v>100</v>
      </c>
      <c r="I163" s="15">
        <v>45254</v>
      </c>
      <c r="J163" s="15" t="s">
        <v>295</v>
      </c>
      <c r="K163" s="6">
        <v>7.7083333333333337E-2</v>
      </c>
      <c r="L163" t="s">
        <v>143</v>
      </c>
      <c r="M163">
        <v>100000</v>
      </c>
      <c r="N163" t="s">
        <v>205</v>
      </c>
      <c r="O163" t="s">
        <v>152</v>
      </c>
      <c r="P163">
        <v>66</v>
      </c>
      <c r="Q163" t="s">
        <v>157</v>
      </c>
    </row>
    <row r="164" spans="1:17" x14ac:dyDescent="0.2">
      <c r="A164">
        <v>106294</v>
      </c>
      <c r="B164">
        <v>1011</v>
      </c>
      <c r="C164" s="1" t="s">
        <v>100</v>
      </c>
      <c r="D164" s="10">
        <v>45020.957638888889</v>
      </c>
      <c r="E164" t="s">
        <v>191</v>
      </c>
      <c r="F164" t="s">
        <v>71</v>
      </c>
      <c r="G164">
        <v>4430</v>
      </c>
      <c r="H164" s="5" t="s">
        <v>100</v>
      </c>
      <c r="I164" s="15">
        <v>45020</v>
      </c>
      <c r="J164" s="15" t="s">
        <v>233</v>
      </c>
      <c r="K164" s="6">
        <v>0.45763888888888887</v>
      </c>
      <c r="L164" t="s">
        <v>145</v>
      </c>
      <c r="M164">
        <v>150000</v>
      </c>
      <c r="N164" t="s">
        <v>226</v>
      </c>
      <c r="O164" t="s">
        <v>151</v>
      </c>
      <c r="P164">
        <v>20</v>
      </c>
      <c r="Q164" t="s">
        <v>156</v>
      </c>
    </row>
    <row r="165" spans="1:17" x14ac:dyDescent="0.2">
      <c r="A165">
        <v>106529</v>
      </c>
      <c r="B165">
        <v>723</v>
      </c>
      <c r="C165" s="1" t="s">
        <v>108</v>
      </c>
      <c r="D165" s="10">
        <v>44953.000694444447</v>
      </c>
      <c r="E165" t="s">
        <v>96</v>
      </c>
      <c r="F165" t="s">
        <v>43</v>
      </c>
      <c r="G165">
        <v>6130</v>
      </c>
      <c r="H165" s="5" t="s">
        <v>108</v>
      </c>
      <c r="I165" s="15">
        <v>44953</v>
      </c>
      <c r="J165" s="15" t="s">
        <v>232</v>
      </c>
      <c r="K165" s="6">
        <v>0.50069444444444444</v>
      </c>
      <c r="L165" t="s">
        <v>145</v>
      </c>
      <c r="M165">
        <v>1000000</v>
      </c>
      <c r="N165" t="s">
        <v>203</v>
      </c>
      <c r="O165" t="s">
        <v>152</v>
      </c>
      <c r="P165">
        <v>80</v>
      </c>
      <c r="Q165" t="s">
        <v>155</v>
      </c>
    </row>
    <row r="166" spans="1:17" x14ac:dyDescent="0.2">
      <c r="A166">
        <v>108586</v>
      </c>
      <c r="B166">
        <v>1584</v>
      </c>
      <c r="C166" s="1" t="s">
        <v>99</v>
      </c>
      <c r="D166" s="10">
        <v>45019.101388888892</v>
      </c>
      <c r="E166" t="s">
        <v>96</v>
      </c>
      <c r="F166" t="s">
        <v>45</v>
      </c>
      <c r="G166">
        <v>4335</v>
      </c>
      <c r="H166" s="5" t="s">
        <v>99</v>
      </c>
      <c r="I166" s="15">
        <v>45019</v>
      </c>
      <c r="J166" s="15" t="s">
        <v>233</v>
      </c>
      <c r="K166" s="6">
        <v>0.10138888888888889</v>
      </c>
      <c r="L166" t="s">
        <v>142</v>
      </c>
      <c r="M166">
        <v>100000</v>
      </c>
      <c r="N166" t="s">
        <v>197</v>
      </c>
      <c r="O166" t="s">
        <v>152</v>
      </c>
      <c r="P166">
        <v>30</v>
      </c>
      <c r="Q166" t="s">
        <v>157</v>
      </c>
    </row>
    <row r="167" spans="1:17" x14ac:dyDescent="0.2">
      <c r="A167">
        <v>109103</v>
      </c>
      <c r="B167">
        <v>856</v>
      </c>
      <c r="C167" s="1" t="s">
        <v>99</v>
      </c>
      <c r="D167" s="10">
        <v>44986.978472222225</v>
      </c>
      <c r="E167" t="s">
        <v>97</v>
      </c>
      <c r="F167" t="s">
        <v>8</v>
      </c>
      <c r="G167">
        <v>936</v>
      </c>
      <c r="H167" s="5" t="s">
        <v>99</v>
      </c>
      <c r="I167" s="15">
        <v>44986</v>
      </c>
      <c r="J167" s="15" t="s">
        <v>232</v>
      </c>
      <c r="K167" s="6">
        <v>0.47847222222222224</v>
      </c>
      <c r="L167" t="s">
        <v>142</v>
      </c>
      <c r="M167">
        <v>200000</v>
      </c>
      <c r="N167" t="s">
        <v>201</v>
      </c>
      <c r="O167" t="s">
        <v>151</v>
      </c>
      <c r="P167">
        <v>59</v>
      </c>
      <c r="Q167" t="s">
        <v>155</v>
      </c>
    </row>
    <row r="168" spans="1:17" x14ac:dyDescent="0.2">
      <c r="A168">
        <v>109547</v>
      </c>
      <c r="B168">
        <v>1223</v>
      </c>
      <c r="C168" s="1" t="s">
        <v>99</v>
      </c>
      <c r="D168" s="10">
        <v>44965.006944444445</v>
      </c>
      <c r="E168" t="s">
        <v>97</v>
      </c>
      <c r="F168" t="s">
        <v>46</v>
      </c>
      <c r="G168">
        <v>719</v>
      </c>
      <c r="H168" s="5" t="s">
        <v>99</v>
      </c>
      <c r="I168" s="15">
        <v>44965</v>
      </c>
      <c r="J168" s="15" t="s">
        <v>232</v>
      </c>
      <c r="K168" s="6">
        <v>0.50694444444444442</v>
      </c>
      <c r="L168" t="s">
        <v>142</v>
      </c>
      <c r="M168">
        <v>200000</v>
      </c>
      <c r="N168" t="s">
        <v>211</v>
      </c>
      <c r="O168" t="s">
        <v>151</v>
      </c>
      <c r="P168">
        <v>63</v>
      </c>
      <c r="Q168" t="s">
        <v>156</v>
      </c>
    </row>
    <row r="169" spans="1:17" x14ac:dyDescent="0.2">
      <c r="A169">
        <v>110341</v>
      </c>
      <c r="B169">
        <v>1628</v>
      </c>
      <c r="C169" s="1" t="s">
        <v>99</v>
      </c>
      <c r="D169" s="10">
        <v>45045.038194444445</v>
      </c>
      <c r="E169" t="s">
        <v>98</v>
      </c>
      <c r="F169" t="s">
        <v>11</v>
      </c>
      <c r="G169">
        <v>1411</v>
      </c>
      <c r="H169" s="5" t="s">
        <v>99</v>
      </c>
      <c r="I169" s="15">
        <v>45045</v>
      </c>
      <c r="J169" s="15" t="s">
        <v>233</v>
      </c>
      <c r="K169" s="6">
        <v>0.53819444444444442</v>
      </c>
      <c r="L169" t="s">
        <v>143</v>
      </c>
      <c r="M169">
        <v>150000</v>
      </c>
      <c r="N169" t="s">
        <v>204</v>
      </c>
      <c r="O169" t="s">
        <v>152</v>
      </c>
      <c r="P169">
        <v>79</v>
      </c>
      <c r="Q169" t="s">
        <v>157</v>
      </c>
    </row>
    <row r="170" spans="1:17" x14ac:dyDescent="0.2">
      <c r="A170">
        <v>111992</v>
      </c>
      <c r="B170">
        <v>1515</v>
      </c>
      <c r="C170" s="1" t="s">
        <v>99</v>
      </c>
      <c r="D170" s="10">
        <v>45011.959722222222</v>
      </c>
      <c r="E170" t="s">
        <v>97</v>
      </c>
      <c r="F170" t="s">
        <v>72</v>
      </c>
      <c r="G170">
        <v>9312</v>
      </c>
      <c r="H170" s="5" t="s">
        <v>99</v>
      </c>
      <c r="I170" s="15">
        <v>45011</v>
      </c>
      <c r="J170" s="15" t="s">
        <v>232</v>
      </c>
      <c r="K170" s="6">
        <v>0.4597222222222222</v>
      </c>
      <c r="L170" t="s">
        <v>143</v>
      </c>
      <c r="M170">
        <v>150000</v>
      </c>
      <c r="N170" t="s">
        <v>223</v>
      </c>
      <c r="O170" t="s">
        <v>151</v>
      </c>
      <c r="P170">
        <v>54</v>
      </c>
      <c r="Q170" t="s">
        <v>157</v>
      </c>
    </row>
    <row r="171" spans="1:17" x14ac:dyDescent="0.2">
      <c r="A171">
        <v>112219</v>
      </c>
      <c r="B171">
        <v>1857</v>
      </c>
      <c r="C171" s="1" t="s">
        <v>100</v>
      </c>
      <c r="D171" s="10">
        <v>45065.963194444441</v>
      </c>
      <c r="E171" t="s">
        <v>191</v>
      </c>
      <c r="F171" t="s">
        <v>27</v>
      </c>
      <c r="G171">
        <v>7425</v>
      </c>
      <c r="H171" s="5" t="s">
        <v>100</v>
      </c>
      <c r="I171" s="15">
        <v>45065</v>
      </c>
      <c r="J171" s="15" t="s">
        <v>233</v>
      </c>
      <c r="K171" s="6">
        <v>0.46319444444444446</v>
      </c>
      <c r="L171" t="s">
        <v>142</v>
      </c>
      <c r="M171">
        <v>1000000</v>
      </c>
      <c r="N171" t="s">
        <v>209</v>
      </c>
      <c r="O171" t="s">
        <v>152</v>
      </c>
      <c r="P171">
        <v>75</v>
      </c>
      <c r="Q171" t="s">
        <v>157</v>
      </c>
    </row>
    <row r="172" spans="1:17" x14ac:dyDescent="0.2">
      <c r="A172">
        <v>112565</v>
      </c>
      <c r="B172">
        <v>1485</v>
      </c>
      <c r="C172" s="1" t="s">
        <v>105</v>
      </c>
      <c r="D172" s="10">
        <v>45041.01666666667</v>
      </c>
      <c r="E172" t="s">
        <v>98</v>
      </c>
      <c r="F172" t="s">
        <v>13</v>
      </c>
      <c r="G172">
        <v>6159</v>
      </c>
      <c r="H172" s="5" t="s">
        <v>105</v>
      </c>
      <c r="I172" s="15">
        <v>45041</v>
      </c>
      <c r="J172" s="15" t="s">
        <v>233</v>
      </c>
      <c r="K172" s="6">
        <v>0.51666666666666672</v>
      </c>
      <c r="L172" t="s">
        <v>143</v>
      </c>
      <c r="M172">
        <v>150000</v>
      </c>
      <c r="N172" t="s">
        <v>206</v>
      </c>
      <c r="O172" t="s">
        <v>152</v>
      </c>
      <c r="P172">
        <v>38</v>
      </c>
      <c r="Q172" t="s">
        <v>156</v>
      </c>
    </row>
    <row r="173" spans="1:17" x14ac:dyDescent="0.2">
      <c r="A173">
        <v>112919</v>
      </c>
      <c r="B173">
        <v>1262</v>
      </c>
      <c r="C173" s="1" t="s">
        <v>99</v>
      </c>
      <c r="D173" s="10">
        <v>45141.006249999999</v>
      </c>
      <c r="E173" t="s">
        <v>96</v>
      </c>
      <c r="F173" t="s">
        <v>73</v>
      </c>
      <c r="G173">
        <v>3155</v>
      </c>
      <c r="H173" s="5" t="s">
        <v>99</v>
      </c>
      <c r="I173" s="15">
        <v>45141</v>
      </c>
      <c r="J173" s="15" t="s">
        <v>234</v>
      </c>
      <c r="K173" s="6">
        <v>0.50624999999999998</v>
      </c>
      <c r="L173" t="s">
        <v>146</v>
      </c>
      <c r="M173">
        <v>150000</v>
      </c>
      <c r="N173" t="s">
        <v>222</v>
      </c>
      <c r="O173" t="s">
        <v>151</v>
      </c>
      <c r="P173">
        <v>41</v>
      </c>
      <c r="Q173" t="s">
        <v>156</v>
      </c>
    </row>
    <row r="174" spans="1:17" x14ac:dyDescent="0.2">
      <c r="A174">
        <v>113132</v>
      </c>
      <c r="B174">
        <v>211</v>
      </c>
      <c r="C174" s="1" t="s">
        <v>100</v>
      </c>
      <c r="D174" s="10">
        <v>45266.997916666667</v>
      </c>
      <c r="E174" t="s">
        <v>191</v>
      </c>
      <c r="F174" t="s">
        <v>52</v>
      </c>
      <c r="G174">
        <v>2270</v>
      </c>
      <c r="H174" s="5" t="s">
        <v>100</v>
      </c>
      <c r="I174" s="15">
        <v>45266</v>
      </c>
      <c r="J174" s="15" t="s">
        <v>295</v>
      </c>
      <c r="K174" s="6">
        <v>0.49791666666666667</v>
      </c>
      <c r="L174" t="s">
        <v>143</v>
      </c>
      <c r="M174">
        <v>100000</v>
      </c>
      <c r="N174" t="s">
        <v>206</v>
      </c>
      <c r="O174" t="s">
        <v>152</v>
      </c>
      <c r="P174">
        <v>79</v>
      </c>
      <c r="Q174" t="s">
        <v>154</v>
      </c>
    </row>
    <row r="175" spans="1:17" x14ac:dyDescent="0.2">
      <c r="A175">
        <v>113406</v>
      </c>
      <c r="B175">
        <v>1911</v>
      </c>
      <c r="C175" s="1" t="s">
        <v>101</v>
      </c>
      <c r="D175" s="10">
        <v>44987.074999999997</v>
      </c>
      <c r="E175" t="s">
        <v>96</v>
      </c>
      <c r="F175" t="s">
        <v>26</v>
      </c>
      <c r="G175">
        <v>2500</v>
      </c>
      <c r="H175" s="5" t="s">
        <v>101</v>
      </c>
      <c r="I175" s="15">
        <v>44987</v>
      </c>
      <c r="J175" s="15" t="s">
        <v>232</v>
      </c>
      <c r="K175" s="6">
        <v>7.4999999999999997E-2</v>
      </c>
      <c r="L175" t="s">
        <v>145</v>
      </c>
      <c r="M175">
        <v>100000</v>
      </c>
      <c r="N175" t="s">
        <v>210</v>
      </c>
      <c r="O175" t="s">
        <v>152</v>
      </c>
      <c r="P175">
        <v>78</v>
      </c>
      <c r="Q175" t="s">
        <v>157</v>
      </c>
    </row>
    <row r="176" spans="1:17" x14ac:dyDescent="0.2">
      <c r="A176">
        <v>114309</v>
      </c>
      <c r="B176">
        <v>139</v>
      </c>
      <c r="C176" s="1" t="s">
        <v>99</v>
      </c>
      <c r="D176" s="10">
        <v>45102.070833333331</v>
      </c>
      <c r="E176" t="s">
        <v>96</v>
      </c>
      <c r="F176" t="s">
        <v>74</v>
      </c>
      <c r="G176">
        <v>5868</v>
      </c>
      <c r="H176" s="5" t="s">
        <v>99</v>
      </c>
      <c r="I176" s="15">
        <v>45102</v>
      </c>
      <c r="J176" s="15" t="s">
        <v>233</v>
      </c>
      <c r="K176" s="6">
        <v>7.0833333333333331E-2</v>
      </c>
      <c r="L176" t="s">
        <v>145</v>
      </c>
      <c r="M176">
        <v>150000</v>
      </c>
      <c r="N176" t="s">
        <v>226</v>
      </c>
      <c r="O176" t="s">
        <v>152</v>
      </c>
      <c r="P176">
        <v>75</v>
      </c>
      <c r="Q176" t="s">
        <v>154</v>
      </c>
    </row>
    <row r="177" spans="1:17" x14ac:dyDescent="0.2">
      <c r="A177">
        <v>114621</v>
      </c>
      <c r="B177">
        <v>501</v>
      </c>
      <c r="C177" s="1" t="s">
        <v>105</v>
      </c>
      <c r="D177" s="10">
        <v>45283.993750000001</v>
      </c>
      <c r="E177" t="s">
        <v>191</v>
      </c>
      <c r="F177" t="s">
        <v>75</v>
      </c>
      <c r="G177">
        <v>3842</v>
      </c>
      <c r="H177" s="5" t="s">
        <v>105</v>
      </c>
      <c r="I177" s="15">
        <v>45283</v>
      </c>
      <c r="J177" s="15" t="s">
        <v>295</v>
      </c>
      <c r="K177" s="6">
        <v>0.49375000000000002</v>
      </c>
      <c r="L177" t="s">
        <v>143</v>
      </c>
      <c r="M177">
        <v>50000</v>
      </c>
      <c r="N177" t="s">
        <v>205</v>
      </c>
      <c r="O177" t="s">
        <v>152</v>
      </c>
      <c r="P177">
        <v>45</v>
      </c>
      <c r="Q177" t="s">
        <v>155</v>
      </c>
    </row>
    <row r="178" spans="1:17" x14ac:dyDescent="0.2">
      <c r="A178">
        <v>115590</v>
      </c>
      <c r="B178">
        <v>517</v>
      </c>
      <c r="C178" s="1" t="s">
        <v>101</v>
      </c>
      <c r="D178" s="10">
        <v>44959.994444444441</v>
      </c>
      <c r="E178" t="s">
        <v>96</v>
      </c>
      <c r="F178" t="s">
        <v>73</v>
      </c>
      <c r="G178">
        <v>9953</v>
      </c>
      <c r="H178" s="5" t="s">
        <v>101</v>
      </c>
      <c r="I178" s="15">
        <v>44959</v>
      </c>
      <c r="J178" s="15" t="s">
        <v>232</v>
      </c>
      <c r="K178" s="6">
        <v>0.49444444444444446</v>
      </c>
      <c r="L178" t="s">
        <v>146</v>
      </c>
      <c r="M178">
        <v>150000</v>
      </c>
      <c r="N178" t="s">
        <v>222</v>
      </c>
      <c r="O178" t="s">
        <v>152</v>
      </c>
      <c r="P178">
        <v>77</v>
      </c>
      <c r="Q178" t="s">
        <v>155</v>
      </c>
    </row>
    <row r="179" spans="1:17" x14ac:dyDescent="0.2">
      <c r="A179">
        <v>116342</v>
      </c>
      <c r="B179">
        <v>1210</v>
      </c>
      <c r="C179" s="1" t="s">
        <v>105</v>
      </c>
      <c r="D179" s="10">
        <v>45277.040277777778</v>
      </c>
      <c r="E179" t="s">
        <v>96</v>
      </c>
      <c r="F179" t="s">
        <v>76</v>
      </c>
      <c r="G179">
        <v>2323</v>
      </c>
      <c r="H179" s="5" t="s">
        <v>105</v>
      </c>
      <c r="I179" s="15">
        <v>45277</v>
      </c>
      <c r="J179" s="15" t="s">
        <v>295</v>
      </c>
      <c r="K179" s="6">
        <v>0.54027777777777775</v>
      </c>
      <c r="L179" t="s">
        <v>142</v>
      </c>
      <c r="M179">
        <v>80000</v>
      </c>
      <c r="N179" t="s">
        <v>201</v>
      </c>
      <c r="O179" t="s">
        <v>151</v>
      </c>
      <c r="P179">
        <v>88</v>
      </c>
      <c r="Q179" t="s">
        <v>156</v>
      </c>
    </row>
    <row r="180" spans="1:17" x14ac:dyDescent="0.2">
      <c r="A180">
        <v>118335</v>
      </c>
      <c r="B180">
        <v>1715</v>
      </c>
      <c r="C180" s="1" t="s">
        <v>99</v>
      </c>
      <c r="D180" s="10">
        <v>45194.007638888892</v>
      </c>
      <c r="E180" t="s">
        <v>96</v>
      </c>
      <c r="F180" t="s">
        <v>72</v>
      </c>
      <c r="G180">
        <v>477</v>
      </c>
      <c r="H180" s="5" t="s">
        <v>99</v>
      </c>
      <c r="I180" s="15">
        <v>45194</v>
      </c>
      <c r="J180" s="15" t="s">
        <v>234</v>
      </c>
      <c r="K180" s="6">
        <v>0.50763888888888886</v>
      </c>
      <c r="L180" t="s">
        <v>143</v>
      </c>
      <c r="M180">
        <v>150000</v>
      </c>
      <c r="N180" t="s">
        <v>223</v>
      </c>
      <c r="O180" t="s">
        <v>151</v>
      </c>
      <c r="P180">
        <v>41</v>
      </c>
      <c r="Q180" t="s">
        <v>157</v>
      </c>
    </row>
    <row r="181" spans="1:17" x14ac:dyDescent="0.2">
      <c r="A181">
        <v>118716</v>
      </c>
      <c r="B181">
        <v>1599</v>
      </c>
      <c r="C181" s="1" t="s">
        <v>99</v>
      </c>
      <c r="D181" s="10">
        <v>45275.006944444445</v>
      </c>
      <c r="E181" t="s">
        <v>96</v>
      </c>
      <c r="F181" t="s">
        <v>28</v>
      </c>
      <c r="G181">
        <v>4765</v>
      </c>
      <c r="H181" s="5" t="s">
        <v>99</v>
      </c>
      <c r="I181" s="15">
        <v>45275</v>
      </c>
      <c r="J181" s="15" t="s">
        <v>295</v>
      </c>
      <c r="K181" s="6">
        <v>0.50694444444444442</v>
      </c>
      <c r="L181" t="s">
        <v>143</v>
      </c>
      <c r="M181">
        <v>100000</v>
      </c>
      <c r="N181" t="s">
        <v>215</v>
      </c>
      <c r="O181" t="s">
        <v>151</v>
      </c>
      <c r="P181">
        <v>81</v>
      </c>
      <c r="Q181" t="s">
        <v>157</v>
      </c>
    </row>
    <row r="182" spans="1:17" x14ac:dyDescent="0.2">
      <c r="A182">
        <v>118960</v>
      </c>
      <c r="B182">
        <v>1265</v>
      </c>
      <c r="C182" s="1" t="s">
        <v>99</v>
      </c>
      <c r="D182" s="10">
        <v>45004.018750000003</v>
      </c>
      <c r="E182" t="s">
        <v>98</v>
      </c>
      <c r="F182" t="s">
        <v>4</v>
      </c>
      <c r="G182">
        <v>3942</v>
      </c>
      <c r="H182" s="5" t="s">
        <v>99</v>
      </c>
      <c r="I182" s="15">
        <v>45004</v>
      </c>
      <c r="J182" s="15" t="s">
        <v>232</v>
      </c>
      <c r="K182" s="6">
        <v>0.51875000000000004</v>
      </c>
      <c r="L182" t="s">
        <v>142</v>
      </c>
      <c r="M182">
        <v>200000</v>
      </c>
      <c r="N182" t="s">
        <v>197</v>
      </c>
      <c r="O182" t="s">
        <v>151</v>
      </c>
      <c r="P182">
        <v>72</v>
      </c>
      <c r="Q182" t="s">
        <v>156</v>
      </c>
    </row>
    <row r="183" spans="1:17" x14ac:dyDescent="0.2">
      <c r="A183">
        <v>120228</v>
      </c>
      <c r="B183">
        <v>1795</v>
      </c>
      <c r="C183" s="1" t="s">
        <v>100</v>
      </c>
      <c r="D183" s="10">
        <v>45049.063888888886</v>
      </c>
      <c r="E183" t="s">
        <v>191</v>
      </c>
      <c r="F183" t="s">
        <v>23</v>
      </c>
      <c r="G183">
        <v>5864</v>
      </c>
      <c r="H183" s="5" t="s">
        <v>100</v>
      </c>
      <c r="I183" s="15">
        <v>45049</v>
      </c>
      <c r="J183" s="15" t="s">
        <v>233</v>
      </c>
      <c r="K183" s="6">
        <v>6.3888888888888884E-2</v>
      </c>
      <c r="L183" t="s">
        <v>142</v>
      </c>
      <c r="M183">
        <v>150000</v>
      </c>
      <c r="N183" t="s">
        <v>213</v>
      </c>
      <c r="O183" t="s">
        <v>151</v>
      </c>
      <c r="P183">
        <v>53</v>
      </c>
      <c r="Q183" t="s">
        <v>157</v>
      </c>
    </row>
    <row r="184" spans="1:17" x14ac:dyDescent="0.2">
      <c r="A184">
        <v>120567</v>
      </c>
      <c r="B184">
        <v>1523</v>
      </c>
      <c r="C184" s="1" t="s">
        <v>105</v>
      </c>
      <c r="D184" s="10">
        <v>45107.981249999997</v>
      </c>
      <c r="E184" t="s">
        <v>191</v>
      </c>
      <c r="F184" t="s">
        <v>77</v>
      </c>
      <c r="G184">
        <v>1876</v>
      </c>
      <c r="H184" s="5" t="s">
        <v>105</v>
      </c>
      <c r="I184" s="15">
        <v>45107</v>
      </c>
      <c r="J184" s="15" t="s">
        <v>233</v>
      </c>
      <c r="K184" s="6">
        <v>0.48125000000000001</v>
      </c>
      <c r="L184" t="s">
        <v>146</v>
      </c>
      <c r="M184">
        <v>100000</v>
      </c>
      <c r="N184" t="s">
        <v>222</v>
      </c>
      <c r="O184" t="s">
        <v>151</v>
      </c>
      <c r="P184">
        <v>50</v>
      </c>
      <c r="Q184" t="s">
        <v>157</v>
      </c>
    </row>
    <row r="185" spans="1:17" x14ac:dyDescent="0.2">
      <c r="A185">
        <v>122068</v>
      </c>
      <c r="B185">
        <v>624</v>
      </c>
      <c r="C185" s="1" t="s">
        <v>101</v>
      </c>
      <c r="D185" s="10">
        <v>45200.071527777778</v>
      </c>
      <c r="E185" t="s">
        <v>96</v>
      </c>
      <c r="F185" t="s">
        <v>18</v>
      </c>
      <c r="G185">
        <v>3030</v>
      </c>
      <c r="H185" s="5" t="s">
        <v>101</v>
      </c>
      <c r="I185" s="15">
        <v>45200</v>
      </c>
      <c r="J185" s="15" t="s">
        <v>295</v>
      </c>
      <c r="K185" s="6">
        <v>7.1527777777777773E-2</v>
      </c>
      <c r="L185" t="s">
        <v>145</v>
      </c>
      <c r="M185">
        <v>200000</v>
      </c>
      <c r="N185" t="s">
        <v>210</v>
      </c>
      <c r="O185" t="s">
        <v>151</v>
      </c>
      <c r="P185">
        <v>43</v>
      </c>
      <c r="Q185" t="s">
        <v>155</v>
      </c>
    </row>
    <row r="186" spans="1:17" x14ac:dyDescent="0.2">
      <c r="A186">
        <v>122492</v>
      </c>
      <c r="B186">
        <v>147</v>
      </c>
      <c r="C186" s="1" t="s">
        <v>99</v>
      </c>
      <c r="D186" s="10">
        <v>45109.945138888892</v>
      </c>
      <c r="E186" t="s">
        <v>97</v>
      </c>
      <c r="F186" t="s">
        <v>41</v>
      </c>
      <c r="G186">
        <v>1788</v>
      </c>
      <c r="H186" s="5" t="s">
        <v>99</v>
      </c>
      <c r="I186" s="15">
        <v>45109</v>
      </c>
      <c r="J186" s="15" t="s">
        <v>234</v>
      </c>
      <c r="K186" s="6">
        <v>0.44513888888888886</v>
      </c>
      <c r="L186" t="s">
        <v>145</v>
      </c>
      <c r="M186">
        <v>150000</v>
      </c>
      <c r="N186" t="s">
        <v>203</v>
      </c>
      <c r="O186" t="s">
        <v>152</v>
      </c>
      <c r="P186">
        <v>29</v>
      </c>
      <c r="Q186" t="s">
        <v>154</v>
      </c>
    </row>
    <row r="187" spans="1:17" x14ac:dyDescent="0.2">
      <c r="A187">
        <v>123546</v>
      </c>
      <c r="B187">
        <v>990</v>
      </c>
      <c r="C187" s="1" t="s">
        <v>109</v>
      </c>
      <c r="D187" s="10">
        <v>45062.030555555553</v>
      </c>
      <c r="E187" t="s">
        <v>97</v>
      </c>
      <c r="F187" t="s">
        <v>23</v>
      </c>
      <c r="G187">
        <v>9475</v>
      </c>
      <c r="H187" s="5" t="s">
        <v>109</v>
      </c>
      <c r="I187" s="15">
        <v>45062</v>
      </c>
      <c r="J187" s="15" t="s">
        <v>233</v>
      </c>
      <c r="K187" s="6">
        <v>0.53055555555555556</v>
      </c>
      <c r="L187" t="s">
        <v>142</v>
      </c>
      <c r="M187">
        <v>150000</v>
      </c>
      <c r="N187" t="s">
        <v>213</v>
      </c>
      <c r="O187" t="s">
        <v>151</v>
      </c>
      <c r="P187">
        <v>37</v>
      </c>
      <c r="Q187" t="s">
        <v>155</v>
      </c>
    </row>
    <row r="188" spans="1:17" x14ac:dyDescent="0.2">
      <c r="A188">
        <v>125939</v>
      </c>
      <c r="B188">
        <v>213</v>
      </c>
      <c r="C188" s="1" t="s">
        <v>99</v>
      </c>
      <c r="D188" s="10">
        <v>44985.036805555559</v>
      </c>
      <c r="E188" t="s">
        <v>191</v>
      </c>
      <c r="F188" t="s">
        <v>52</v>
      </c>
      <c r="G188">
        <v>6023</v>
      </c>
      <c r="H188" s="5" t="s">
        <v>99</v>
      </c>
      <c r="I188" s="15">
        <v>44985</v>
      </c>
      <c r="J188" s="15" t="s">
        <v>232</v>
      </c>
      <c r="K188" s="6">
        <v>0.53680555555555554</v>
      </c>
      <c r="L188" t="s">
        <v>143</v>
      </c>
      <c r="M188">
        <v>100000</v>
      </c>
      <c r="N188" t="s">
        <v>206</v>
      </c>
      <c r="O188" t="s">
        <v>152</v>
      </c>
      <c r="P188">
        <v>52</v>
      </c>
      <c r="Q188" t="s">
        <v>154</v>
      </c>
    </row>
    <row r="189" spans="1:17" x14ac:dyDescent="0.2">
      <c r="A189">
        <v>127157</v>
      </c>
      <c r="B189">
        <v>532</v>
      </c>
      <c r="C189" s="1" t="s">
        <v>99</v>
      </c>
      <c r="D189" s="10">
        <v>44972.997916666667</v>
      </c>
      <c r="E189" t="s">
        <v>97</v>
      </c>
      <c r="F189" t="s">
        <v>30</v>
      </c>
      <c r="G189">
        <v>2367</v>
      </c>
      <c r="H189" s="5" t="s">
        <v>99</v>
      </c>
      <c r="I189" s="15">
        <v>44972</v>
      </c>
      <c r="J189" s="15" t="s">
        <v>232</v>
      </c>
      <c r="K189" s="6">
        <v>0.49791666666666667</v>
      </c>
      <c r="L189" t="s">
        <v>144</v>
      </c>
      <c r="M189">
        <v>200000</v>
      </c>
      <c r="N189" t="s">
        <v>216</v>
      </c>
      <c r="O189" t="s">
        <v>152</v>
      </c>
      <c r="P189">
        <v>84</v>
      </c>
      <c r="Q189" t="s">
        <v>155</v>
      </c>
    </row>
    <row r="190" spans="1:17" x14ac:dyDescent="0.2">
      <c r="A190">
        <v>127349</v>
      </c>
      <c r="B190">
        <v>620</v>
      </c>
      <c r="C190" s="1" t="s">
        <v>106</v>
      </c>
      <c r="D190" s="10">
        <v>45027.025000000001</v>
      </c>
      <c r="E190" t="s">
        <v>191</v>
      </c>
      <c r="F190" t="s">
        <v>78</v>
      </c>
      <c r="G190">
        <v>4477</v>
      </c>
      <c r="H190" s="5" t="s">
        <v>106</v>
      </c>
      <c r="I190" s="15">
        <v>45027</v>
      </c>
      <c r="J190" s="15" t="s">
        <v>233</v>
      </c>
      <c r="K190" s="6">
        <v>0.52500000000000002</v>
      </c>
      <c r="L190" t="s">
        <v>143</v>
      </c>
      <c r="M190">
        <v>200000</v>
      </c>
      <c r="N190" t="s">
        <v>215</v>
      </c>
      <c r="O190" t="s">
        <v>151</v>
      </c>
      <c r="P190">
        <v>41</v>
      </c>
      <c r="Q190" t="s">
        <v>155</v>
      </c>
    </row>
    <row r="191" spans="1:17" x14ac:dyDescent="0.2">
      <c r="A191">
        <v>127352</v>
      </c>
      <c r="B191">
        <v>1534</v>
      </c>
      <c r="C191" s="1" t="s">
        <v>99</v>
      </c>
      <c r="D191" s="10">
        <v>45181.008333333331</v>
      </c>
      <c r="E191" t="s">
        <v>97</v>
      </c>
      <c r="F191" t="s">
        <v>43</v>
      </c>
      <c r="G191">
        <v>8980</v>
      </c>
      <c r="H191" s="5" t="s">
        <v>99</v>
      </c>
      <c r="I191" s="15">
        <v>45181</v>
      </c>
      <c r="J191" s="15" t="s">
        <v>234</v>
      </c>
      <c r="K191" s="6">
        <v>0.5083333333333333</v>
      </c>
      <c r="L191" t="s">
        <v>145</v>
      </c>
      <c r="M191">
        <v>1000000</v>
      </c>
      <c r="N191" t="s">
        <v>203</v>
      </c>
      <c r="O191" t="s">
        <v>152</v>
      </c>
      <c r="P191">
        <v>18</v>
      </c>
      <c r="Q191" t="s">
        <v>157</v>
      </c>
    </row>
    <row r="192" spans="1:17" x14ac:dyDescent="0.2">
      <c r="A192">
        <v>128831</v>
      </c>
      <c r="B192">
        <v>816</v>
      </c>
      <c r="C192" s="1" t="s">
        <v>113</v>
      </c>
      <c r="D192" s="10">
        <v>45255.044444444444</v>
      </c>
      <c r="E192" t="s">
        <v>191</v>
      </c>
      <c r="F192" t="s">
        <v>27</v>
      </c>
      <c r="G192">
        <v>483</v>
      </c>
      <c r="H192" s="5" t="s">
        <v>113</v>
      </c>
      <c r="I192" s="15">
        <v>45255</v>
      </c>
      <c r="J192" s="15" t="s">
        <v>295</v>
      </c>
      <c r="K192" s="6">
        <v>4.4444444444444446E-2</v>
      </c>
      <c r="L192" t="s">
        <v>142</v>
      </c>
      <c r="M192">
        <v>1000000</v>
      </c>
      <c r="N192" t="s">
        <v>209</v>
      </c>
      <c r="O192" t="s">
        <v>151</v>
      </c>
      <c r="P192">
        <v>46</v>
      </c>
      <c r="Q192" t="s">
        <v>155</v>
      </c>
    </row>
    <row r="193" spans="1:17" x14ac:dyDescent="0.2">
      <c r="A193">
        <v>130037</v>
      </c>
      <c r="B193">
        <v>765</v>
      </c>
      <c r="C193" s="1" t="s">
        <v>103</v>
      </c>
      <c r="D193" s="10">
        <v>45062.049305555556</v>
      </c>
      <c r="E193" t="s">
        <v>97</v>
      </c>
      <c r="F193" t="s">
        <v>30</v>
      </c>
      <c r="G193">
        <v>7380</v>
      </c>
      <c r="H193" s="5" t="s">
        <v>103</v>
      </c>
      <c r="I193" s="15">
        <v>45062</v>
      </c>
      <c r="J193" s="15" t="s">
        <v>233</v>
      </c>
      <c r="K193" s="6">
        <v>4.9305555555555554E-2</v>
      </c>
      <c r="L193" t="s">
        <v>144</v>
      </c>
      <c r="M193">
        <v>200000</v>
      </c>
      <c r="N193" t="s">
        <v>216</v>
      </c>
      <c r="O193" t="s">
        <v>152</v>
      </c>
      <c r="P193">
        <v>46</v>
      </c>
      <c r="Q193" t="s">
        <v>155</v>
      </c>
    </row>
    <row r="194" spans="1:17" x14ac:dyDescent="0.2">
      <c r="A194">
        <v>130805</v>
      </c>
      <c r="B194">
        <v>207</v>
      </c>
      <c r="C194" s="1" t="s">
        <v>108</v>
      </c>
      <c r="D194" s="10">
        <v>45118.010416666664</v>
      </c>
      <c r="E194" t="s">
        <v>97</v>
      </c>
      <c r="F194" t="s">
        <v>74</v>
      </c>
      <c r="G194">
        <v>9542</v>
      </c>
      <c r="H194" s="5" t="s">
        <v>108</v>
      </c>
      <c r="I194" s="15">
        <v>45118</v>
      </c>
      <c r="J194" s="15" t="s">
        <v>234</v>
      </c>
      <c r="K194" s="6">
        <v>0.51041666666666663</v>
      </c>
      <c r="L194" t="s">
        <v>145</v>
      </c>
      <c r="M194">
        <v>150000</v>
      </c>
      <c r="N194" t="s">
        <v>226</v>
      </c>
      <c r="O194" t="s">
        <v>151</v>
      </c>
      <c r="P194">
        <v>76</v>
      </c>
      <c r="Q194" t="s">
        <v>154</v>
      </c>
    </row>
    <row r="195" spans="1:17" x14ac:dyDescent="0.2">
      <c r="A195">
        <v>130920</v>
      </c>
      <c r="B195">
        <v>1099</v>
      </c>
      <c r="C195" s="1" t="s">
        <v>100</v>
      </c>
      <c r="D195" s="10">
        <v>45035.990972222222</v>
      </c>
      <c r="E195" t="s">
        <v>97</v>
      </c>
      <c r="F195" t="s">
        <v>54</v>
      </c>
      <c r="G195">
        <v>5261</v>
      </c>
      <c r="H195" s="5" t="s">
        <v>100</v>
      </c>
      <c r="I195" s="15">
        <v>45035</v>
      </c>
      <c r="J195" s="15" t="s">
        <v>233</v>
      </c>
      <c r="K195" s="6">
        <v>0.4909722222222222</v>
      </c>
      <c r="L195" t="s">
        <v>144</v>
      </c>
      <c r="M195">
        <v>100000</v>
      </c>
      <c r="N195" t="s">
        <v>224</v>
      </c>
      <c r="O195" t="s">
        <v>152</v>
      </c>
      <c r="P195">
        <v>76</v>
      </c>
      <c r="Q195" t="s">
        <v>156</v>
      </c>
    </row>
    <row r="196" spans="1:17" x14ac:dyDescent="0.2">
      <c r="A196">
        <v>131508</v>
      </c>
      <c r="B196">
        <v>140</v>
      </c>
      <c r="C196" s="1" t="s">
        <v>99</v>
      </c>
      <c r="D196" s="10">
        <v>44968.034722222219</v>
      </c>
      <c r="E196" t="s">
        <v>98</v>
      </c>
      <c r="F196" t="s">
        <v>38</v>
      </c>
      <c r="G196">
        <v>2656</v>
      </c>
      <c r="H196" s="5" t="s">
        <v>99</v>
      </c>
      <c r="I196" s="15">
        <v>44968</v>
      </c>
      <c r="J196" s="15" t="s">
        <v>232</v>
      </c>
      <c r="K196" s="6">
        <v>0.53472222222222221</v>
      </c>
      <c r="L196" t="s">
        <v>143</v>
      </c>
      <c r="M196">
        <v>100000</v>
      </c>
      <c r="N196" t="s">
        <v>221</v>
      </c>
      <c r="O196" t="s">
        <v>151</v>
      </c>
      <c r="P196">
        <v>58</v>
      </c>
      <c r="Q196" t="s">
        <v>154</v>
      </c>
    </row>
    <row r="197" spans="1:17" x14ac:dyDescent="0.2">
      <c r="A197">
        <v>133285</v>
      </c>
      <c r="B197">
        <v>516</v>
      </c>
      <c r="C197" s="1" t="s">
        <v>100</v>
      </c>
      <c r="D197" s="10">
        <v>44968.058333333334</v>
      </c>
      <c r="E197" t="s">
        <v>96</v>
      </c>
      <c r="F197" t="s">
        <v>34</v>
      </c>
      <c r="G197">
        <v>7837</v>
      </c>
      <c r="H197" s="5" t="s">
        <v>100</v>
      </c>
      <c r="I197" s="15">
        <v>44968</v>
      </c>
      <c r="J197" s="15" t="s">
        <v>232</v>
      </c>
      <c r="K197" s="6">
        <v>5.8333333333333334E-2</v>
      </c>
      <c r="L197" t="s">
        <v>144</v>
      </c>
      <c r="M197">
        <v>150000</v>
      </c>
      <c r="N197" t="s">
        <v>218</v>
      </c>
      <c r="O197" t="s">
        <v>151</v>
      </c>
      <c r="P197">
        <v>51</v>
      </c>
      <c r="Q197" t="s">
        <v>155</v>
      </c>
    </row>
    <row r="198" spans="1:17" x14ac:dyDescent="0.2">
      <c r="A198">
        <v>133922</v>
      </c>
      <c r="B198">
        <v>1441</v>
      </c>
      <c r="C198" s="1" t="s">
        <v>101</v>
      </c>
      <c r="D198" s="10">
        <v>45156.006249999999</v>
      </c>
      <c r="E198" t="s">
        <v>96</v>
      </c>
      <c r="F198" t="s">
        <v>79</v>
      </c>
      <c r="G198">
        <v>4932</v>
      </c>
      <c r="H198" s="5" t="s">
        <v>101</v>
      </c>
      <c r="I198" s="15">
        <v>45156</v>
      </c>
      <c r="J198" s="15" t="s">
        <v>234</v>
      </c>
      <c r="K198" s="6">
        <v>0.50624999999999998</v>
      </c>
      <c r="L198" t="s">
        <v>143</v>
      </c>
      <c r="M198">
        <v>50000</v>
      </c>
      <c r="N198" t="s">
        <v>204</v>
      </c>
      <c r="O198" t="s">
        <v>151</v>
      </c>
      <c r="P198">
        <v>65</v>
      </c>
      <c r="Q198" t="s">
        <v>156</v>
      </c>
    </row>
    <row r="199" spans="1:17" x14ac:dyDescent="0.2">
      <c r="A199">
        <v>134419</v>
      </c>
      <c r="B199">
        <v>628</v>
      </c>
      <c r="C199" s="1" t="s">
        <v>100</v>
      </c>
      <c r="D199" s="10">
        <v>44960.954861111109</v>
      </c>
      <c r="E199" t="s">
        <v>98</v>
      </c>
      <c r="F199" t="s">
        <v>80</v>
      </c>
      <c r="G199">
        <v>2768</v>
      </c>
      <c r="H199" s="5" t="s">
        <v>100</v>
      </c>
      <c r="I199" s="15">
        <v>44960</v>
      </c>
      <c r="J199" s="15" t="s">
        <v>232</v>
      </c>
      <c r="K199" s="6">
        <v>0.4548611111111111</v>
      </c>
      <c r="L199" t="s">
        <v>146</v>
      </c>
      <c r="M199">
        <v>50000</v>
      </c>
      <c r="N199" t="s">
        <v>212</v>
      </c>
      <c r="O199" t="s">
        <v>152</v>
      </c>
      <c r="P199">
        <v>85</v>
      </c>
      <c r="Q199" t="s">
        <v>155</v>
      </c>
    </row>
    <row r="200" spans="1:17" x14ac:dyDescent="0.2">
      <c r="A200">
        <v>137231</v>
      </c>
      <c r="B200">
        <v>1344</v>
      </c>
      <c r="C200" s="1" t="s">
        <v>105</v>
      </c>
      <c r="D200" s="10">
        <v>45216</v>
      </c>
      <c r="E200" t="s">
        <v>191</v>
      </c>
      <c r="F200" t="s">
        <v>77</v>
      </c>
      <c r="G200">
        <v>6898</v>
      </c>
      <c r="H200" s="5" t="s">
        <v>105</v>
      </c>
      <c r="I200" s="15">
        <v>45216</v>
      </c>
      <c r="J200" s="15" t="s">
        <v>295</v>
      </c>
      <c r="K200" s="6">
        <v>0.5</v>
      </c>
      <c r="L200" t="s">
        <v>146</v>
      </c>
      <c r="M200">
        <v>100000</v>
      </c>
      <c r="N200" t="s">
        <v>222</v>
      </c>
      <c r="O200" t="s">
        <v>151</v>
      </c>
      <c r="P200">
        <v>40</v>
      </c>
      <c r="Q200" t="s">
        <v>156</v>
      </c>
    </row>
    <row r="201" spans="1:17" x14ac:dyDescent="0.2">
      <c r="A201">
        <v>138329</v>
      </c>
      <c r="B201">
        <v>1108</v>
      </c>
      <c r="C201" s="1" t="s">
        <v>113</v>
      </c>
      <c r="D201" s="10">
        <v>45138.048611111109</v>
      </c>
      <c r="E201" t="s">
        <v>97</v>
      </c>
      <c r="F201" t="s">
        <v>22</v>
      </c>
      <c r="G201">
        <v>7219</v>
      </c>
      <c r="H201" s="5" t="s">
        <v>113</v>
      </c>
      <c r="I201" s="15">
        <v>45138</v>
      </c>
      <c r="J201" s="15" t="s">
        <v>234</v>
      </c>
      <c r="K201" s="6">
        <v>4.8611111111111112E-2</v>
      </c>
      <c r="L201" t="s">
        <v>144</v>
      </c>
      <c r="M201">
        <v>100000</v>
      </c>
      <c r="N201" t="s">
        <v>202</v>
      </c>
      <c r="O201" t="s">
        <v>152</v>
      </c>
      <c r="P201">
        <v>47</v>
      </c>
      <c r="Q201" t="s">
        <v>156</v>
      </c>
    </row>
    <row r="202" spans="1:17" x14ac:dyDescent="0.2">
      <c r="A202">
        <v>139357</v>
      </c>
      <c r="B202">
        <v>423</v>
      </c>
      <c r="C202" s="1" t="s">
        <v>106</v>
      </c>
      <c r="D202" s="10">
        <v>45064.984722222223</v>
      </c>
      <c r="E202" t="s">
        <v>96</v>
      </c>
      <c r="F202" t="s">
        <v>43</v>
      </c>
      <c r="G202">
        <v>5563</v>
      </c>
      <c r="H202" s="5" t="s">
        <v>106</v>
      </c>
      <c r="I202" s="15">
        <v>45064</v>
      </c>
      <c r="J202" s="15" t="s">
        <v>233</v>
      </c>
      <c r="K202" s="6">
        <v>0.48472222222222222</v>
      </c>
      <c r="L202" t="s">
        <v>145</v>
      </c>
      <c r="M202">
        <v>1000000</v>
      </c>
      <c r="N202" t="s">
        <v>203</v>
      </c>
      <c r="O202" t="s">
        <v>152</v>
      </c>
      <c r="P202">
        <v>27</v>
      </c>
      <c r="Q202" t="s">
        <v>154</v>
      </c>
    </row>
    <row r="203" spans="1:17" x14ac:dyDescent="0.2">
      <c r="A203">
        <v>139611</v>
      </c>
      <c r="B203">
        <v>444</v>
      </c>
      <c r="C203" s="1" t="s">
        <v>105</v>
      </c>
      <c r="D203" s="10">
        <v>45220.052083333336</v>
      </c>
      <c r="E203" t="s">
        <v>97</v>
      </c>
      <c r="F203" t="s">
        <v>40</v>
      </c>
      <c r="G203">
        <v>6827</v>
      </c>
      <c r="H203" s="5" t="s">
        <v>105</v>
      </c>
      <c r="I203" s="15">
        <v>45220</v>
      </c>
      <c r="J203" s="15" t="s">
        <v>295</v>
      </c>
      <c r="K203" s="6">
        <v>5.2083333333333336E-2</v>
      </c>
      <c r="L203" t="s">
        <v>142</v>
      </c>
      <c r="M203">
        <v>150000</v>
      </c>
      <c r="N203" t="s">
        <v>207</v>
      </c>
      <c r="O203" t="s">
        <v>152</v>
      </c>
      <c r="P203">
        <v>23</v>
      </c>
      <c r="Q203" t="s">
        <v>154</v>
      </c>
    </row>
    <row r="204" spans="1:17" x14ac:dyDescent="0.2">
      <c r="A204">
        <v>139755</v>
      </c>
      <c r="B204">
        <v>813</v>
      </c>
      <c r="C204" s="1" t="s">
        <v>106</v>
      </c>
      <c r="D204" s="10">
        <v>45136.979861111111</v>
      </c>
      <c r="E204" t="s">
        <v>96</v>
      </c>
      <c r="F204" t="s">
        <v>81</v>
      </c>
      <c r="G204">
        <v>7305</v>
      </c>
      <c r="H204" s="5" t="s">
        <v>106</v>
      </c>
      <c r="I204" s="15">
        <v>45136</v>
      </c>
      <c r="J204" s="15" t="s">
        <v>234</v>
      </c>
      <c r="K204" s="6">
        <v>0.47986111111111113</v>
      </c>
      <c r="L204" t="s">
        <v>143</v>
      </c>
      <c r="M204">
        <v>250000</v>
      </c>
      <c r="N204" t="s">
        <v>221</v>
      </c>
      <c r="O204" t="s">
        <v>151</v>
      </c>
      <c r="P204">
        <v>51</v>
      </c>
      <c r="Q204" t="s">
        <v>155</v>
      </c>
    </row>
    <row r="205" spans="1:17" x14ac:dyDescent="0.2">
      <c r="A205">
        <v>140002</v>
      </c>
      <c r="B205">
        <v>1848</v>
      </c>
      <c r="C205" s="1" t="s">
        <v>99</v>
      </c>
      <c r="D205" s="10">
        <v>45201.03402777778</v>
      </c>
      <c r="E205" t="s">
        <v>191</v>
      </c>
      <c r="F205" t="s">
        <v>82</v>
      </c>
      <c r="G205">
        <v>3536</v>
      </c>
      <c r="H205" s="5" t="s">
        <v>99</v>
      </c>
      <c r="I205" s="15">
        <v>45201</v>
      </c>
      <c r="J205" s="15" t="s">
        <v>295</v>
      </c>
      <c r="K205" s="6">
        <v>0.53402777777777777</v>
      </c>
      <c r="L205" t="s">
        <v>142</v>
      </c>
      <c r="M205">
        <v>100000</v>
      </c>
      <c r="N205" t="s">
        <v>209</v>
      </c>
      <c r="O205" t="s">
        <v>151</v>
      </c>
      <c r="P205">
        <v>63</v>
      </c>
      <c r="Q205" t="s">
        <v>157</v>
      </c>
    </row>
    <row r="206" spans="1:17" x14ac:dyDescent="0.2">
      <c r="A206">
        <v>141004</v>
      </c>
      <c r="B206">
        <v>1499</v>
      </c>
      <c r="C206" s="1" t="s">
        <v>99</v>
      </c>
      <c r="D206" s="10">
        <v>45063.056250000001</v>
      </c>
      <c r="E206" t="s">
        <v>191</v>
      </c>
      <c r="F206" t="s">
        <v>21</v>
      </c>
      <c r="G206">
        <v>9940</v>
      </c>
      <c r="H206" s="5" t="s">
        <v>99</v>
      </c>
      <c r="I206" s="15">
        <v>45063</v>
      </c>
      <c r="J206" s="15" t="s">
        <v>233</v>
      </c>
      <c r="K206" s="6">
        <v>5.6250000000000001E-2</v>
      </c>
      <c r="L206" t="s">
        <v>142</v>
      </c>
      <c r="M206">
        <v>150000</v>
      </c>
      <c r="N206" t="s">
        <v>211</v>
      </c>
      <c r="O206" t="s">
        <v>152</v>
      </c>
      <c r="P206">
        <v>48</v>
      </c>
      <c r="Q206" t="s">
        <v>156</v>
      </c>
    </row>
    <row r="207" spans="1:17" x14ac:dyDescent="0.2">
      <c r="A207">
        <v>141024</v>
      </c>
      <c r="B207">
        <v>1436</v>
      </c>
      <c r="C207" s="1" t="s">
        <v>105</v>
      </c>
      <c r="D207" s="10">
        <v>44993.083333333336</v>
      </c>
      <c r="E207" t="s">
        <v>96</v>
      </c>
      <c r="F207" t="s">
        <v>66</v>
      </c>
      <c r="G207">
        <v>9491</v>
      </c>
      <c r="H207" s="5" t="s">
        <v>105</v>
      </c>
      <c r="I207" s="15">
        <v>44993</v>
      </c>
      <c r="J207" s="15" t="s">
        <v>232</v>
      </c>
      <c r="K207" s="6">
        <v>8.3333333333333329E-2</v>
      </c>
      <c r="L207" t="s">
        <v>144</v>
      </c>
      <c r="M207">
        <v>150000</v>
      </c>
      <c r="N207" t="s">
        <v>224</v>
      </c>
      <c r="O207" t="s">
        <v>151</v>
      </c>
      <c r="P207">
        <v>40</v>
      </c>
      <c r="Q207" t="s">
        <v>156</v>
      </c>
    </row>
    <row r="208" spans="1:17" x14ac:dyDescent="0.2">
      <c r="A208">
        <v>141306</v>
      </c>
      <c r="B208">
        <v>249</v>
      </c>
      <c r="C208" s="1" t="s">
        <v>99</v>
      </c>
      <c r="D208" s="10">
        <v>44937.073611111111</v>
      </c>
      <c r="E208" t="s">
        <v>191</v>
      </c>
      <c r="F208" t="s">
        <v>29</v>
      </c>
      <c r="G208">
        <v>9751</v>
      </c>
      <c r="H208" s="5" t="s">
        <v>99</v>
      </c>
      <c r="I208" s="15">
        <v>44937</v>
      </c>
      <c r="J208" s="15" t="s">
        <v>232</v>
      </c>
      <c r="K208" s="6">
        <v>7.3611111111111113E-2</v>
      </c>
      <c r="L208" t="s">
        <v>143</v>
      </c>
      <c r="M208">
        <v>150000</v>
      </c>
      <c r="N208" t="s">
        <v>214</v>
      </c>
      <c r="O208" t="s">
        <v>151</v>
      </c>
      <c r="P208">
        <v>58</v>
      </c>
      <c r="Q208" t="s">
        <v>154</v>
      </c>
    </row>
    <row r="209" spans="1:17" x14ac:dyDescent="0.2">
      <c r="A209">
        <v>142160</v>
      </c>
      <c r="B209">
        <v>1976</v>
      </c>
      <c r="C209" s="1" t="s">
        <v>105</v>
      </c>
      <c r="D209" s="10">
        <v>44971.043749999997</v>
      </c>
      <c r="E209" t="s">
        <v>98</v>
      </c>
      <c r="F209" t="s">
        <v>5</v>
      </c>
      <c r="G209">
        <v>7114</v>
      </c>
      <c r="H209" s="5" t="s">
        <v>105</v>
      </c>
      <c r="I209" s="15">
        <v>44971</v>
      </c>
      <c r="J209" s="15" t="s">
        <v>232</v>
      </c>
      <c r="K209" s="6">
        <v>4.3749999999999997E-2</v>
      </c>
      <c r="L209" t="s">
        <v>143</v>
      </c>
      <c r="M209">
        <v>200000</v>
      </c>
      <c r="N209" t="s">
        <v>198</v>
      </c>
      <c r="O209" t="s">
        <v>152</v>
      </c>
      <c r="P209">
        <v>73</v>
      </c>
      <c r="Q209" t="s">
        <v>157</v>
      </c>
    </row>
    <row r="210" spans="1:17" x14ac:dyDescent="0.2">
      <c r="A210">
        <v>145440</v>
      </c>
      <c r="B210">
        <v>948</v>
      </c>
      <c r="C210" s="1" t="s">
        <v>102</v>
      </c>
      <c r="D210" s="10">
        <v>45157.054861111108</v>
      </c>
      <c r="E210" t="s">
        <v>191</v>
      </c>
      <c r="F210" t="s">
        <v>43</v>
      </c>
      <c r="G210">
        <v>140</v>
      </c>
      <c r="H210" s="5" t="s">
        <v>102</v>
      </c>
      <c r="I210" s="15">
        <v>45157</v>
      </c>
      <c r="J210" s="15" t="s">
        <v>234</v>
      </c>
      <c r="K210" s="6">
        <v>5.486111111111111E-2</v>
      </c>
      <c r="L210" t="s">
        <v>145</v>
      </c>
      <c r="M210">
        <v>1000000</v>
      </c>
      <c r="N210" t="s">
        <v>203</v>
      </c>
      <c r="O210" t="s">
        <v>151</v>
      </c>
      <c r="P210">
        <v>27</v>
      </c>
      <c r="Q210" t="s">
        <v>155</v>
      </c>
    </row>
    <row r="211" spans="1:17" x14ac:dyDescent="0.2">
      <c r="A211">
        <v>145667</v>
      </c>
      <c r="B211">
        <v>813</v>
      </c>
      <c r="C211" s="1" t="s">
        <v>106</v>
      </c>
      <c r="D211" s="10">
        <v>45140.009027777778</v>
      </c>
      <c r="E211" t="s">
        <v>96</v>
      </c>
      <c r="F211" t="s">
        <v>43</v>
      </c>
      <c r="G211">
        <v>8841</v>
      </c>
      <c r="H211" s="5" t="s">
        <v>106</v>
      </c>
      <c r="I211" s="15">
        <v>45140</v>
      </c>
      <c r="J211" s="15" t="s">
        <v>234</v>
      </c>
      <c r="K211" s="6">
        <v>0.50902777777777775</v>
      </c>
      <c r="L211" t="s">
        <v>145</v>
      </c>
      <c r="M211">
        <v>1000000</v>
      </c>
      <c r="N211" t="s">
        <v>203</v>
      </c>
      <c r="O211" t="s">
        <v>151</v>
      </c>
      <c r="P211">
        <v>51</v>
      </c>
      <c r="Q211" t="s">
        <v>155</v>
      </c>
    </row>
    <row r="212" spans="1:17" x14ac:dyDescent="0.2">
      <c r="A212">
        <v>146599</v>
      </c>
      <c r="B212">
        <v>393</v>
      </c>
      <c r="C212" s="1" t="s">
        <v>113</v>
      </c>
      <c r="D212" s="10">
        <v>45061.088194444441</v>
      </c>
      <c r="E212" t="s">
        <v>191</v>
      </c>
      <c r="F212" t="s">
        <v>6</v>
      </c>
      <c r="G212">
        <v>7712</v>
      </c>
      <c r="H212" s="5" t="s">
        <v>113</v>
      </c>
      <c r="I212" s="15">
        <v>45061</v>
      </c>
      <c r="J212" s="15" t="s">
        <v>233</v>
      </c>
      <c r="K212" s="6">
        <v>8.819444444444445E-2</v>
      </c>
      <c r="L212" t="s">
        <v>144</v>
      </c>
      <c r="M212">
        <v>100000</v>
      </c>
      <c r="N212" t="s">
        <v>199</v>
      </c>
      <c r="O212" t="s">
        <v>152</v>
      </c>
      <c r="P212">
        <v>19</v>
      </c>
      <c r="Q212" t="s">
        <v>154</v>
      </c>
    </row>
    <row r="213" spans="1:17" x14ac:dyDescent="0.2">
      <c r="A213">
        <v>146917</v>
      </c>
      <c r="B213">
        <v>183</v>
      </c>
      <c r="C213" s="1" t="s">
        <v>113</v>
      </c>
      <c r="D213" s="10">
        <v>44981.073611111111</v>
      </c>
      <c r="E213" t="s">
        <v>96</v>
      </c>
      <c r="F213" t="s">
        <v>17</v>
      </c>
      <c r="G213">
        <v>2595</v>
      </c>
      <c r="H213" s="5" t="s">
        <v>113</v>
      </c>
      <c r="I213" s="15">
        <v>44981</v>
      </c>
      <c r="J213" s="15" t="s">
        <v>232</v>
      </c>
      <c r="K213" s="6">
        <v>7.3611111111111113E-2</v>
      </c>
      <c r="L213" t="s">
        <v>142</v>
      </c>
      <c r="M213">
        <v>100000</v>
      </c>
      <c r="N213" t="s">
        <v>209</v>
      </c>
      <c r="O213" t="s">
        <v>151</v>
      </c>
      <c r="P213">
        <v>66</v>
      </c>
      <c r="Q213" t="s">
        <v>154</v>
      </c>
    </row>
    <row r="214" spans="1:17" x14ac:dyDescent="0.2">
      <c r="A214">
        <v>148310</v>
      </c>
      <c r="B214">
        <v>625</v>
      </c>
      <c r="C214" s="1" t="s">
        <v>113</v>
      </c>
      <c r="D214" s="10">
        <v>45049.015277777777</v>
      </c>
      <c r="E214" t="s">
        <v>96</v>
      </c>
      <c r="F214" t="s">
        <v>21</v>
      </c>
      <c r="G214">
        <v>2291</v>
      </c>
      <c r="H214" s="5" t="s">
        <v>113</v>
      </c>
      <c r="I214" s="15">
        <v>45049</v>
      </c>
      <c r="J214" s="15" t="s">
        <v>233</v>
      </c>
      <c r="K214" s="6">
        <v>0.51527777777777772</v>
      </c>
      <c r="L214" t="s">
        <v>142</v>
      </c>
      <c r="M214">
        <v>150000</v>
      </c>
      <c r="N214" t="s">
        <v>211</v>
      </c>
      <c r="O214" t="s">
        <v>151</v>
      </c>
      <c r="P214">
        <v>54</v>
      </c>
      <c r="Q214" t="s">
        <v>155</v>
      </c>
    </row>
    <row r="215" spans="1:17" x14ac:dyDescent="0.2">
      <c r="A215">
        <v>148706</v>
      </c>
      <c r="B215">
        <v>188</v>
      </c>
      <c r="C215" s="1" t="s">
        <v>113</v>
      </c>
      <c r="D215" s="10">
        <v>45269.972222222219</v>
      </c>
      <c r="E215" t="s">
        <v>97</v>
      </c>
      <c r="F215" t="s">
        <v>43</v>
      </c>
      <c r="G215">
        <v>4301</v>
      </c>
      <c r="H215" s="5" t="s">
        <v>113</v>
      </c>
      <c r="I215" s="15">
        <v>45269</v>
      </c>
      <c r="J215" s="15" t="s">
        <v>295</v>
      </c>
      <c r="K215" s="6">
        <v>0.47222222222222221</v>
      </c>
      <c r="L215" t="s">
        <v>145</v>
      </c>
      <c r="M215">
        <v>1000000</v>
      </c>
      <c r="N215" t="s">
        <v>203</v>
      </c>
      <c r="O215" t="s">
        <v>152</v>
      </c>
      <c r="P215">
        <v>72</v>
      </c>
      <c r="Q215" t="s">
        <v>154</v>
      </c>
    </row>
    <row r="216" spans="1:17" x14ac:dyDescent="0.2">
      <c r="A216">
        <v>149310</v>
      </c>
      <c r="B216">
        <v>1734</v>
      </c>
      <c r="C216" s="1" t="s">
        <v>99</v>
      </c>
      <c r="D216" s="10">
        <v>44941.067361111112</v>
      </c>
      <c r="E216" t="s">
        <v>96</v>
      </c>
      <c r="F216" t="s">
        <v>29</v>
      </c>
      <c r="G216">
        <v>1340</v>
      </c>
      <c r="H216" s="5" t="s">
        <v>99</v>
      </c>
      <c r="I216" s="15">
        <v>44941</v>
      </c>
      <c r="J216" s="15" t="s">
        <v>232</v>
      </c>
      <c r="K216" s="6">
        <v>6.7361111111111108E-2</v>
      </c>
      <c r="L216" t="s">
        <v>143</v>
      </c>
      <c r="M216">
        <v>150000</v>
      </c>
      <c r="N216" t="s">
        <v>214</v>
      </c>
      <c r="O216" t="s">
        <v>151</v>
      </c>
      <c r="P216">
        <v>62</v>
      </c>
      <c r="Q216" t="s">
        <v>157</v>
      </c>
    </row>
    <row r="217" spans="1:17" x14ac:dyDescent="0.2">
      <c r="A217">
        <v>149497</v>
      </c>
      <c r="B217">
        <v>931</v>
      </c>
      <c r="C217" s="1" t="s">
        <v>99</v>
      </c>
      <c r="D217" s="10">
        <v>45026.98541666667</v>
      </c>
      <c r="E217" t="s">
        <v>96</v>
      </c>
      <c r="F217" t="s">
        <v>9</v>
      </c>
      <c r="G217">
        <v>7840</v>
      </c>
      <c r="H217" s="5" t="s">
        <v>99</v>
      </c>
      <c r="I217" s="15">
        <v>45026</v>
      </c>
      <c r="J217" s="15" t="s">
        <v>233</v>
      </c>
      <c r="K217" s="6">
        <v>0.48541666666666666</v>
      </c>
      <c r="L217" t="s">
        <v>144</v>
      </c>
      <c r="M217">
        <v>150000</v>
      </c>
      <c r="N217" t="s">
        <v>202</v>
      </c>
      <c r="O217" t="s">
        <v>152</v>
      </c>
      <c r="P217">
        <v>58</v>
      </c>
      <c r="Q217" t="s">
        <v>155</v>
      </c>
    </row>
    <row r="218" spans="1:17" x14ac:dyDescent="0.2">
      <c r="A218">
        <v>149877</v>
      </c>
      <c r="B218">
        <v>978</v>
      </c>
      <c r="C218" s="1" t="s">
        <v>99</v>
      </c>
      <c r="D218" s="10">
        <v>44946.978472222225</v>
      </c>
      <c r="E218" t="s">
        <v>96</v>
      </c>
      <c r="F218" t="s">
        <v>30</v>
      </c>
      <c r="G218">
        <v>5106</v>
      </c>
      <c r="H218" s="5" t="s">
        <v>99</v>
      </c>
      <c r="I218" s="15">
        <v>44946</v>
      </c>
      <c r="J218" s="15" t="s">
        <v>232</v>
      </c>
      <c r="K218" s="6">
        <v>0.47847222222222224</v>
      </c>
      <c r="L218" t="s">
        <v>144</v>
      </c>
      <c r="M218">
        <v>200000</v>
      </c>
      <c r="N218" t="s">
        <v>216</v>
      </c>
      <c r="O218" t="s">
        <v>151</v>
      </c>
      <c r="P218">
        <v>80</v>
      </c>
      <c r="Q218" t="s">
        <v>155</v>
      </c>
    </row>
    <row r="219" spans="1:17" x14ac:dyDescent="0.2">
      <c r="A219">
        <v>151746</v>
      </c>
      <c r="B219">
        <v>718</v>
      </c>
      <c r="C219" s="1" t="s">
        <v>103</v>
      </c>
      <c r="D219" s="10">
        <v>45070.082638888889</v>
      </c>
      <c r="E219" t="s">
        <v>97</v>
      </c>
      <c r="F219" t="s">
        <v>67</v>
      </c>
      <c r="G219">
        <v>7817</v>
      </c>
      <c r="H219" s="5" t="s">
        <v>103</v>
      </c>
      <c r="I219" s="15">
        <v>45070</v>
      </c>
      <c r="J219" s="15" t="s">
        <v>233</v>
      </c>
      <c r="K219" s="6">
        <v>8.2638888888888887E-2</v>
      </c>
      <c r="L219" t="s">
        <v>142</v>
      </c>
      <c r="M219">
        <v>100000</v>
      </c>
      <c r="N219" t="s">
        <v>213</v>
      </c>
      <c r="O219" t="s">
        <v>152</v>
      </c>
      <c r="P219">
        <v>77</v>
      </c>
      <c r="Q219" t="s">
        <v>155</v>
      </c>
    </row>
    <row r="220" spans="1:17" x14ac:dyDescent="0.2">
      <c r="A220">
        <v>151991</v>
      </c>
      <c r="B220">
        <v>1361</v>
      </c>
      <c r="C220" s="1" t="s">
        <v>105</v>
      </c>
      <c r="D220" s="10">
        <v>44949.974999999999</v>
      </c>
      <c r="E220" t="s">
        <v>191</v>
      </c>
      <c r="F220" t="s">
        <v>32</v>
      </c>
      <c r="G220">
        <v>1045</v>
      </c>
      <c r="H220" s="5" t="s">
        <v>105</v>
      </c>
      <c r="I220" s="15">
        <v>44949</v>
      </c>
      <c r="J220" s="15" t="s">
        <v>232</v>
      </c>
      <c r="K220" s="6">
        <v>0.47499999999999998</v>
      </c>
      <c r="L220" t="s">
        <v>145</v>
      </c>
      <c r="M220">
        <v>80000</v>
      </c>
      <c r="N220" t="s">
        <v>217</v>
      </c>
      <c r="O220" t="s">
        <v>152</v>
      </c>
      <c r="P220">
        <v>50</v>
      </c>
      <c r="Q220" t="s">
        <v>156</v>
      </c>
    </row>
    <row r="221" spans="1:17" x14ac:dyDescent="0.2">
      <c r="A221">
        <v>152504</v>
      </c>
      <c r="B221">
        <v>280</v>
      </c>
      <c r="C221" s="1" t="s">
        <v>99</v>
      </c>
      <c r="D221" s="10">
        <v>45036.043749999997</v>
      </c>
      <c r="E221" t="s">
        <v>191</v>
      </c>
      <c r="F221" t="s">
        <v>33</v>
      </c>
      <c r="G221">
        <v>6681</v>
      </c>
      <c r="H221" s="5" t="s">
        <v>99</v>
      </c>
      <c r="I221" s="15">
        <v>45036</v>
      </c>
      <c r="J221" s="15" t="s">
        <v>233</v>
      </c>
      <c r="K221" s="6">
        <v>4.3749999999999997E-2</v>
      </c>
      <c r="L221" t="s">
        <v>145</v>
      </c>
      <c r="M221">
        <v>100000</v>
      </c>
      <c r="N221" t="s">
        <v>210</v>
      </c>
      <c r="O221" t="s">
        <v>151</v>
      </c>
      <c r="P221">
        <v>51</v>
      </c>
      <c r="Q221" t="s">
        <v>154</v>
      </c>
    </row>
    <row r="222" spans="1:17" x14ac:dyDescent="0.2">
      <c r="A222">
        <v>152609</v>
      </c>
      <c r="B222">
        <v>991</v>
      </c>
      <c r="C222" s="1" t="s">
        <v>99</v>
      </c>
      <c r="D222" s="10">
        <v>45150.061805555553</v>
      </c>
      <c r="E222" t="s">
        <v>191</v>
      </c>
      <c r="F222" t="s">
        <v>34</v>
      </c>
      <c r="G222">
        <v>7294</v>
      </c>
      <c r="H222" s="5" t="s">
        <v>99</v>
      </c>
      <c r="I222" s="15">
        <v>45150</v>
      </c>
      <c r="J222" s="15" t="s">
        <v>234</v>
      </c>
      <c r="K222" s="6">
        <v>6.1805555555555558E-2</v>
      </c>
      <c r="L222" t="s">
        <v>144</v>
      </c>
      <c r="M222">
        <v>150000</v>
      </c>
      <c r="N222" t="s">
        <v>218</v>
      </c>
      <c r="O222" t="s">
        <v>152</v>
      </c>
      <c r="P222">
        <v>55</v>
      </c>
      <c r="Q222" t="s">
        <v>155</v>
      </c>
    </row>
    <row r="223" spans="1:17" x14ac:dyDescent="0.2">
      <c r="A223">
        <v>152738</v>
      </c>
      <c r="B223">
        <v>1099</v>
      </c>
      <c r="C223" s="1" t="s">
        <v>100</v>
      </c>
      <c r="D223" s="10">
        <v>45111.007638888892</v>
      </c>
      <c r="E223" t="s">
        <v>98</v>
      </c>
      <c r="F223" t="s">
        <v>35</v>
      </c>
      <c r="G223">
        <v>177</v>
      </c>
      <c r="H223" s="5" t="s">
        <v>100</v>
      </c>
      <c r="I223" s="15">
        <v>45111</v>
      </c>
      <c r="J223" s="15" t="s">
        <v>234</v>
      </c>
      <c r="K223" s="6">
        <v>0.50763888888888886</v>
      </c>
      <c r="L223" t="s">
        <v>144</v>
      </c>
      <c r="M223">
        <v>100000</v>
      </c>
      <c r="N223" t="s">
        <v>219</v>
      </c>
      <c r="O223" t="s">
        <v>152</v>
      </c>
      <c r="P223">
        <v>76</v>
      </c>
      <c r="Q223" t="s">
        <v>156</v>
      </c>
    </row>
    <row r="224" spans="1:17" x14ac:dyDescent="0.2">
      <c r="A224">
        <v>152762</v>
      </c>
      <c r="B224">
        <v>1015</v>
      </c>
      <c r="C224" s="1" t="s">
        <v>107</v>
      </c>
      <c r="D224" s="10">
        <v>45097.945138888892</v>
      </c>
      <c r="E224" t="s">
        <v>98</v>
      </c>
      <c r="F224" t="s">
        <v>42</v>
      </c>
      <c r="G224">
        <v>9099</v>
      </c>
      <c r="H224" s="5" t="s">
        <v>107</v>
      </c>
      <c r="I224" s="15">
        <v>45097</v>
      </c>
      <c r="J224" s="15" t="s">
        <v>233</v>
      </c>
      <c r="K224" s="6">
        <v>0.44513888888888886</v>
      </c>
      <c r="L224" t="s">
        <v>144</v>
      </c>
      <c r="M224">
        <v>100000</v>
      </c>
      <c r="N224" t="s">
        <v>219</v>
      </c>
      <c r="O224" t="s">
        <v>152</v>
      </c>
      <c r="P224">
        <v>50</v>
      </c>
      <c r="Q224" t="s">
        <v>156</v>
      </c>
    </row>
    <row r="225" spans="1:17" x14ac:dyDescent="0.2">
      <c r="A225">
        <v>153389</v>
      </c>
      <c r="B225">
        <v>1715</v>
      </c>
      <c r="C225" s="1" t="s">
        <v>99</v>
      </c>
      <c r="D225" s="10">
        <v>45227.972916666666</v>
      </c>
      <c r="E225" t="s">
        <v>97</v>
      </c>
      <c r="F225" t="s">
        <v>43</v>
      </c>
      <c r="G225">
        <v>2257</v>
      </c>
      <c r="H225" s="5" t="s">
        <v>99</v>
      </c>
      <c r="I225" s="15">
        <v>45227</v>
      </c>
      <c r="J225" s="15" t="s">
        <v>295</v>
      </c>
      <c r="K225" s="6">
        <v>0.47291666666666665</v>
      </c>
      <c r="L225" t="s">
        <v>145</v>
      </c>
      <c r="M225">
        <v>1000000</v>
      </c>
      <c r="N225" t="s">
        <v>203</v>
      </c>
      <c r="O225" t="s">
        <v>151</v>
      </c>
      <c r="P225">
        <v>41</v>
      </c>
      <c r="Q225" t="s">
        <v>157</v>
      </c>
    </row>
    <row r="226" spans="1:17" x14ac:dyDescent="0.2">
      <c r="A226">
        <v>153440</v>
      </c>
      <c r="B226">
        <v>1070</v>
      </c>
      <c r="C226" s="1" t="s">
        <v>106</v>
      </c>
      <c r="D226" s="10">
        <v>45247.951388888891</v>
      </c>
      <c r="E226" t="s">
        <v>97</v>
      </c>
      <c r="F226" t="s">
        <v>38</v>
      </c>
      <c r="G226">
        <v>5399</v>
      </c>
      <c r="H226" s="5" t="s">
        <v>106</v>
      </c>
      <c r="I226" s="15">
        <v>45247</v>
      </c>
      <c r="J226" s="15" t="s">
        <v>295</v>
      </c>
      <c r="K226" s="6">
        <v>0.4513888888888889</v>
      </c>
      <c r="L226" t="s">
        <v>143</v>
      </c>
      <c r="M226">
        <v>100000</v>
      </c>
      <c r="N226" t="s">
        <v>221</v>
      </c>
      <c r="O226" t="s">
        <v>152</v>
      </c>
      <c r="P226">
        <v>60</v>
      </c>
      <c r="Q226" t="s">
        <v>156</v>
      </c>
    </row>
    <row r="227" spans="1:17" x14ac:dyDescent="0.2">
      <c r="A227">
        <v>153648</v>
      </c>
      <c r="B227">
        <v>1459</v>
      </c>
      <c r="C227" s="1" t="s">
        <v>100</v>
      </c>
      <c r="D227" s="10">
        <v>45209.038194444445</v>
      </c>
      <c r="E227" t="s">
        <v>98</v>
      </c>
      <c r="F227" t="s">
        <v>39</v>
      </c>
      <c r="G227">
        <v>7435</v>
      </c>
      <c r="H227" s="5" t="s">
        <v>100</v>
      </c>
      <c r="I227" s="15">
        <v>45209</v>
      </c>
      <c r="J227" s="15" t="s">
        <v>295</v>
      </c>
      <c r="K227" s="6">
        <v>0.53819444444444442</v>
      </c>
      <c r="L227" t="s">
        <v>146</v>
      </c>
      <c r="M227">
        <v>100000</v>
      </c>
      <c r="N227" t="s">
        <v>212</v>
      </c>
      <c r="O227" t="s">
        <v>151</v>
      </c>
      <c r="P227">
        <v>59</v>
      </c>
      <c r="Q227" t="s">
        <v>156</v>
      </c>
    </row>
    <row r="228" spans="1:17" x14ac:dyDescent="0.2">
      <c r="A228">
        <v>153794</v>
      </c>
      <c r="B228">
        <v>887</v>
      </c>
      <c r="C228" s="1" t="s">
        <v>99</v>
      </c>
      <c r="D228" s="10">
        <v>44940.018750000003</v>
      </c>
      <c r="E228" t="s">
        <v>96</v>
      </c>
      <c r="F228" t="s">
        <v>24</v>
      </c>
      <c r="G228">
        <v>3781</v>
      </c>
      <c r="H228" s="5" t="s">
        <v>99</v>
      </c>
      <c r="I228" s="15">
        <v>44940</v>
      </c>
      <c r="J228" s="15" t="s">
        <v>232</v>
      </c>
      <c r="K228" s="6">
        <v>0.51875000000000004</v>
      </c>
      <c r="L228" t="s">
        <v>143</v>
      </c>
      <c r="M228">
        <v>200000</v>
      </c>
      <c r="N228" t="s">
        <v>214</v>
      </c>
      <c r="O228" t="s">
        <v>152</v>
      </c>
      <c r="P228">
        <v>28</v>
      </c>
      <c r="Q228" t="s">
        <v>155</v>
      </c>
    </row>
    <row r="229" spans="1:17" x14ac:dyDescent="0.2">
      <c r="A229">
        <v>155501</v>
      </c>
      <c r="B229">
        <v>1703</v>
      </c>
      <c r="C229" s="1" t="s">
        <v>100</v>
      </c>
      <c r="D229" s="10">
        <v>45005.977777777778</v>
      </c>
      <c r="E229" t="s">
        <v>191</v>
      </c>
      <c r="F229" t="s">
        <v>22</v>
      </c>
      <c r="G229">
        <v>2102</v>
      </c>
      <c r="H229" s="5" t="s">
        <v>100</v>
      </c>
      <c r="I229" s="15">
        <v>45005</v>
      </c>
      <c r="J229" s="15" t="s">
        <v>232</v>
      </c>
      <c r="K229" s="6">
        <v>0.4777777777777778</v>
      </c>
      <c r="L229" t="s">
        <v>144</v>
      </c>
      <c r="M229">
        <v>100000</v>
      </c>
      <c r="N229" t="s">
        <v>202</v>
      </c>
      <c r="O229" t="s">
        <v>152</v>
      </c>
      <c r="P229">
        <v>85</v>
      </c>
      <c r="Q229" t="s">
        <v>157</v>
      </c>
    </row>
    <row r="230" spans="1:17" x14ac:dyDescent="0.2">
      <c r="A230">
        <v>155731</v>
      </c>
      <c r="B230">
        <v>1212</v>
      </c>
      <c r="C230" s="1" t="s">
        <v>106</v>
      </c>
      <c r="D230" s="10">
        <v>45231.98333333333</v>
      </c>
      <c r="E230" t="s">
        <v>191</v>
      </c>
      <c r="F230" t="s">
        <v>41</v>
      </c>
      <c r="G230">
        <v>8205</v>
      </c>
      <c r="H230" s="5" t="s">
        <v>106</v>
      </c>
      <c r="I230" s="15">
        <v>45231</v>
      </c>
      <c r="J230" s="15" t="s">
        <v>295</v>
      </c>
      <c r="K230" s="6">
        <v>0.48333333333333334</v>
      </c>
      <c r="L230" t="s">
        <v>145</v>
      </c>
      <c r="M230">
        <v>150000</v>
      </c>
      <c r="N230" t="s">
        <v>203</v>
      </c>
      <c r="O230" t="s">
        <v>152</v>
      </c>
      <c r="P230">
        <v>43</v>
      </c>
      <c r="Q230" t="s">
        <v>156</v>
      </c>
    </row>
    <row r="231" spans="1:17" x14ac:dyDescent="0.2">
      <c r="A231">
        <v>157238</v>
      </c>
      <c r="B231">
        <v>1100</v>
      </c>
      <c r="C231" s="1" t="s">
        <v>105</v>
      </c>
      <c r="D231" s="10">
        <v>45011.023611111108</v>
      </c>
      <c r="E231" t="s">
        <v>96</v>
      </c>
      <c r="F231" t="s">
        <v>42</v>
      </c>
      <c r="G231">
        <v>5281</v>
      </c>
      <c r="H231" s="5" t="s">
        <v>105</v>
      </c>
      <c r="I231" s="15">
        <v>45011</v>
      </c>
      <c r="J231" s="15" t="s">
        <v>232</v>
      </c>
      <c r="K231" s="6">
        <v>0.52361111111111114</v>
      </c>
      <c r="L231" t="s">
        <v>144</v>
      </c>
      <c r="M231">
        <v>100000</v>
      </c>
      <c r="N231" t="s">
        <v>219</v>
      </c>
      <c r="O231" t="s">
        <v>152</v>
      </c>
      <c r="P231">
        <v>30</v>
      </c>
      <c r="Q231" t="s">
        <v>156</v>
      </c>
    </row>
    <row r="232" spans="1:17" x14ac:dyDescent="0.2">
      <c r="A232">
        <v>157882</v>
      </c>
      <c r="B232">
        <v>72</v>
      </c>
      <c r="C232" s="1" t="s">
        <v>105</v>
      </c>
      <c r="D232" s="10">
        <v>45254.037499999999</v>
      </c>
      <c r="E232" t="s">
        <v>98</v>
      </c>
      <c r="F232" t="s">
        <v>35</v>
      </c>
      <c r="G232">
        <v>8982</v>
      </c>
      <c r="H232" s="5" t="s">
        <v>105</v>
      </c>
      <c r="I232" s="15">
        <v>45254</v>
      </c>
      <c r="J232" s="15" t="s">
        <v>295</v>
      </c>
      <c r="K232" s="6">
        <v>0.53749999999999998</v>
      </c>
      <c r="L232" t="s">
        <v>144</v>
      </c>
      <c r="M232">
        <v>100000</v>
      </c>
      <c r="N232" t="s">
        <v>219</v>
      </c>
      <c r="O232" t="s">
        <v>152</v>
      </c>
      <c r="P232">
        <v>18</v>
      </c>
      <c r="Q232" t="s">
        <v>154</v>
      </c>
    </row>
    <row r="233" spans="1:17" x14ac:dyDescent="0.2">
      <c r="A233">
        <v>158217</v>
      </c>
      <c r="B233">
        <v>698</v>
      </c>
      <c r="C233" s="1" t="s">
        <v>101</v>
      </c>
      <c r="D233" s="10">
        <v>45075.083333333336</v>
      </c>
      <c r="E233" t="s">
        <v>191</v>
      </c>
      <c r="F233" t="s">
        <v>44</v>
      </c>
      <c r="G233">
        <v>424</v>
      </c>
      <c r="H233" s="5" t="s">
        <v>101</v>
      </c>
      <c r="I233" s="15">
        <v>45075</v>
      </c>
      <c r="J233" s="15" t="s">
        <v>233</v>
      </c>
      <c r="K233" s="6">
        <v>8.3333333333333329E-2</v>
      </c>
      <c r="L233" t="s">
        <v>144</v>
      </c>
      <c r="M233">
        <v>150000</v>
      </c>
      <c r="N233" t="s">
        <v>199</v>
      </c>
      <c r="O233" t="s">
        <v>151</v>
      </c>
      <c r="P233">
        <v>61</v>
      </c>
      <c r="Q233" t="s">
        <v>155</v>
      </c>
    </row>
    <row r="234" spans="1:17" x14ac:dyDescent="0.2">
      <c r="A234">
        <v>159503</v>
      </c>
      <c r="B234">
        <v>333</v>
      </c>
      <c r="C234" s="1" t="s">
        <v>109</v>
      </c>
      <c r="D234" s="10">
        <v>45060.020138888889</v>
      </c>
      <c r="E234" t="s">
        <v>97</v>
      </c>
      <c r="F234" t="s">
        <v>12</v>
      </c>
      <c r="G234">
        <v>5295</v>
      </c>
      <c r="H234" s="5" t="s">
        <v>109</v>
      </c>
      <c r="I234" s="15">
        <v>45060</v>
      </c>
      <c r="J234" s="15" t="s">
        <v>233</v>
      </c>
      <c r="K234" s="6">
        <v>0.52013888888888893</v>
      </c>
      <c r="L234" t="s">
        <v>143</v>
      </c>
      <c r="M234">
        <v>150000</v>
      </c>
      <c r="N234" t="s">
        <v>205</v>
      </c>
      <c r="O234" t="s">
        <v>151</v>
      </c>
      <c r="P234">
        <v>43</v>
      </c>
      <c r="Q234" t="s">
        <v>154</v>
      </c>
    </row>
    <row r="235" spans="1:17" x14ac:dyDescent="0.2">
      <c r="A235">
        <v>160435</v>
      </c>
      <c r="B235">
        <v>737</v>
      </c>
      <c r="C235" s="1" t="s">
        <v>113</v>
      </c>
      <c r="D235" s="10">
        <v>45083.96875</v>
      </c>
      <c r="E235" t="s">
        <v>96</v>
      </c>
      <c r="F235" t="s">
        <v>14</v>
      </c>
      <c r="G235">
        <v>2127</v>
      </c>
      <c r="H235" s="5" t="s">
        <v>113</v>
      </c>
      <c r="I235" s="15">
        <v>45083</v>
      </c>
      <c r="J235" s="15" t="s">
        <v>233</v>
      </c>
      <c r="K235" s="6">
        <v>0.46875</v>
      </c>
      <c r="L235" t="s">
        <v>142</v>
      </c>
      <c r="M235">
        <v>250000</v>
      </c>
      <c r="N235" t="s">
        <v>207</v>
      </c>
      <c r="O235" t="s">
        <v>151</v>
      </c>
      <c r="P235">
        <v>42</v>
      </c>
      <c r="Q235" t="s">
        <v>155</v>
      </c>
    </row>
    <row r="236" spans="1:17" x14ac:dyDescent="0.2">
      <c r="A236">
        <v>160692</v>
      </c>
      <c r="B236">
        <v>532</v>
      </c>
      <c r="C236" s="1" t="s">
        <v>99</v>
      </c>
      <c r="D236" s="10">
        <v>45236.044444444444</v>
      </c>
      <c r="E236" t="s">
        <v>191</v>
      </c>
      <c r="F236" t="s">
        <v>43</v>
      </c>
      <c r="G236">
        <v>679</v>
      </c>
      <c r="H236" s="5" t="s">
        <v>99</v>
      </c>
      <c r="I236" s="15">
        <v>45236</v>
      </c>
      <c r="J236" s="15" t="s">
        <v>295</v>
      </c>
      <c r="K236" s="6">
        <v>4.4444444444444446E-2</v>
      </c>
      <c r="L236" t="s">
        <v>145</v>
      </c>
      <c r="M236">
        <v>1000000</v>
      </c>
      <c r="N236" t="s">
        <v>203</v>
      </c>
      <c r="O236" t="s">
        <v>152</v>
      </c>
      <c r="P236">
        <v>84</v>
      </c>
      <c r="Q236" t="s">
        <v>155</v>
      </c>
    </row>
    <row r="237" spans="1:17" x14ac:dyDescent="0.2">
      <c r="A237">
        <v>162458</v>
      </c>
      <c r="B237">
        <v>1515</v>
      </c>
      <c r="C237" s="1" t="s">
        <v>99</v>
      </c>
      <c r="D237" s="10">
        <v>45266.040277777778</v>
      </c>
      <c r="E237" t="s">
        <v>98</v>
      </c>
      <c r="F237" t="s">
        <v>46</v>
      </c>
      <c r="G237">
        <v>3793</v>
      </c>
      <c r="H237" s="5" t="s">
        <v>99</v>
      </c>
      <c r="I237" s="15">
        <v>45266</v>
      </c>
      <c r="J237" s="15" t="s">
        <v>295</v>
      </c>
      <c r="K237" s="6">
        <v>0.54027777777777775</v>
      </c>
      <c r="L237" t="s">
        <v>142</v>
      </c>
      <c r="M237">
        <v>200000</v>
      </c>
      <c r="N237" t="s">
        <v>211</v>
      </c>
      <c r="O237" t="s">
        <v>151</v>
      </c>
      <c r="P237">
        <v>54</v>
      </c>
      <c r="Q237" t="s">
        <v>157</v>
      </c>
    </row>
    <row r="238" spans="1:17" x14ac:dyDescent="0.2">
      <c r="A238">
        <v>163919</v>
      </c>
      <c r="B238">
        <v>1635</v>
      </c>
      <c r="C238" s="1" t="s">
        <v>99</v>
      </c>
      <c r="D238" s="10">
        <v>45099.033333333333</v>
      </c>
      <c r="E238" t="s">
        <v>98</v>
      </c>
      <c r="F238" t="s">
        <v>8</v>
      </c>
      <c r="G238">
        <v>4116</v>
      </c>
      <c r="H238" s="5" t="s">
        <v>99</v>
      </c>
      <c r="I238" s="15">
        <v>45099</v>
      </c>
      <c r="J238" s="15" t="s">
        <v>233</v>
      </c>
      <c r="K238" s="6">
        <v>0.53333333333333333</v>
      </c>
      <c r="L238" t="s">
        <v>142</v>
      </c>
      <c r="M238">
        <v>200000</v>
      </c>
      <c r="N238" t="s">
        <v>201</v>
      </c>
      <c r="O238" t="s">
        <v>151</v>
      </c>
      <c r="P238">
        <v>41</v>
      </c>
      <c r="Q238" t="s">
        <v>157</v>
      </c>
    </row>
    <row r="239" spans="1:17" x14ac:dyDescent="0.2">
      <c r="A239">
        <v>164155</v>
      </c>
      <c r="B239">
        <v>820</v>
      </c>
      <c r="C239" s="1" t="s">
        <v>107</v>
      </c>
      <c r="D239" s="10">
        <v>45067.03402777778</v>
      </c>
      <c r="E239" t="s">
        <v>96</v>
      </c>
      <c r="F239" t="s">
        <v>46</v>
      </c>
      <c r="G239">
        <v>6498</v>
      </c>
      <c r="H239" s="5" t="s">
        <v>107</v>
      </c>
      <c r="I239" s="15">
        <v>45067</v>
      </c>
      <c r="J239" s="15" t="s">
        <v>233</v>
      </c>
      <c r="K239" s="6">
        <v>0.53402777777777777</v>
      </c>
      <c r="L239" t="s">
        <v>142</v>
      </c>
      <c r="M239">
        <v>200000</v>
      </c>
      <c r="N239" t="s">
        <v>211</v>
      </c>
      <c r="O239" t="s">
        <v>151</v>
      </c>
      <c r="P239">
        <v>29</v>
      </c>
      <c r="Q239" t="s">
        <v>155</v>
      </c>
    </row>
    <row r="240" spans="1:17" x14ac:dyDescent="0.2">
      <c r="A240">
        <v>165080</v>
      </c>
      <c r="B240">
        <v>715</v>
      </c>
      <c r="C240" s="1" t="s">
        <v>99</v>
      </c>
      <c r="D240" s="10">
        <v>45283.973611111112</v>
      </c>
      <c r="E240" t="s">
        <v>98</v>
      </c>
      <c r="F240" t="s">
        <v>47</v>
      </c>
      <c r="G240">
        <v>3378</v>
      </c>
      <c r="H240" s="5" t="s">
        <v>99</v>
      </c>
      <c r="I240" s="15">
        <v>45283</v>
      </c>
      <c r="J240" s="15" t="s">
        <v>295</v>
      </c>
      <c r="K240" s="6">
        <v>0.47361111111111109</v>
      </c>
      <c r="L240" t="s">
        <v>144</v>
      </c>
      <c r="M240">
        <v>100000</v>
      </c>
      <c r="N240" t="s">
        <v>218</v>
      </c>
      <c r="O240" t="s">
        <v>151</v>
      </c>
      <c r="P240">
        <v>81</v>
      </c>
      <c r="Q240" t="s">
        <v>155</v>
      </c>
    </row>
    <row r="241" spans="1:17" x14ac:dyDescent="0.2">
      <c r="A241">
        <v>165318</v>
      </c>
      <c r="B241">
        <v>1759</v>
      </c>
      <c r="C241" s="1" t="s">
        <v>105</v>
      </c>
      <c r="D241" s="10">
        <v>44966.034722222219</v>
      </c>
      <c r="E241" t="s">
        <v>98</v>
      </c>
      <c r="F241" t="s">
        <v>27</v>
      </c>
      <c r="G241">
        <v>3573</v>
      </c>
      <c r="H241" s="5" t="s">
        <v>105</v>
      </c>
      <c r="I241" s="15">
        <v>44966</v>
      </c>
      <c r="J241" s="15" t="s">
        <v>232</v>
      </c>
      <c r="K241" s="6">
        <v>0.53472222222222221</v>
      </c>
      <c r="L241" t="s">
        <v>142</v>
      </c>
      <c r="M241">
        <v>1000000</v>
      </c>
      <c r="N241" t="s">
        <v>209</v>
      </c>
      <c r="O241" t="s">
        <v>152</v>
      </c>
      <c r="P241">
        <v>22</v>
      </c>
      <c r="Q241" t="s">
        <v>157</v>
      </c>
    </row>
    <row r="242" spans="1:17" x14ac:dyDescent="0.2">
      <c r="A242">
        <v>165674</v>
      </c>
      <c r="B242">
        <v>614</v>
      </c>
      <c r="C242" s="1" t="s">
        <v>99</v>
      </c>
      <c r="D242" s="10">
        <v>45259.023611111108</v>
      </c>
      <c r="E242" t="s">
        <v>97</v>
      </c>
      <c r="F242" t="s">
        <v>4</v>
      </c>
      <c r="G242">
        <v>8831</v>
      </c>
      <c r="H242" s="5" t="s">
        <v>99</v>
      </c>
      <c r="I242" s="15">
        <v>45259</v>
      </c>
      <c r="J242" s="15" t="s">
        <v>295</v>
      </c>
      <c r="K242" s="6">
        <v>0.52361111111111114</v>
      </c>
      <c r="L242" t="s">
        <v>142</v>
      </c>
      <c r="M242">
        <v>200000</v>
      </c>
      <c r="N242" t="s">
        <v>197</v>
      </c>
      <c r="O242" t="s">
        <v>151</v>
      </c>
      <c r="P242">
        <v>36</v>
      </c>
      <c r="Q242" t="s">
        <v>155</v>
      </c>
    </row>
    <row r="243" spans="1:17" x14ac:dyDescent="0.2">
      <c r="A243">
        <v>165835</v>
      </c>
      <c r="B243">
        <v>1191</v>
      </c>
      <c r="C243" s="1" t="s">
        <v>101</v>
      </c>
      <c r="D243" s="10">
        <v>45077.011111111111</v>
      </c>
      <c r="E243" t="s">
        <v>97</v>
      </c>
      <c r="F243" t="s">
        <v>5</v>
      </c>
      <c r="G243">
        <v>2282</v>
      </c>
      <c r="H243" s="5" t="s">
        <v>101</v>
      </c>
      <c r="I243" s="15">
        <v>45077</v>
      </c>
      <c r="J243" s="15" t="s">
        <v>233</v>
      </c>
      <c r="K243" s="6">
        <v>0.51111111111111107</v>
      </c>
      <c r="L243" t="s">
        <v>143</v>
      </c>
      <c r="M243">
        <v>200000</v>
      </c>
      <c r="N243" t="s">
        <v>198</v>
      </c>
      <c r="O243" t="s">
        <v>151</v>
      </c>
      <c r="P243">
        <v>48</v>
      </c>
      <c r="Q243" t="s">
        <v>156</v>
      </c>
    </row>
    <row r="244" spans="1:17" x14ac:dyDescent="0.2">
      <c r="A244">
        <v>166687</v>
      </c>
      <c r="B244">
        <v>813</v>
      </c>
      <c r="C244" s="1" t="s">
        <v>106</v>
      </c>
      <c r="D244" s="10">
        <v>45067.024305555555</v>
      </c>
      <c r="E244" t="s">
        <v>98</v>
      </c>
      <c r="F244" t="s">
        <v>6</v>
      </c>
      <c r="G244">
        <v>2254</v>
      </c>
      <c r="H244" s="5" t="s">
        <v>106</v>
      </c>
      <c r="I244" s="15">
        <v>45067</v>
      </c>
      <c r="J244" s="15" t="s">
        <v>233</v>
      </c>
      <c r="K244" s="6">
        <v>0.52430555555555558</v>
      </c>
      <c r="L244" t="s">
        <v>144</v>
      </c>
      <c r="M244">
        <v>100000</v>
      </c>
      <c r="N244" t="s">
        <v>199</v>
      </c>
      <c r="O244" t="s">
        <v>151</v>
      </c>
      <c r="P244">
        <v>51</v>
      </c>
      <c r="Q244" t="s">
        <v>155</v>
      </c>
    </row>
    <row r="245" spans="1:17" x14ac:dyDescent="0.2">
      <c r="A245">
        <v>167720</v>
      </c>
      <c r="B245">
        <v>1887</v>
      </c>
      <c r="C245" s="1" t="s">
        <v>105</v>
      </c>
      <c r="D245" s="10">
        <v>45262.024305555555</v>
      </c>
      <c r="E245" t="s">
        <v>97</v>
      </c>
      <c r="F245" t="s">
        <v>7</v>
      </c>
      <c r="G245">
        <v>8941</v>
      </c>
      <c r="H245" s="5" t="s">
        <v>105</v>
      </c>
      <c r="I245" s="15">
        <v>45262</v>
      </c>
      <c r="J245" s="15" t="s">
        <v>295</v>
      </c>
      <c r="K245" s="6">
        <v>0.52430555555555558</v>
      </c>
      <c r="L245" t="s">
        <v>144</v>
      </c>
      <c r="M245">
        <v>150000</v>
      </c>
      <c r="N245" t="s">
        <v>200</v>
      </c>
      <c r="O245" t="s">
        <v>151</v>
      </c>
      <c r="P245">
        <v>89</v>
      </c>
      <c r="Q245" t="s">
        <v>157</v>
      </c>
    </row>
    <row r="246" spans="1:17" x14ac:dyDescent="0.2">
      <c r="A246">
        <v>169945</v>
      </c>
      <c r="B246">
        <v>1325</v>
      </c>
      <c r="C246" s="1" t="s">
        <v>105</v>
      </c>
      <c r="D246" s="10">
        <v>45111.037499999999</v>
      </c>
      <c r="E246" t="s">
        <v>191</v>
      </c>
      <c r="F246" t="s">
        <v>8</v>
      </c>
      <c r="G246">
        <v>9136</v>
      </c>
      <c r="H246" s="5" t="s">
        <v>105</v>
      </c>
      <c r="I246" s="15">
        <v>45111</v>
      </c>
      <c r="J246" s="15" t="s">
        <v>234</v>
      </c>
      <c r="K246" s="6">
        <v>0.53749999999999998</v>
      </c>
      <c r="L246" t="s">
        <v>142</v>
      </c>
      <c r="M246">
        <v>200000</v>
      </c>
      <c r="N246" t="s">
        <v>201</v>
      </c>
      <c r="O246" t="s">
        <v>152</v>
      </c>
      <c r="P246">
        <v>29</v>
      </c>
      <c r="Q246" t="s">
        <v>156</v>
      </c>
    </row>
    <row r="247" spans="1:17" x14ac:dyDescent="0.2">
      <c r="A247">
        <v>170046</v>
      </c>
      <c r="B247">
        <v>242</v>
      </c>
      <c r="C247" s="1" t="s">
        <v>99</v>
      </c>
      <c r="D247" s="10">
        <v>44942.039583333331</v>
      </c>
      <c r="E247" t="s">
        <v>97</v>
      </c>
      <c r="F247" t="s">
        <v>46</v>
      </c>
      <c r="G247">
        <v>9317</v>
      </c>
      <c r="H247" s="5" t="s">
        <v>99</v>
      </c>
      <c r="I247" s="15">
        <v>44942</v>
      </c>
      <c r="J247" s="15" t="s">
        <v>232</v>
      </c>
      <c r="K247" s="6">
        <v>0.5395833333333333</v>
      </c>
      <c r="L247" t="s">
        <v>142</v>
      </c>
      <c r="M247">
        <v>200000</v>
      </c>
      <c r="N247" t="s">
        <v>211</v>
      </c>
      <c r="O247" t="s">
        <v>152</v>
      </c>
      <c r="P247">
        <v>87</v>
      </c>
      <c r="Q247" t="s">
        <v>154</v>
      </c>
    </row>
    <row r="248" spans="1:17" x14ac:dyDescent="0.2">
      <c r="A248">
        <v>170058</v>
      </c>
      <c r="B248">
        <v>446</v>
      </c>
      <c r="C248" s="1" t="s">
        <v>99</v>
      </c>
      <c r="D248" s="10">
        <v>45241.034722222219</v>
      </c>
      <c r="E248" t="s">
        <v>97</v>
      </c>
      <c r="F248" t="s">
        <v>10</v>
      </c>
      <c r="G248">
        <v>8184</v>
      </c>
      <c r="H248" s="5" t="s">
        <v>99</v>
      </c>
      <c r="I248" s="15">
        <v>45241</v>
      </c>
      <c r="J248" s="15" t="s">
        <v>295</v>
      </c>
      <c r="K248" s="6">
        <v>0.53472222222222221</v>
      </c>
      <c r="L248" t="s">
        <v>145</v>
      </c>
      <c r="M248">
        <v>150000</v>
      </c>
      <c r="N248" t="s">
        <v>203</v>
      </c>
      <c r="O248" t="s">
        <v>151</v>
      </c>
      <c r="P248">
        <v>67</v>
      </c>
      <c r="Q248" t="s">
        <v>154</v>
      </c>
    </row>
    <row r="249" spans="1:17" x14ac:dyDescent="0.2">
      <c r="A249">
        <v>170864</v>
      </c>
      <c r="B249">
        <v>1870</v>
      </c>
      <c r="C249" s="1" t="s">
        <v>99</v>
      </c>
      <c r="D249" s="10">
        <v>45055.99722222222</v>
      </c>
      <c r="E249" t="s">
        <v>96</v>
      </c>
      <c r="F249" t="s">
        <v>7</v>
      </c>
      <c r="G249">
        <v>4281</v>
      </c>
      <c r="H249" s="5" t="s">
        <v>99</v>
      </c>
      <c r="I249" s="15">
        <v>45055</v>
      </c>
      <c r="J249" s="15" t="s">
        <v>233</v>
      </c>
      <c r="K249" s="6">
        <v>0.49722222222222223</v>
      </c>
      <c r="L249" t="s">
        <v>144</v>
      </c>
      <c r="M249">
        <v>150000</v>
      </c>
      <c r="N249" t="s">
        <v>200</v>
      </c>
      <c r="O249" t="s">
        <v>152</v>
      </c>
      <c r="P249">
        <v>39</v>
      </c>
      <c r="Q249" t="s">
        <v>157</v>
      </c>
    </row>
    <row r="250" spans="1:17" x14ac:dyDescent="0.2">
      <c r="A250">
        <v>170991</v>
      </c>
      <c r="B250">
        <v>1845</v>
      </c>
      <c r="C250" s="1" t="s">
        <v>102</v>
      </c>
      <c r="D250" s="10">
        <v>45109.987500000003</v>
      </c>
      <c r="E250" t="s">
        <v>191</v>
      </c>
      <c r="F250" t="s">
        <v>12</v>
      </c>
      <c r="G250">
        <v>2460</v>
      </c>
      <c r="H250" s="5" t="s">
        <v>102</v>
      </c>
      <c r="I250" s="15">
        <v>45109</v>
      </c>
      <c r="J250" s="15" t="s">
        <v>234</v>
      </c>
      <c r="K250" s="6">
        <v>0.48749999999999999</v>
      </c>
      <c r="L250" t="s">
        <v>143</v>
      </c>
      <c r="M250">
        <v>150000</v>
      </c>
      <c r="N250" t="s">
        <v>205</v>
      </c>
      <c r="O250" t="s">
        <v>152</v>
      </c>
      <c r="P250">
        <v>83</v>
      </c>
      <c r="Q250" t="s">
        <v>157</v>
      </c>
    </row>
    <row r="251" spans="1:17" x14ac:dyDescent="0.2">
      <c r="A251">
        <v>171269</v>
      </c>
      <c r="B251">
        <v>516</v>
      </c>
      <c r="C251" s="1" t="s">
        <v>100</v>
      </c>
      <c r="D251" s="10">
        <v>45160.012499999997</v>
      </c>
      <c r="E251" t="s">
        <v>191</v>
      </c>
      <c r="F251" t="s">
        <v>13</v>
      </c>
      <c r="G251">
        <v>5709</v>
      </c>
      <c r="H251" s="5" t="s">
        <v>100</v>
      </c>
      <c r="I251" s="15">
        <v>45160</v>
      </c>
      <c r="J251" s="15" t="s">
        <v>234</v>
      </c>
      <c r="K251" s="6">
        <v>0.51249999999999996</v>
      </c>
      <c r="L251" t="s">
        <v>143</v>
      </c>
      <c r="M251">
        <v>150000</v>
      </c>
      <c r="N251" t="s">
        <v>206</v>
      </c>
      <c r="O251" t="s">
        <v>151</v>
      </c>
      <c r="P251">
        <v>51</v>
      </c>
      <c r="Q251" t="s">
        <v>155</v>
      </c>
    </row>
    <row r="252" spans="1:17" x14ac:dyDescent="0.2">
      <c r="A252">
        <v>171420</v>
      </c>
      <c r="B252">
        <v>614</v>
      </c>
      <c r="C252" s="1" t="s">
        <v>99</v>
      </c>
      <c r="D252" s="10">
        <v>44943.035416666666</v>
      </c>
      <c r="E252" t="s">
        <v>98</v>
      </c>
      <c r="F252" t="s">
        <v>10</v>
      </c>
      <c r="G252">
        <v>8738</v>
      </c>
      <c r="H252" s="5" t="s">
        <v>99</v>
      </c>
      <c r="I252" s="15">
        <v>44943</v>
      </c>
      <c r="J252" s="15" t="s">
        <v>232</v>
      </c>
      <c r="K252" s="6">
        <v>0.53541666666666665</v>
      </c>
      <c r="L252" t="s">
        <v>145</v>
      </c>
      <c r="M252">
        <v>150000</v>
      </c>
      <c r="N252" t="s">
        <v>203</v>
      </c>
      <c r="O252" t="s">
        <v>151</v>
      </c>
      <c r="P252">
        <v>36</v>
      </c>
      <c r="Q252" t="s">
        <v>155</v>
      </c>
    </row>
    <row r="253" spans="1:17" x14ac:dyDescent="0.2">
      <c r="A253">
        <v>172114</v>
      </c>
      <c r="B253">
        <v>264</v>
      </c>
      <c r="C253" s="1" t="s">
        <v>99</v>
      </c>
      <c r="D253" s="10">
        <v>44979.015277777777</v>
      </c>
      <c r="E253" t="s">
        <v>191</v>
      </c>
      <c r="F253" t="s">
        <v>15</v>
      </c>
      <c r="G253">
        <v>5214</v>
      </c>
      <c r="H253" s="5" t="s">
        <v>99</v>
      </c>
      <c r="I253" s="15">
        <v>44979</v>
      </c>
      <c r="J253" s="15" t="s">
        <v>232</v>
      </c>
      <c r="K253" s="6">
        <v>0.51527777777777772</v>
      </c>
      <c r="L253" t="s">
        <v>143</v>
      </c>
      <c r="M253">
        <v>150000</v>
      </c>
      <c r="N253" t="s">
        <v>198</v>
      </c>
      <c r="O253" t="s">
        <v>151</v>
      </c>
      <c r="P253">
        <v>46</v>
      </c>
      <c r="Q253" t="s">
        <v>154</v>
      </c>
    </row>
    <row r="254" spans="1:17" x14ac:dyDescent="0.2">
      <c r="A254">
        <v>172649</v>
      </c>
      <c r="B254">
        <v>1816</v>
      </c>
      <c r="C254" s="1" t="s">
        <v>105</v>
      </c>
      <c r="D254" s="10">
        <v>44981.038194444445</v>
      </c>
      <c r="E254" t="s">
        <v>191</v>
      </c>
      <c r="F254" t="s">
        <v>16</v>
      </c>
      <c r="G254">
        <v>6377</v>
      </c>
      <c r="H254" s="5" t="s">
        <v>105</v>
      </c>
      <c r="I254" s="15">
        <v>44981</v>
      </c>
      <c r="J254" s="15" t="s">
        <v>232</v>
      </c>
      <c r="K254" s="6">
        <v>0.53819444444444442</v>
      </c>
      <c r="L254" t="s">
        <v>142</v>
      </c>
      <c r="M254">
        <v>80000</v>
      </c>
      <c r="N254" t="s">
        <v>208</v>
      </c>
      <c r="O254" t="s">
        <v>151</v>
      </c>
      <c r="P254">
        <v>75</v>
      </c>
      <c r="Q254" t="s">
        <v>157</v>
      </c>
    </row>
    <row r="255" spans="1:17" x14ac:dyDescent="0.2">
      <c r="A255">
        <v>174652</v>
      </c>
      <c r="B255">
        <v>218</v>
      </c>
      <c r="C255" s="1" t="s">
        <v>100</v>
      </c>
      <c r="D255" s="10">
        <v>45254.977777777778</v>
      </c>
      <c r="E255" t="s">
        <v>191</v>
      </c>
      <c r="F255" t="s">
        <v>17</v>
      </c>
      <c r="G255">
        <v>9736</v>
      </c>
      <c r="H255" s="5" t="s">
        <v>100</v>
      </c>
      <c r="I255" s="15">
        <v>45254</v>
      </c>
      <c r="J255" s="15" t="s">
        <v>295</v>
      </c>
      <c r="K255" s="6">
        <v>0.4777777777777778</v>
      </c>
      <c r="L255" t="s">
        <v>142</v>
      </c>
      <c r="M255">
        <v>100000</v>
      </c>
      <c r="N255" t="s">
        <v>209</v>
      </c>
      <c r="O255" t="s">
        <v>152</v>
      </c>
      <c r="P255">
        <v>34</v>
      </c>
      <c r="Q255" t="s">
        <v>154</v>
      </c>
    </row>
    <row r="256" spans="1:17" x14ac:dyDescent="0.2">
      <c r="A256">
        <v>174998</v>
      </c>
      <c r="B256">
        <v>1303</v>
      </c>
      <c r="C256" s="1" t="s">
        <v>105</v>
      </c>
      <c r="D256" s="10">
        <v>44986.994444444441</v>
      </c>
      <c r="E256" t="s">
        <v>191</v>
      </c>
      <c r="F256" t="s">
        <v>75</v>
      </c>
      <c r="G256">
        <v>5209</v>
      </c>
      <c r="H256" s="5" t="s">
        <v>105</v>
      </c>
      <c r="I256" s="15">
        <v>44986</v>
      </c>
      <c r="J256" s="15" t="s">
        <v>232</v>
      </c>
      <c r="K256" s="6">
        <v>0.49444444444444446</v>
      </c>
      <c r="L256" t="s">
        <v>143</v>
      </c>
      <c r="M256">
        <v>50000</v>
      </c>
      <c r="N256" t="s">
        <v>205</v>
      </c>
      <c r="O256" t="s">
        <v>151</v>
      </c>
      <c r="P256">
        <v>81</v>
      </c>
      <c r="Q256" t="s">
        <v>156</v>
      </c>
    </row>
    <row r="257" spans="1:17" x14ac:dyDescent="0.2">
      <c r="A257">
        <v>175577</v>
      </c>
      <c r="B257">
        <v>515</v>
      </c>
      <c r="C257" s="1" t="s">
        <v>105</v>
      </c>
      <c r="D257" s="10">
        <v>45251.078472222223</v>
      </c>
      <c r="E257" t="s">
        <v>96</v>
      </c>
      <c r="F257" t="s">
        <v>19</v>
      </c>
      <c r="G257">
        <v>5334</v>
      </c>
      <c r="H257" s="5" t="s">
        <v>105</v>
      </c>
      <c r="I257" s="15">
        <v>45251</v>
      </c>
      <c r="J257" s="15" t="s">
        <v>295</v>
      </c>
      <c r="K257" s="6">
        <v>7.8472222222222221E-2</v>
      </c>
      <c r="L257" t="s">
        <v>142</v>
      </c>
      <c r="M257">
        <v>150000</v>
      </c>
      <c r="N257" t="s">
        <v>211</v>
      </c>
      <c r="O257" t="s">
        <v>152</v>
      </c>
      <c r="P257">
        <v>37</v>
      </c>
      <c r="Q257" t="s">
        <v>155</v>
      </c>
    </row>
    <row r="258" spans="1:17" x14ac:dyDescent="0.2">
      <c r="A258">
        <v>177047</v>
      </c>
      <c r="B258">
        <v>1189</v>
      </c>
      <c r="C258" s="1" t="s">
        <v>100</v>
      </c>
      <c r="D258" s="10">
        <v>45151.970833333333</v>
      </c>
      <c r="E258" t="s">
        <v>97</v>
      </c>
      <c r="F258" t="s">
        <v>20</v>
      </c>
      <c r="G258">
        <v>2516</v>
      </c>
      <c r="H258" s="5" t="s">
        <v>100</v>
      </c>
      <c r="I258" s="15">
        <v>45151</v>
      </c>
      <c r="J258" s="15" t="s">
        <v>234</v>
      </c>
      <c r="K258" s="6">
        <v>0.47083333333333333</v>
      </c>
      <c r="L258" t="s">
        <v>146</v>
      </c>
      <c r="M258">
        <v>150000</v>
      </c>
      <c r="N258" t="s">
        <v>212</v>
      </c>
      <c r="O258" t="s">
        <v>152</v>
      </c>
      <c r="P258">
        <v>69</v>
      </c>
      <c r="Q258" t="s">
        <v>156</v>
      </c>
    </row>
    <row r="259" spans="1:17" x14ac:dyDescent="0.2">
      <c r="A259">
        <v>177753</v>
      </c>
      <c r="B259">
        <v>790</v>
      </c>
      <c r="C259" s="1" t="s">
        <v>113</v>
      </c>
      <c r="D259" s="10">
        <v>45144.030555555553</v>
      </c>
      <c r="E259" t="s">
        <v>97</v>
      </c>
      <c r="F259" t="s">
        <v>21</v>
      </c>
      <c r="G259">
        <v>5420</v>
      </c>
      <c r="H259" s="5" t="s">
        <v>113</v>
      </c>
      <c r="I259" s="15">
        <v>45144</v>
      </c>
      <c r="J259" s="15" t="s">
        <v>234</v>
      </c>
      <c r="K259" s="6">
        <v>0.53055555555555556</v>
      </c>
      <c r="L259" t="s">
        <v>142</v>
      </c>
      <c r="M259">
        <v>150000</v>
      </c>
      <c r="N259" t="s">
        <v>211</v>
      </c>
      <c r="O259" t="s">
        <v>151</v>
      </c>
      <c r="P259">
        <v>85</v>
      </c>
      <c r="Q259" t="s">
        <v>155</v>
      </c>
    </row>
    <row r="260" spans="1:17" x14ac:dyDescent="0.2">
      <c r="A260">
        <v>177897</v>
      </c>
      <c r="B260">
        <v>1698</v>
      </c>
      <c r="C260" s="1" t="s">
        <v>100</v>
      </c>
      <c r="D260" s="10">
        <v>45143.972222222219</v>
      </c>
      <c r="E260" t="s">
        <v>97</v>
      </c>
      <c r="F260" t="s">
        <v>83</v>
      </c>
      <c r="G260">
        <v>8289</v>
      </c>
      <c r="H260" s="5" t="s">
        <v>100</v>
      </c>
      <c r="I260" s="15">
        <v>45143</v>
      </c>
      <c r="J260" s="15" t="s">
        <v>234</v>
      </c>
      <c r="K260" s="6">
        <v>0.47222222222222221</v>
      </c>
      <c r="L260" t="s">
        <v>143</v>
      </c>
      <c r="M260">
        <v>200000</v>
      </c>
      <c r="N260" t="s">
        <v>206</v>
      </c>
      <c r="O260" t="s">
        <v>152</v>
      </c>
      <c r="P260">
        <v>34</v>
      </c>
      <c r="Q260" t="s">
        <v>157</v>
      </c>
    </row>
    <row r="261" spans="1:17" x14ac:dyDescent="0.2">
      <c r="A261">
        <v>177908</v>
      </c>
      <c r="B261">
        <v>1848</v>
      </c>
      <c r="C261" s="1" t="s">
        <v>99</v>
      </c>
      <c r="D261" s="10">
        <v>45045.975694444445</v>
      </c>
      <c r="E261" t="s">
        <v>98</v>
      </c>
      <c r="F261" t="s">
        <v>4</v>
      </c>
      <c r="G261">
        <v>1341</v>
      </c>
      <c r="H261" s="5" t="s">
        <v>99</v>
      </c>
      <c r="I261" s="15">
        <v>45045</v>
      </c>
      <c r="J261" s="15" t="s">
        <v>233</v>
      </c>
      <c r="K261" s="6">
        <v>0.47569444444444442</v>
      </c>
      <c r="L261" t="s">
        <v>142</v>
      </c>
      <c r="M261">
        <v>200000</v>
      </c>
      <c r="N261" t="s">
        <v>197</v>
      </c>
      <c r="O261" t="s">
        <v>151</v>
      </c>
      <c r="P261">
        <v>63</v>
      </c>
      <c r="Q261" t="s">
        <v>157</v>
      </c>
    </row>
    <row r="262" spans="1:17" x14ac:dyDescent="0.2">
      <c r="A262">
        <v>178044</v>
      </c>
      <c r="B262">
        <v>1576</v>
      </c>
      <c r="C262" s="1" t="s">
        <v>99</v>
      </c>
      <c r="D262" s="10">
        <v>44961.056944444441</v>
      </c>
      <c r="E262" t="s">
        <v>191</v>
      </c>
      <c r="F262" t="s">
        <v>23</v>
      </c>
      <c r="G262">
        <v>8097</v>
      </c>
      <c r="H262" s="5" t="s">
        <v>99</v>
      </c>
      <c r="I262" s="15">
        <v>44961</v>
      </c>
      <c r="J262" s="15" t="s">
        <v>232</v>
      </c>
      <c r="K262" s="6">
        <v>5.6944444444444443E-2</v>
      </c>
      <c r="L262" t="s">
        <v>142</v>
      </c>
      <c r="M262">
        <v>150000</v>
      </c>
      <c r="N262" t="s">
        <v>213</v>
      </c>
      <c r="O262" t="s">
        <v>151</v>
      </c>
      <c r="P262">
        <v>70</v>
      </c>
      <c r="Q262" t="s">
        <v>157</v>
      </c>
    </row>
    <row r="263" spans="1:17" x14ac:dyDescent="0.2">
      <c r="A263">
        <v>178761</v>
      </c>
      <c r="B263">
        <v>1021</v>
      </c>
      <c r="C263" s="1" t="s">
        <v>106</v>
      </c>
      <c r="D263" s="10">
        <v>44982.941666666666</v>
      </c>
      <c r="E263" t="s">
        <v>98</v>
      </c>
      <c r="F263" t="s">
        <v>9</v>
      </c>
      <c r="G263">
        <v>2487</v>
      </c>
      <c r="H263" s="5" t="s">
        <v>106</v>
      </c>
      <c r="I263" s="15">
        <v>44982</v>
      </c>
      <c r="J263" s="15" t="s">
        <v>232</v>
      </c>
      <c r="K263" s="6">
        <v>0.44166666666666665</v>
      </c>
      <c r="L263" t="s">
        <v>144</v>
      </c>
      <c r="M263">
        <v>150000</v>
      </c>
      <c r="N263" t="s">
        <v>202</v>
      </c>
      <c r="O263" t="s">
        <v>151</v>
      </c>
      <c r="P263">
        <v>49</v>
      </c>
      <c r="Q263" t="s">
        <v>156</v>
      </c>
    </row>
    <row r="264" spans="1:17" x14ac:dyDescent="0.2">
      <c r="A264">
        <v>179974</v>
      </c>
      <c r="B264">
        <v>1547</v>
      </c>
      <c r="C264" s="1" t="s">
        <v>100</v>
      </c>
      <c r="D264" s="10">
        <v>45064.027777777781</v>
      </c>
      <c r="E264" t="s">
        <v>98</v>
      </c>
      <c r="F264" t="s">
        <v>18</v>
      </c>
      <c r="G264">
        <v>5106</v>
      </c>
      <c r="H264" s="5" t="s">
        <v>100</v>
      </c>
      <c r="I264" s="15">
        <v>45064</v>
      </c>
      <c r="J264" s="15" t="s">
        <v>233</v>
      </c>
      <c r="K264" s="6">
        <v>0.52777777777777779</v>
      </c>
      <c r="L264" t="s">
        <v>145</v>
      </c>
      <c r="M264">
        <v>200000</v>
      </c>
      <c r="N264" t="s">
        <v>210</v>
      </c>
      <c r="O264" t="s">
        <v>151</v>
      </c>
      <c r="P264">
        <v>37</v>
      </c>
      <c r="Q264" t="s">
        <v>157</v>
      </c>
    </row>
    <row r="265" spans="1:17" x14ac:dyDescent="0.2">
      <c r="A265">
        <v>180507</v>
      </c>
      <c r="B265">
        <v>1459</v>
      </c>
      <c r="C265" s="1" t="s">
        <v>100</v>
      </c>
      <c r="D265" s="10">
        <v>45061.940972222219</v>
      </c>
      <c r="E265" t="s">
        <v>98</v>
      </c>
      <c r="F265" t="s">
        <v>25</v>
      </c>
      <c r="G265">
        <v>1697</v>
      </c>
      <c r="H265" s="5" t="s">
        <v>100</v>
      </c>
      <c r="I265" s="15">
        <v>45061</v>
      </c>
      <c r="J265" s="15" t="s">
        <v>233</v>
      </c>
      <c r="K265" s="6">
        <v>0.44097222222222221</v>
      </c>
      <c r="L265" t="s">
        <v>142</v>
      </c>
      <c r="M265">
        <v>100000</v>
      </c>
      <c r="N265" t="s">
        <v>201</v>
      </c>
      <c r="O265" t="s">
        <v>151</v>
      </c>
      <c r="P265">
        <v>59</v>
      </c>
      <c r="Q265" t="s">
        <v>156</v>
      </c>
    </row>
    <row r="266" spans="1:17" x14ac:dyDescent="0.2">
      <c r="A266">
        <v>180775</v>
      </c>
      <c r="B266">
        <v>645</v>
      </c>
      <c r="C266" s="1" t="s">
        <v>108</v>
      </c>
      <c r="D266" s="10">
        <v>45005.003472222219</v>
      </c>
      <c r="E266" t="s">
        <v>98</v>
      </c>
      <c r="F266" t="s">
        <v>26</v>
      </c>
      <c r="G266">
        <v>4981</v>
      </c>
      <c r="H266" s="5" t="s">
        <v>108</v>
      </c>
      <c r="I266" s="15">
        <v>45005</v>
      </c>
      <c r="J266" s="15" t="s">
        <v>232</v>
      </c>
      <c r="K266" s="6">
        <v>0.50347222222222221</v>
      </c>
      <c r="L266" t="s">
        <v>145</v>
      </c>
      <c r="M266">
        <v>100000</v>
      </c>
      <c r="N266" t="s">
        <v>210</v>
      </c>
      <c r="O266" t="s">
        <v>152</v>
      </c>
      <c r="P266">
        <v>40</v>
      </c>
      <c r="Q266" t="s">
        <v>155</v>
      </c>
    </row>
    <row r="267" spans="1:17" x14ac:dyDescent="0.2">
      <c r="A267">
        <v>182197</v>
      </c>
      <c r="B267">
        <v>74</v>
      </c>
      <c r="C267" s="1" t="s">
        <v>99</v>
      </c>
      <c r="D267" s="10">
        <v>45081.07916666667</v>
      </c>
      <c r="E267" t="s">
        <v>97</v>
      </c>
      <c r="F267" t="s">
        <v>27</v>
      </c>
      <c r="G267">
        <v>801</v>
      </c>
      <c r="H267" s="5" t="s">
        <v>99</v>
      </c>
      <c r="I267" s="15">
        <v>45081</v>
      </c>
      <c r="J267" s="15" t="s">
        <v>233</v>
      </c>
      <c r="K267" s="6">
        <v>7.9166666666666663E-2</v>
      </c>
      <c r="L267" t="s">
        <v>142</v>
      </c>
      <c r="M267">
        <v>1000000</v>
      </c>
      <c r="N267" t="s">
        <v>209</v>
      </c>
      <c r="O267" t="s">
        <v>152</v>
      </c>
      <c r="P267">
        <v>28</v>
      </c>
      <c r="Q267" t="s">
        <v>154</v>
      </c>
    </row>
    <row r="268" spans="1:17" x14ac:dyDescent="0.2">
      <c r="A268">
        <v>182299</v>
      </c>
      <c r="B268">
        <v>570</v>
      </c>
      <c r="C268" s="1" t="s">
        <v>113</v>
      </c>
      <c r="D268" s="10">
        <v>45212.022916666669</v>
      </c>
      <c r="E268" t="s">
        <v>97</v>
      </c>
      <c r="F268" t="s">
        <v>27</v>
      </c>
      <c r="G268">
        <v>2238</v>
      </c>
      <c r="H268" s="5" t="s">
        <v>113</v>
      </c>
      <c r="I268" s="15">
        <v>45212</v>
      </c>
      <c r="J268" s="15" t="s">
        <v>295</v>
      </c>
      <c r="K268" s="6">
        <v>0.5229166666666667</v>
      </c>
      <c r="L268" t="s">
        <v>142</v>
      </c>
      <c r="M268">
        <v>1000000</v>
      </c>
      <c r="N268" t="s">
        <v>209</v>
      </c>
      <c r="O268" t="s">
        <v>152</v>
      </c>
      <c r="P268">
        <v>66</v>
      </c>
      <c r="Q268" t="s">
        <v>155</v>
      </c>
    </row>
    <row r="269" spans="1:17" x14ac:dyDescent="0.2">
      <c r="A269">
        <v>182441</v>
      </c>
      <c r="B269">
        <v>1694</v>
      </c>
      <c r="C269" s="1" t="s">
        <v>111</v>
      </c>
      <c r="D269" s="10">
        <v>45278.959027777775</v>
      </c>
      <c r="E269" t="s">
        <v>191</v>
      </c>
      <c r="F269" t="s">
        <v>30</v>
      </c>
      <c r="G269">
        <v>1072</v>
      </c>
      <c r="H269" s="5" t="s">
        <v>111</v>
      </c>
      <c r="I269" s="15">
        <v>45278</v>
      </c>
      <c r="J269" s="15" t="s">
        <v>295</v>
      </c>
      <c r="K269" s="6">
        <v>0.45902777777777776</v>
      </c>
      <c r="L269" t="s">
        <v>144</v>
      </c>
      <c r="M269">
        <v>200000</v>
      </c>
      <c r="N269" t="s">
        <v>216</v>
      </c>
      <c r="O269" t="s">
        <v>151</v>
      </c>
      <c r="P269">
        <v>83</v>
      </c>
      <c r="Q269" t="s">
        <v>157</v>
      </c>
    </row>
    <row r="270" spans="1:17" x14ac:dyDescent="0.2">
      <c r="A270">
        <v>183352</v>
      </c>
      <c r="B270">
        <v>1682</v>
      </c>
      <c r="C270" s="1" t="s">
        <v>100</v>
      </c>
      <c r="D270" s="10">
        <v>45215.024305555555</v>
      </c>
      <c r="E270" t="s">
        <v>191</v>
      </c>
      <c r="F270" t="s">
        <v>78</v>
      </c>
      <c r="G270">
        <v>8347</v>
      </c>
      <c r="H270" s="5" t="s">
        <v>100</v>
      </c>
      <c r="I270" s="15">
        <v>45215</v>
      </c>
      <c r="J270" s="15" t="s">
        <v>295</v>
      </c>
      <c r="K270" s="6">
        <v>0.52430555555555558</v>
      </c>
      <c r="L270" t="s">
        <v>143</v>
      </c>
      <c r="M270">
        <v>200000</v>
      </c>
      <c r="N270" t="s">
        <v>215</v>
      </c>
      <c r="O270" t="s">
        <v>151</v>
      </c>
      <c r="P270">
        <v>72</v>
      </c>
      <c r="Q270" t="s">
        <v>157</v>
      </c>
    </row>
    <row r="271" spans="1:17" x14ac:dyDescent="0.2">
      <c r="A271">
        <v>183380</v>
      </c>
      <c r="B271">
        <v>1712</v>
      </c>
      <c r="C271" s="1" t="s">
        <v>109</v>
      </c>
      <c r="D271" s="10">
        <v>45113.002083333333</v>
      </c>
      <c r="E271" t="s">
        <v>191</v>
      </c>
      <c r="F271" t="s">
        <v>43</v>
      </c>
      <c r="G271">
        <v>1046</v>
      </c>
      <c r="H271" s="5" t="s">
        <v>109</v>
      </c>
      <c r="I271" s="15">
        <v>45113</v>
      </c>
      <c r="J271" s="15" t="s">
        <v>234</v>
      </c>
      <c r="K271" s="6">
        <v>0.50208333333333333</v>
      </c>
      <c r="L271" t="s">
        <v>145</v>
      </c>
      <c r="M271">
        <v>1000000</v>
      </c>
      <c r="N271" t="s">
        <v>203</v>
      </c>
      <c r="O271" t="s">
        <v>152</v>
      </c>
      <c r="P271">
        <v>82</v>
      </c>
      <c r="Q271" t="s">
        <v>157</v>
      </c>
    </row>
    <row r="272" spans="1:17" x14ac:dyDescent="0.2">
      <c r="A272">
        <v>183654</v>
      </c>
      <c r="B272">
        <v>618</v>
      </c>
      <c r="C272" s="1" t="s">
        <v>102</v>
      </c>
      <c r="D272" s="10">
        <v>45152.959722222222</v>
      </c>
      <c r="E272" t="s">
        <v>96</v>
      </c>
      <c r="F272" t="s">
        <v>27</v>
      </c>
      <c r="G272">
        <v>1434</v>
      </c>
      <c r="H272" s="5" t="s">
        <v>102</v>
      </c>
      <c r="I272" s="15">
        <v>45152</v>
      </c>
      <c r="J272" s="15" t="s">
        <v>234</v>
      </c>
      <c r="K272" s="6">
        <v>0.4597222222222222</v>
      </c>
      <c r="L272" t="s">
        <v>142</v>
      </c>
      <c r="M272">
        <v>1000000</v>
      </c>
      <c r="N272" t="s">
        <v>209</v>
      </c>
      <c r="O272" t="s">
        <v>152</v>
      </c>
      <c r="P272">
        <v>58</v>
      </c>
      <c r="Q272" t="s">
        <v>155</v>
      </c>
    </row>
    <row r="273" spans="1:17" x14ac:dyDescent="0.2">
      <c r="A273">
        <v>184958</v>
      </c>
      <c r="B273">
        <v>1354</v>
      </c>
      <c r="C273" s="1" t="s">
        <v>106</v>
      </c>
      <c r="D273" s="10">
        <v>45150.040277777778</v>
      </c>
      <c r="E273" t="s">
        <v>96</v>
      </c>
      <c r="F273" t="s">
        <v>30</v>
      </c>
      <c r="G273">
        <v>39</v>
      </c>
      <c r="H273" s="5" t="s">
        <v>106</v>
      </c>
      <c r="I273" s="15">
        <v>45150</v>
      </c>
      <c r="J273" s="15" t="s">
        <v>234</v>
      </c>
      <c r="K273" s="6">
        <v>0.54027777777777775</v>
      </c>
      <c r="L273" t="s">
        <v>144</v>
      </c>
      <c r="M273">
        <v>200000</v>
      </c>
      <c r="N273" t="s">
        <v>216</v>
      </c>
      <c r="O273" t="s">
        <v>151</v>
      </c>
      <c r="P273">
        <v>68</v>
      </c>
      <c r="Q273" t="s">
        <v>156</v>
      </c>
    </row>
    <row r="274" spans="1:17" x14ac:dyDescent="0.2">
      <c r="A274">
        <v>185213</v>
      </c>
      <c r="B274">
        <v>868</v>
      </c>
      <c r="C274" s="1" t="s">
        <v>110</v>
      </c>
      <c r="D274" s="10">
        <v>45032.944444444445</v>
      </c>
      <c r="E274" t="s">
        <v>97</v>
      </c>
      <c r="F274" t="s">
        <v>74</v>
      </c>
      <c r="G274">
        <v>4245</v>
      </c>
      <c r="H274" s="5" t="s">
        <v>110</v>
      </c>
      <c r="I274" s="15">
        <v>45032</v>
      </c>
      <c r="J274" s="15" t="s">
        <v>233</v>
      </c>
      <c r="K274" s="6">
        <v>0.44444444444444442</v>
      </c>
      <c r="L274" t="s">
        <v>145</v>
      </c>
      <c r="M274">
        <v>150000</v>
      </c>
      <c r="N274" t="s">
        <v>226</v>
      </c>
      <c r="O274" t="s">
        <v>152</v>
      </c>
      <c r="P274">
        <v>31</v>
      </c>
      <c r="Q274" t="s">
        <v>155</v>
      </c>
    </row>
    <row r="275" spans="1:17" x14ac:dyDescent="0.2">
      <c r="A275">
        <v>185809</v>
      </c>
      <c r="B275">
        <v>1830</v>
      </c>
      <c r="C275" s="1" t="s">
        <v>101</v>
      </c>
      <c r="D275" s="10">
        <v>44993.088194444441</v>
      </c>
      <c r="E275" t="s">
        <v>191</v>
      </c>
      <c r="F275" t="s">
        <v>54</v>
      </c>
      <c r="G275">
        <v>3863</v>
      </c>
      <c r="H275" s="5" t="s">
        <v>101</v>
      </c>
      <c r="I275" s="15">
        <v>44993</v>
      </c>
      <c r="J275" s="15" t="s">
        <v>232</v>
      </c>
      <c r="K275" s="6">
        <v>8.819444444444445E-2</v>
      </c>
      <c r="L275" t="s">
        <v>144</v>
      </c>
      <c r="M275">
        <v>100000</v>
      </c>
      <c r="N275" t="s">
        <v>224</v>
      </c>
      <c r="O275" t="s">
        <v>152</v>
      </c>
      <c r="P275">
        <v>44</v>
      </c>
      <c r="Q275" t="s">
        <v>157</v>
      </c>
    </row>
    <row r="276" spans="1:17" x14ac:dyDescent="0.2">
      <c r="A276">
        <v>187527</v>
      </c>
      <c r="B276">
        <v>877</v>
      </c>
      <c r="C276" s="1" t="s">
        <v>113</v>
      </c>
      <c r="D276" s="10">
        <v>45023.056944444441</v>
      </c>
      <c r="E276" t="s">
        <v>191</v>
      </c>
      <c r="F276" t="s">
        <v>38</v>
      </c>
      <c r="G276">
        <v>6774</v>
      </c>
      <c r="H276" s="5" t="s">
        <v>113</v>
      </c>
      <c r="I276" s="15">
        <v>45023</v>
      </c>
      <c r="J276" s="15" t="s">
        <v>233</v>
      </c>
      <c r="K276" s="6">
        <v>5.6944444444444443E-2</v>
      </c>
      <c r="L276" t="s">
        <v>143</v>
      </c>
      <c r="M276">
        <v>100000</v>
      </c>
      <c r="N276" t="s">
        <v>221</v>
      </c>
      <c r="O276" t="s">
        <v>151</v>
      </c>
      <c r="P276">
        <v>78</v>
      </c>
      <c r="Q276" t="s">
        <v>155</v>
      </c>
    </row>
    <row r="277" spans="1:17" x14ac:dyDescent="0.2">
      <c r="A277">
        <v>187746</v>
      </c>
      <c r="B277">
        <v>500</v>
      </c>
      <c r="C277" s="1" t="s">
        <v>99</v>
      </c>
      <c r="D277" s="10">
        <v>45220.008333333331</v>
      </c>
      <c r="E277" t="s">
        <v>96</v>
      </c>
      <c r="F277" t="s">
        <v>34</v>
      </c>
      <c r="G277">
        <v>946</v>
      </c>
      <c r="H277" s="5" t="s">
        <v>99</v>
      </c>
      <c r="I277" s="15">
        <v>45220</v>
      </c>
      <c r="J277" s="15" t="s">
        <v>295</v>
      </c>
      <c r="K277" s="6">
        <v>0.5083333333333333</v>
      </c>
      <c r="L277" t="s">
        <v>144</v>
      </c>
      <c r="M277">
        <v>150000</v>
      </c>
      <c r="N277" t="s">
        <v>218</v>
      </c>
      <c r="O277" t="s">
        <v>152</v>
      </c>
      <c r="P277">
        <v>77</v>
      </c>
      <c r="Q277" t="s">
        <v>154</v>
      </c>
    </row>
    <row r="278" spans="1:17" x14ac:dyDescent="0.2">
      <c r="A278">
        <v>188610</v>
      </c>
      <c r="B278">
        <v>1057</v>
      </c>
      <c r="C278" s="1" t="s">
        <v>105</v>
      </c>
      <c r="D278" s="10">
        <v>44962.988888888889</v>
      </c>
      <c r="E278" t="s">
        <v>97</v>
      </c>
      <c r="F278" t="s">
        <v>79</v>
      </c>
      <c r="G278">
        <v>597</v>
      </c>
      <c r="H278" s="5" t="s">
        <v>105</v>
      </c>
      <c r="I278" s="15">
        <v>44962</v>
      </c>
      <c r="J278" s="15" t="s">
        <v>232</v>
      </c>
      <c r="K278" s="6">
        <v>0.48888888888888887</v>
      </c>
      <c r="L278" t="s">
        <v>143</v>
      </c>
      <c r="M278">
        <v>50000</v>
      </c>
      <c r="N278" t="s">
        <v>204</v>
      </c>
      <c r="O278" t="s">
        <v>151</v>
      </c>
      <c r="P278">
        <v>71</v>
      </c>
      <c r="Q278" t="s">
        <v>156</v>
      </c>
    </row>
    <row r="279" spans="1:17" x14ac:dyDescent="0.2">
      <c r="A279">
        <v>188856</v>
      </c>
      <c r="B279">
        <v>1984</v>
      </c>
      <c r="C279" s="1" t="s">
        <v>101</v>
      </c>
      <c r="D279" s="10">
        <v>45251.959027777775</v>
      </c>
      <c r="E279" t="s">
        <v>191</v>
      </c>
      <c r="F279" t="s">
        <v>76</v>
      </c>
      <c r="G279">
        <v>4243</v>
      </c>
      <c r="H279" s="5" t="s">
        <v>101</v>
      </c>
      <c r="I279" s="15">
        <v>45251</v>
      </c>
      <c r="J279" s="15" t="s">
        <v>295</v>
      </c>
      <c r="K279" s="6">
        <v>0.45902777777777776</v>
      </c>
      <c r="L279" t="s">
        <v>142</v>
      </c>
      <c r="M279">
        <v>80000</v>
      </c>
      <c r="N279" t="s">
        <v>201</v>
      </c>
      <c r="O279" t="s">
        <v>151</v>
      </c>
      <c r="P279">
        <v>45</v>
      </c>
      <c r="Q279" t="s">
        <v>157</v>
      </c>
    </row>
    <row r="280" spans="1:17" x14ac:dyDescent="0.2">
      <c r="A280">
        <v>191639</v>
      </c>
      <c r="B280">
        <v>1293</v>
      </c>
      <c r="C280" s="1" t="s">
        <v>99</v>
      </c>
      <c r="D280" s="10">
        <v>45042.986111111109</v>
      </c>
      <c r="E280" t="s">
        <v>97</v>
      </c>
      <c r="F280" t="s">
        <v>77</v>
      </c>
      <c r="G280">
        <v>957</v>
      </c>
      <c r="H280" s="5" t="s">
        <v>99</v>
      </c>
      <c r="I280" s="15">
        <v>45042</v>
      </c>
      <c r="J280" s="15" t="s">
        <v>233</v>
      </c>
      <c r="K280" s="6">
        <v>0.4861111111111111</v>
      </c>
      <c r="L280" t="s">
        <v>146</v>
      </c>
      <c r="M280">
        <v>100000</v>
      </c>
      <c r="N280" t="s">
        <v>222</v>
      </c>
      <c r="O280" t="s">
        <v>151</v>
      </c>
      <c r="P280">
        <v>38</v>
      </c>
      <c r="Q280" t="s">
        <v>156</v>
      </c>
    </row>
    <row r="281" spans="1:17" x14ac:dyDescent="0.2">
      <c r="A281">
        <v>193342</v>
      </c>
      <c r="B281">
        <v>1974</v>
      </c>
      <c r="C281" s="1" t="s">
        <v>99</v>
      </c>
      <c r="D281" s="10">
        <v>45002.071527777778</v>
      </c>
      <c r="E281" t="s">
        <v>96</v>
      </c>
      <c r="F281" t="s">
        <v>22</v>
      </c>
      <c r="G281">
        <v>242</v>
      </c>
      <c r="H281" s="5" t="s">
        <v>99</v>
      </c>
      <c r="I281" s="15">
        <v>45002</v>
      </c>
      <c r="J281" s="15" t="s">
        <v>232</v>
      </c>
      <c r="K281" s="6">
        <v>7.1527777777777773E-2</v>
      </c>
      <c r="L281" t="s">
        <v>144</v>
      </c>
      <c r="M281">
        <v>100000</v>
      </c>
      <c r="N281" t="s">
        <v>202</v>
      </c>
      <c r="O281" t="s">
        <v>152</v>
      </c>
      <c r="P281">
        <v>74</v>
      </c>
      <c r="Q281" t="s">
        <v>157</v>
      </c>
    </row>
    <row r="282" spans="1:17" x14ac:dyDescent="0.2">
      <c r="A282">
        <v>194632</v>
      </c>
      <c r="B282">
        <v>1962</v>
      </c>
      <c r="C282" s="1" t="s">
        <v>99</v>
      </c>
      <c r="D282" s="10">
        <v>44928.027777777781</v>
      </c>
      <c r="E282" t="s">
        <v>97</v>
      </c>
      <c r="F282" t="s">
        <v>43</v>
      </c>
      <c r="G282">
        <v>8267</v>
      </c>
      <c r="H282" s="5" t="s">
        <v>99</v>
      </c>
      <c r="I282" s="15">
        <v>44928</v>
      </c>
      <c r="J282" s="15" t="s">
        <v>232</v>
      </c>
      <c r="K282" s="6">
        <v>0.52777777777777779</v>
      </c>
      <c r="L282" t="s">
        <v>145</v>
      </c>
      <c r="M282">
        <v>1000000</v>
      </c>
      <c r="N282" t="s">
        <v>203</v>
      </c>
      <c r="O282" t="s">
        <v>151</v>
      </c>
      <c r="P282">
        <v>23</v>
      </c>
      <c r="Q282" t="s">
        <v>157</v>
      </c>
    </row>
    <row r="283" spans="1:17" x14ac:dyDescent="0.2">
      <c r="A283">
        <v>194894</v>
      </c>
      <c r="B283">
        <v>1210</v>
      </c>
      <c r="C283" s="1" t="s">
        <v>105</v>
      </c>
      <c r="D283" s="10">
        <v>45236.947222222225</v>
      </c>
      <c r="E283" t="s">
        <v>97</v>
      </c>
      <c r="F283" t="s">
        <v>40</v>
      </c>
      <c r="G283">
        <v>8013</v>
      </c>
      <c r="H283" s="5" t="s">
        <v>105</v>
      </c>
      <c r="I283" s="15">
        <v>45236</v>
      </c>
      <c r="J283" s="15" t="s">
        <v>295</v>
      </c>
      <c r="K283" s="6">
        <v>0.44722222222222224</v>
      </c>
      <c r="L283" t="s">
        <v>142</v>
      </c>
      <c r="M283">
        <v>150000</v>
      </c>
      <c r="N283" t="s">
        <v>207</v>
      </c>
      <c r="O283" t="s">
        <v>151</v>
      </c>
      <c r="P283">
        <v>88</v>
      </c>
      <c r="Q283" t="s">
        <v>156</v>
      </c>
    </row>
    <row r="284" spans="1:17" x14ac:dyDescent="0.2">
      <c r="A284">
        <v>195686</v>
      </c>
      <c r="B284">
        <v>67</v>
      </c>
      <c r="C284" s="1" t="s">
        <v>107</v>
      </c>
      <c r="D284" s="10">
        <v>45176.044444444444</v>
      </c>
      <c r="E284" t="s">
        <v>191</v>
      </c>
      <c r="F284" t="s">
        <v>81</v>
      </c>
      <c r="G284">
        <v>2651</v>
      </c>
      <c r="H284" s="5" t="s">
        <v>107</v>
      </c>
      <c r="I284" s="15">
        <v>45176</v>
      </c>
      <c r="J284" s="15" t="s">
        <v>234</v>
      </c>
      <c r="K284" s="6">
        <v>4.4444444444444446E-2</v>
      </c>
      <c r="L284" t="s">
        <v>143</v>
      </c>
      <c r="M284">
        <v>250000</v>
      </c>
      <c r="N284" t="s">
        <v>221</v>
      </c>
      <c r="O284" t="s">
        <v>151</v>
      </c>
      <c r="P284">
        <v>51</v>
      </c>
      <c r="Q284" t="s">
        <v>154</v>
      </c>
    </row>
    <row r="285" spans="1:17" x14ac:dyDescent="0.2">
      <c r="A285">
        <v>195704</v>
      </c>
      <c r="B285">
        <v>1260</v>
      </c>
      <c r="C285" s="1" t="s">
        <v>100</v>
      </c>
      <c r="D285" s="10">
        <v>44973.017361111109</v>
      </c>
      <c r="E285" t="s">
        <v>191</v>
      </c>
      <c r="F285" t="s">
        <v>82</v>
      </c>
      <c r="G285">
        <v>6946</v>
      </c>
      <c r="H285" s="5" t="s">
        <v>100</v>
      </c>
      <c r="I285" s="15">
        <v>44973</v>
      </c>
      <c r="J285" s="15" t="s">
        <v>232</v>
      </c>
      <c r="K285" s="6">
        <v>0.51736111111111116</v>
      </c>
      <c r="L285" t="s">
        <v>142</v>
      </c>
      <c r="M285">
        <v>100000</v>
      </c>
      <c r="N285" t="s">
        <v>209</v>
      </c>
      <c r="O285" t="s">
        <v>151</v>
      </c>
      <c r="P285">
        <v>66</v>
      </c>
      <c r="Q285" t="s">
        <v>156</v>
      </c>
    </row>
    <row r="286" spans="1:17" x14ac:dyDescent="0.2">
      <c r="A286">
        <v>196116</v>
      </c>
      <c r="B286">
        <v>1831</v>
      </c>
      <c r="C286" s="1" t="s">
        <v>99</v>
      </c>
      <c r="D286" s="10">
        <v>45254.005555555559</v>
      </c>
      <c r="E286" t="s">
        <v>97</v>
      </c>
      <c r="F286" t="s">
        <v>15</v>
      </c>
      <c r="G286">
        <v>7358</v>
      </c>
      <c r="H286" s="5" t="s">
        <v>99</v>
      </c>
      <c r="I286" s="15">
        <v>45254</v>
      </c>
      <c r="J286" s="15" t="s">
        <v>295</v>
      </c>
      <c r="K286" s="6">
        <v>0.50555555555555554</v>
      </c>
      <c r="L286" t="s">
        <v>143</v>
      </c>
      <c r="M286">
        <v>150000</v>
      </c>
      <c r="N286" t="s">
        <v>198</v>
      </c>
      <c r="O286" t="s">
        <v>151</v>
      </c>
      <c r="P286">
        <v>48</v>
      </c>
      <c r="Q286" t="s">
        <v>157</v>
      </c>
    </row>
    <row r="287" spans="1:17" x14ac:dyDescent="0.2">
      <c r="A287">
        <v>196148</v>
      </c>
      <c r="B287">
        <v>325</v>
      </c>
      <c r="C287" s="1" t="s">
        <v>100</v>
      </c>
      <c r="D287" s="10">
        <v>44941.04791666667</v>
      </c>
      <c r="E287" t="s">
        <v>98</v>
      </c>
      <c r="F287" t="s">
        <v>66</v>
      </c>
      <c r="G287">
        <v>8010</v>
      </c>
      <c r="H287" s="5" t="s">
        <v>100</v>
      </c>
      <c r="I287" s="15">
        <v>44941</v>
      </c>
      <c r="J287" s="15" t="s">
        <v>232</v>
      </c>
      <c r="K287" s="6">
        <v>4.791666666666667E-2</v>
      </c>
      <c r="L287" t="s">
        <v>144</v>
      </c>
      <c r="M287">
        <v>150000</v>
      </c>
      <c r="N287" t="s">
        <v>224</v>
      </c>
      <c r="O287" t="s">
        <v>151</v>
      </c>
      <c r="P287">
        <v>30</v>
      </c>
      <c r="Q287" t="s">
        <v>154</v>
      </c>
    </row>
    <row r="288" spans="1:17" x14ac:dyDescent="0.2">
      <c r="A288">
        <v>196872</v>
      </c>
      <c r="B288">
        <v>1250</v>
      </c>
      <c r="C288" s="1" t="s">
        <v>99</v>
      </c>
      <c r="D288" s="10">
        <v>45194.050694444442</v>
      </c>
      <c r="E288" t="s">
        <v>97</v>
      </c>
      <c r="F288" t="s">
        <v>29</v>
      </c>
      <c r="G288">
        <v>5888</v>
      </c>
      <c r="H288" s="5" t="s">
        <v>99</v>
      </c>
      <c r="I288" s="15">
        <v>45194</v>
      </c>
      <c r="J288" s="15" t="s">
        <v>234</v>
      </c>
      <c r="K288" s="6">
        <v>5.0694444444444445E-2</v>
      </c>
      <c r="L288" t="s">
        <v>143</v>
      </c>
      <c r="M288">
        <v>150000</v>
      </c>
      <c r="N288" t="s">
        <v>214</v>
      </c>
      <c r="O288" t="s">
        <v>151</v>
      </c>
      <c r="P288">
        <v>57</v>
      </c>
      <c r="Q288" t="s">
        <v>156</v>
      </c>
    </row>
    <row r="289" spans="1:17" x14ac:dyDescent="0.2">
      <c r="A289">
        <v>197854</v>
      </c>
      <c r="B289">
        <v>347</v>
      </c>
      <c r="C289" s="1" t="s">
        <v>108</v>
      </c>
      <c r="D289" s="10">
        <v>45169.038888888892</v>
      </c>
      <c r="E289" t="s">
        <v>97</v>
      </c>
      <c r="F289" t="s">
        <v>27</v>
      </c>
      <c r="G289">
        <v>1674</v>
      </c>
      <c r="H289" s="5" t="s">
        <v>108</v>
      </c>
      <c r="I289" s="15">
        <v>45169</v>
      </c>
      <c r="J289" s="15" t="s">
        <v>234</v>
      </c>
      <c r="K289" s="6">
        <v>0.53888888888888886</v>
      </c>
      <c r="L289" t="s">
        <v>142</v>
      </c>
      <c r="M289">
        <v>1000000</v>
      </c>
      <c r="N289" t="s">
        <v>209</v>
      </c>
      <c r="O289" t="s">
        <v>152</v>
      </c>
      <c r="P289">
        <v>59</v>
      </c>
      <c r="Q289" t="s">
        <v>154</v>
      </c>
    </row>
    <row r="290" spans="1:17" x14ac:dyDescent="0.2">
      <c r="A290">
        <v>197952</v>
      </c>
      <c r="B290">
        <v>1843</v>
      </c>
      <c r="C290" s="1" t="s">
        <v>99</v>
      </c>
      <c r="D290" s="10">
        <v>44960.018055555556</v>
      </c>
      <c r="E290" t="s">
        <v>97</v>
      </c>
      <c r="F290" t="s">
        <v>39</v>
      </c>
      <c r="G290">
        <v>1453</v>
      </c>
      <c r="H290" s="5" t="s">
        <v>99</v>
      </c>
      <c r="I290" s="15">
        <v>44960</v>
      </c>
      <c r="J290" s="15" t="s">
        <v>232</v>
      </c>
      <c r="K290" s="6">
        <v>0.5180555555555556</v>
      </c>
      <c r="L290" t="s">
        <v>146</v>
      </c>
      <c r="M290">
        <v>100000</v>
      </c>
      <c r="N290" t="s">
        <v>212</v>
      </c>
      <c r="O290" t="s">
        <v>152</v>
      </c>
      <c r="P290">
        <v>20</v>
      </c>
      <c r="Q290" t="s">
        <v>157</v>
      </c>
    </row>
    <row r="291" spans="1:17" x14ac:dyDescent="0.2">
      <c r="A291">
        <v>198251</v>
      </c>
      <c r="B291">
        <v>1589</v>
      </c>
      <c r="C291" s="1" t="s">
        <v>99</v>
      </c>
      <c r="D291" s="10">
        <v>44969.030555555553</v>
      </c>
      <c r="E291" t="s">
        <v>98</v>
      </c>
      <c r="F291" t="s">
        <v>43</v>
      </c>
      <c r="G291">
        <v>8821</v>
      </c>
      <c r="H291" s="5" t="s">
        <v>99</v>
      </c>
      <c r="I291" s="15">
        <v>44969</v>
      </c>
      <c r="J291" s="15" t="s">
        <v>232</v>
      </c>
      <c r="K291" s="6">
        <v>0.53055555555555556</v>
      </c>
      <c r="L291" t="s">
        <v>145</v>
      </c>
      <c r="M291">
        <v>1000000</v>
      </c>
      <c r="N291" t="s">
        <v>203</v>
      </c>
      <c r="O291" t="s">
        <v>152</v>
      </c>
      <c r="P291">
        <v>20</v>
      </c>
      <c r="Q291" t="s">
        <v>157</v>
      </c>
    </row>
    <row r="292" spans="1:17" x14ac:dyDescent="0.2">
      <c r="A292">
        <v>198841</v>
      </c>
      <c r="B292">
        <v>1735</v>
      </c>
      <c r="C292" s="1" t="s">
        <v>102</v>
      </c>
      <c r="D292" s="10">
        <v>45131.057638888888</v>
      </c>
      <c r="E292" t="s">
        <v>96</v>
      </c>
      <c r="F292" t="s">
        <v>17</v>
      </c>
      <c r="G292">
        <v>4094</v>
      </c>
      <c r="H292" s="5" t="s">
        <v>102</v>
      </c>
      <c r="I292" s="15">
        <v>45131</v>
      </c>
      <c r="J292" s="15" t="s">
        <v>234</v>
      </c>
      <c r="K292" s="6">
        <v>5.7638888888888892E-2</v>
      </c>
      <c r="L292" t="s">
        <v>142</v>
      </c>
      <c r="M292">
        <v>100000</v>
      </c>
      <c r="N292" t="s">
        <v>209</v>
      </c>
      <c r="O292" t="s">
        <v>151</v>
      </c>
      <c r="P292">
        <v>76</v>
      </c>
      <c r="Q292" t="s">
        <v>157</v>
      </c>
    </row>
    <row r="293" spans="1:17" x14ac:dyDescent="0.2">
      <c r="A293">
        <v>199110</v>
      </c>
      <c r="B293">
        <v>104</v>
      </c>
      <c r="C293" s="1" t="s">
        <v>101</v>
      </c>
      <c r="D293" s="10">
        <v>45067.031944444447</v>
      </c>
      <c r="E293" t="s">
        <v>191</v>
      </c>
      <c r="F293" t="s">
        <v>70</v>
      </c>
      <c r="G293">
        <v>717</v>
      </c>
      <c r="H293" s="5" t="s">
        <v>101</v>
      </c>
      <c r="I293" s="15">
        <v>45067</v>
      </c>
      <c r="J293" s="15" t="s">
        <v>233</v>
      </c>
      <c r="K293" s="6">
        <v>0.53194444444444444</v>
      </c>
      <c r="L293" t="s">
        <v>143</v>
      </c>
      <c r="M293">
        <v>100000</v>
      </c>
      <c r="N293" t="s">
        <v>205</v>
      </c>
      <c r="O293" t="s">
        <v>151</v>
      </c>
      <c r="P293">
        <v>46</v>
      </c>
      <c r="Q293" t="s">
        <v>154</v>
      </c>
    </row>
    <row r="294" spans="1:17" x14ac:dyDescent="0.2">
      <c r="A294">
        <v>200851</v>
      </c>
      <c r="B294">
        <v>71</v>
      </c>
      <c r="C294" s="1" t="s">
        <v>113</v>
      </c>
      <c r="D294" s="10">
        <v>45263.972222222219</v>
      </c>
      <c r="E294" t="s">
        <v>97</v>
      </c>
      <c r="F294" t="s">
        <v>71</v>
      </c>
      <c r="G294">
        <v>8510</v>
      </c>
      <c r="H294" s="5" t="s">
        <v>113</v>
      </c>
      <c r="I294" s="15">
        <v>45263</v>
      </c>
      <c r="J294" s="15" t="s">
        <v>295</v>
      </c>
      <c r="K294" s="6">
        <v>0.47222222222222221</v>
      </c>
      <c r="L294" t="s">
        <v>145</v>
      </c>
      <c r="M294">
        <v>150000</v>
      </c>
      <c r="N294" t="s">
        <v>226</v>
      </c>
      <c r="O294" t="s">
        <v>151</v>
      </c>
      <c r="P294">
        <v>48</v>
      </c>
      <c r="Q294" t="s">
        <v>154</v>
      </c>
    </row>
    <row r="295" spans="1:17" x14ac:dyDescent="0.2">
      <c r="A295">
        <v>202059</v>
      </c>
      <c r="B295">
        <v>712</v>
      </c>
      <c r="C295" s="1" t="s">
        <v>99</v>
      </c>
      <c r="D295" s="10">
        <v>45012.058333333334</v>
      </c>
      <c r="E295" t="s">
        <v>191</v>
      </c>
      <c r="F295" t="s">
        <v>43</v>
      </c>
      <c r="G295">
        <v>7202</v>
      </c>
      <c r="H295" s="5" t="s">
        <v>99</v>
      </c>
      <c r="I295" s="15">
        <v>45012</v>
      </c>
      <c r="J295" s="15" t="s">
        <v>232</v>
      </c>
      <c r="K295" s="6">
        <v>5.8333333333333334E-2</v>
      </c>
      <c r="L295" t="s">
        <v>145</v>
      </c>
      <c r="M295">
        <v>1000000</v>
      </c>
      <c r="N295" t="s">
        <v>203</v>
      </c>
      <c r="O295" t="s">
        <v>151</v>
      </c>
      <c r="P295">
        <v>90</v>
      </c>
      <c r="Q295" t="s">
        <v>155</v>
      </c>
    </row>
    <row r="296" spans="1:17" x14ac:dyDescent="0.2">
      <c r="A296">
        <v>202315</v>
      </c>
      <c r="B296">
        <v>1518</v>
      </c>
      <c r="C296" s="1" t="s">
        <v>99</v>
      </c>
      <c r="D296" s="10">
        <v>44930.072916666664</v>
      </c>
      <c r="E296" t="s">
        <v>191</v>
      </c>
      <c r="F296" t="s">
        <v>58</v>
      </c>
      <c r="G296">
        <v>6344</v>
      </c>
      <c r="H296" s="5" t="s">
        <v>99</v>
      </c>
      <c r="I296" s="15">
        <v>44930</v>
      </c>
      <c r="J296" s="15" t="s">
        <v>232</v>
      </c>
      <c r="K296" s="6">
        <v>7.2916666666666671E-2</v>
      </c>
      <c r="L296" t="s">
        <v>143</v>
      </c>
      <c r="M296">
        <v>80000</v>
      </c>
      <c r="N296" t="s">
        <v>214</v>
      </c>
      <c r="O296" t="s">
        <v>152</v>
      </c>
      <c r="P296">
        <v>66</v>
      </c>
      <c r="Q296" t="s">
        <v>157</v>
      </c>
    </row>
    <row r="297" spans="1:17" x14ac:dyDescent="0.2">
      <c r="A297">
        <v>202334</v>
      </c>
      <c r="B297">
        <v>358</v>
      </c>
      <c r="C297" s="1" t="s">
        <v>105</v>
      </c>
      <c r="D297" s="10">
        <v>45171.038194444445</v>
      </c>
      <c r="E297" t="s">
        <v>96</v>
      </c>
      <c r="F297" t="s">
        <v>45</v>
      </c>
      <c r="G297">
        <v>4560</v>
      </c>
      <c r="H297" s="5" t="s">
        <v>105</v>
      </c>
      <c r="I297" s="15">
        <v>45171</v>
      </c>
      <c r="J297" s="15" t="s">
        <v>234</v>
      </c>
      <c r="K297" s="6">
        <v>0.53819444444444442</v>
      </c>
      <c r="L297" t="s">
        <v>142</v>
      </c>
      <c r="M297">
        <v>100000</v>
      </c>
      <c r="N297" t="s">
        <v>197</v>
      </c>
      <c r="O297" t="s">
        <v>151</v>
      </c>
      <c r="P297">
        <v>50</v>
      </c>
      <c r="Q297" t="s">
        <v>154</v>
      </c>
    </row>
    <row r="298" spans="1:17" x14ac:dyDescent="0.2">
      <c r="A298">
        <v>202389</v>
      </c>
      <c r="B298">
        <v>1641</v>
      </c>
      <c r="C298" s="1" t="s">
        <v>109</v>
      </c>
      <c r="D298" s="10">
        <v>45130.98541666667</v>
      </c>
      <c r="E298" t="s">
        <v>98</v>
      </c>
      <c r="F298" t="s">
        <v>67</v>
      </c>
      <c r="G298">
        <v>1709</v>
      </c>
      <c r="H298" s="5" t="s">
        <v>109</v>
      </c>
      <c r="I298" s="15">
        <v>45130</v>
      </c>
      <c r="J298" s="15" t="s">
        <v>234</v>
      </c>
      <c r="K298" s="6">
        <v>0.48541666666666666</v>
      </c>
      <c r="L298" t="s">
        <v>142</v>
      </c>
      <c r="M298">
        <v>100000</v>
      </c>
      <c r="N298" t="s">
        <v>213</v>
      </c>
      <c r="O298" t="s">
        <v>151</v>
      </c>
      <c r="P298">
        <v>85</v>
      </c>
      <c r="Q298" t="s">
        <v>157</v>
      </c>
    </row>
    <row r="299" spans="1:17" x14ac:dyDescent="0.2">
      <c r="A299">
        <v>205425</v>
      </c>
      <c r="B299">
        <v>1760</v>
      </c>
      <c r="C299" s="1" t="s">
        <v>100</v>
      </c>
      <c r="D299" s="10">
        <v>45190.050694444442</v>
      </c>
      <c r="E299" t="s">
        <v>96</v>
      </c>
      <c r="F299" t="s">
        <v>11</v>
      </c>
      <c r="G299">
        <v>9729</v>
      </c>
      <c r="H299" s="5" t="s">
        <v>100</v>
      </c>
      <c r="I299" s="15">
        <v>45190</v>
      </c>
      <c r="J299" s="15" t="s">
        <v>234</v>
      </c>
      <c r="K299" s="6">
        <v>5.0694444444444445E-2</v>
      </c>
      <c r="L299" t="s">
        <v>143</v>
      </c>
      <c r="M299">
        <v>150000</v>
      </c>
      <c r="N299" t="s">
        <v>204</v>
      </c>
      <c r="O299" t="s">
        <v>152</v>
      </c>
      <c r="P299">
        <v>19</v>
      </c>
      <c r="Q299" t="s">
        <v>157</v>
      </c>
    </row>
    <row r="300" spans="1:17" x14ac:dyDescent="0.2">
      <c r="A300">
        <v>208396</v>
      </c>
      <c r="B300">
        <v>186</v>
      </c>
      <c r="C300" s="1" t="s">
        <v>106</v>
      </c>
      <c r="D300" s="10">
        <v>45033.068749999999</v>
      </c>
      <c r="E300" t="s">
        <v>191</v>
      </c>
      <c r="F300" t="s">
        <v>72</v>
      </c>
      <c r="G300">
        <v>9712</v>
      </c>
      <c r="H300" s="5" t="s">
        <v>106</v>
      </c>
      <c r="I300" s="15">
        <v>45033</v>
      </c>
      <c r="J300" s="15" t="s">
        <v>233</v>
      </c>
      <c r="K300" s="6">
        <v>6.8750000000000006E-2</v>
      </c>
      <c r="L300" t="s">
        <v>143</v>
      </c>
      <c r="M300">
        <v>150000</v>
      </c>
      <c r="N300" t="s">
        <v>223</v>
      </c>
      <c r="O300" t="s">
        <v>152</v>
      </c>
      <c r="P300">
        <v>63</v>
      </c>
      <c r="Q300" t="s">
        <v>154</v>
      </c>
    </row>
    <row r="301" spans="1:17" x14ac:dyDescent="0.2">
      <c r="A301">
        <v>209068</v>
      </c>
      <c r="B301">
        <v>1704</v>
      </c>
      <c r="C301" s="1" t="s">
        <v>99</v>
      </c>
      <c r="D301" s="10">
        <v>45019.991666666669</v>
      </c>
      <c r="E301" t="s">
        <v>191</v>
      </c>
      <c r="F301" t="s">
        <v>27</v>
      </c>
      <c r="G301">
        <v>119</v>
      </c>
      <c r="H301" s="5" t="s">
        <v>99</v>
      </c>
      <c r="I301" s="15">
        <v>45019</v>
      </c>
      <c r="J301" s="15" t="s">
        <v>233</v>
      </c>
      <c r="K301" s="6">
        <v>0.49166666666666664</v>
      </c>
      <c r="L301" t="s">
        <v>142</v>
      </c>
      <c r="M301">
        <v>1000000</v>
      </c>
      <c r="N301" t="s">
        <v>209</v>
      </c>
      <c r="O301" t="s">
        <v>151</v>
      </c>
      <c r="P301">
        <v>67</v>
      </c>
      <c r="Q301" t="s">
        <v>157</v>
      </c>
    </row>
    <row r="302" spans="1:17" x14ac:dyDescent="0.2">
      <c r="A302">
        <v>209185</v>
      </c>
      <c r="B302">
        <v>541</v>
      </c>
      <c r="C302" s="1" t="s">
        <v>99</v>
      </c>
      <c r="D302" s="10">
        <v>45166.011111111111</v>
      </c>
      <c r="E302" t="s">
        <v>97</v>
      </c>
      <c r="F302" t="s">
        <v>27</v>
      </c>
      <c r="G302">
        <v>4430</v>
      </c>
      <c r="H302" s="5" t="s">
        <v>99</v>
      </c>
      <c r="I302" s="15">
        <v>45166</v>
      </c>
      <c r="J302" s="15" t="s">
        <v>234</v>
      </c>
      <c r="K302" s="6">
        <v>0.51111111111111107</v>
      </c>
      <c r="L302" t="s">
        <v>142</v>
      </c>
      <c r="M302">
        <v>1000000</v>
      </c>
      <c r="N302" t="s">
        <v>209</v>
      </c>
      <c r="O302" t="s">
        <v>151</v>
      </c>
      <c r="P302">
        <v>85</v>
      </c>
      <c r="Q302" t="s">
        <v>155</v>
      </c>
    </row>
    <row r="303" spans="1:17" x14ac:dyDescent="0.2">
      <c r="A303">
        <v>211600</v>
      </c>
      <c r="B303">
        <v>937</v>
      </c>
      <c r="C303" s="1" t="s">
        <v>109</v>
      </c>
      <c r="D303" s="10">
        <v>45143.052777777775</v>
      </c>
      <c r="E303" t="s">
        <v>96</v>
      </c>
      <c r="F303" t="s">
        <v>73</v>
      </c>
      <c r="G303">
        <v>8720</v>
      </c>
      <c r="H303" s="5" t="s">
        <v>109</v>
      </c>
      <c r="I303" s="15">
        <v>45143</v>
      </c>
      <c r="J303" s="15" t="s">
        <v>234</v>
      </c>
      <c r="K303" s="6">
        <v>5.2777777777777778E-2</v>
      </c>
      <c r="L303" t="s">
        <v>146</v>
      </c>
      <c r="M303">
        <v>150000</v>
      </c>
      <c r="N303" t="s">
        <v>222</v>
      </c>
      <c r="O303" t="s">
        <v>152</v>
      </c>
      <c r="P303">
        <v>21</v>
      </c>
      <c r="Q303" t="s">
        <v>155</v>
      </c>
    </row>
    <row r="304" spans="1:17" x14ac:dyDescent="0.2">
      <c r="A304">
        <v>213090</v>
      </c>
      <c r="B304">
        <v>10</v>
      </c>
      <c r="C304" s="1" t="s">
        <v>103</v>
      </c>
      <c r="D304" s="10">
        <v>45208.043749999997</v>
      </c>
      <c r="E304" t="s">
        <v>96</v>
      </c>
      <c r="F304" t="s">
        <v>52</v>
      </c>
      <c r="G304">
        <v>9353</v>
      </c>
      <c r="H304" s="5" t="s">
        <v>103</v>
      </c>
      <c r="I304" s="15">
        <v>45208</v>
      </c>
      <c r="J304" s="15" t="s">
        <v>295</v>
      </c>
      <c r="K304" s="6">
        <v>4.3749999999999997E-2</v>
      </c>
      <c r="L304" t="s">
        <v>143</v>
      </c>
      <c r="M304">
        <v>100000</v>
      </c>
      <c r="N304" t="s">
        <v>206</v>
      </c>
      <c r="O304" t="s">
        <v>152</v>
      </c>
      <c r="P304">
        <v>32</v>
      </c>
      <c r="Q304" t="s">
        <v>154</v>
      </c>
    </row>
    <row r="305" spans="1:17" x14ac:dyDescent="0.2">
      <c r="A305">
        <v>213254</v>
      </c>
      <c r="B305">
        <v>1344</v>
      </c>
      <c r="C305" s="1" t="s">
        <v>105</v>
      </c>
      <c r="D305" s="10">
        <v>45135.024305555555</v>
      </c>
      <c r="E305" t="s">
        <v>97</v>
      </c>
      <c r="F305" t="s">
        <v>26</v>
      </c>
      <c r="G305">
        <v>3943</v>
      </c>
      <c r="H305" s="5" t="s">
        <v>105</v>
      </c>
      <c r="I305" s="15">
        <v>45135</v>
      </c>
      <c r="J305" s="15" t="s">
        <v>234</v>
      </c>
      <c r="K305" s="6">
        <v>0.52430555555555558</v>
      </c>
      <c r="L305" t="s">
        <v>145</v>
      </c>
      <c r="M305">
        <v>100000</v>
      </c>
      <c r="N305" t="s">
        <v>210</v>
      </c>
      <c r="O305" t="s">
        <v>151</v>
      </c>
      <c r="P305">
        <v>40</v>
      </c>
      <c r="Q305" t="s">
        <v>156</v>
      </c>
    </row>
    <row r="306" spans="1:17" x14ac:dyDescent="0.2">
      <c r="A306">
        <v>213804</v>
      </c>
      <c r="B306">
        <v>1473</v>
      </c>
      <c r="C306" s="1" t="s">
        <v>99</v>
      </c>
      <c r="D306" s="10">
        <v>45115.03402777778</v>
      </c>
      <c r="E306" t="s">
        <v>97</v>
      </c>
      <c r="F306" t="s">
        <v>74</v>
      </c>
      <c r="G306">
        <v>7453</v>
      </c>
      <c r="H306" s="5" t="s">
        <v>99</v>
      </c>
      <c r="I306" s="15">
        <v>45115</v>
      </c>
      <c r="J306" s="15" t="s">
        <v>234</v>
      </c>
      <c r="K306" s="6">
        <v>0.53402777777777777</v>
      </c>
      <c r="L306" t="s">
        <v>145</v>
      </c>
      <c r="M306">
        <v>150000</v>
      </c>
      <c r="N306" t="s">
        <v>226</v>
      </c>
      <c r="O306" t="s">
        <v>152</v>
      </c>
      <c r="P306">
        <v>40</v>
      </c>
      <c r="Q306" t="s">
        <v>156</v>
      </c>
    </row>
    <row r="307" spans="1:17" x14ac:dyDescent="0.2">
      <c r="A307">
        <v>214073</v>
      </c>
      <c r="B307">
        <v>336</v>
      </c>
      <c r="C307" s="1" t="s">
        <v>105</v>
      </c>
      <c r="D307" s="10">
        <v>44942.067361111112</v>
      </c>
      <c r="E307" t="s">
        <v>191</v>
      </c>
      <c r="F307" t="s">
        <v>75</v>
      </c>
      <c r="G307">
        <v>730</v>
      </c>
      <c r="H307" s="5" t="s">
        <v>105</v>
      </c>
      <c r="I307" s="15">
        <v>44942</v>
      </c>
      <c r="J307" s="15" t="s">
        <v>232</v>
      </c>
      <c r="K307" s="6">
        <v>6.7361111111111108E-2</v>
      </c>
      <c r="L307" t="s">
        <v>143</v>
      </c>
      <c r="M307">
        <v>50000</v>
      </c>
      <c r="N307" t="s">
        <v>205</v>
      </c>
      <c r="O307" t="s">
        <v>152</v>
      </c>
      <c r="P307">
        <v>26</v>
      </c>
      <c r="Q307" t="s">
        <v>154</v>
      </c>
    </row>
    <row r="308" spans="1:17" x14ac:dyDescent="0.2">
      <c r="A308">
        <v>214251</v>
      </c>
      <c r="B308">
        <v>1952</v>
      </c>
      <c r="C308" s="1" t="s">
        <v>99</v>
      </c>
      <c r="D308" s="10">
        <v>45033.039583333331</v>
      </c>
      <c r="E308" t="s">
        <v>191</v>
      </c>
      <c r="F308" t="s">
        <v>73</v>
      </c>
      <c r="G308">
        <v>492</v>
      </c>
      <c r="H308" s="5" t="s">
        <v>99</v>
      </c>
      <c r="I308" s="15">
        <v>45033</v>
      </c>
      <c r="J308" s="15" t="s">
        <v>233</v>
      </c>
      <c r="K308" s="6">
        <v>0.5395833333333333</v>
      </c>
      <c r="L308" t="s">
        <v>146</v>
      </c>
      <c r="M308">
        <v>150000</v>
      </c>
      <c r="N308" t="s">
        <v>222</v>
      </c>
      <c r="O308" t="s">
        <v>151</v>
      </c>
      <c r="P308">
        <v>49</v>
      </c>
      <c r="Q308" t="s">
        <v>157</v>
      </c>
    </row>
    <row r="309" spans="1:17" x14ac:dyDescent="0.2">
      <c r="A309">
        <v>214516</v>
      </c>
      <c r="B309">
        <v>1840</v>
      </c>
      <c r="C309" s="1" t="s">
        <v>99</v>
      </c>
      <c r="D309" s="10">
        <v>45134.974305555559</v>
      </c>
      <c r="E309" t="s">
        <v>97</v>
      </c>
      <c r="F309" t="s">
        <v>76</v>
      </c>
      <c r="G309">
        <v>1356</v>
      </c>
      <c r="H309" s="5" t="s">
        <v>99</v>
      </c>
      <c r="I309" s="15">
        <v>45134</v>
      </c>
      <c r="J309" s="15" t="s">
        <v>234</v>
      </c>
      <c r="K309" s="6">
        <v>0.47430555555555554</v>
      </c>
      <c r="L309" t="s">
        <v>142</v>
      </c>
      <c r="M309">
        <v>80000</v>
      </c>
      <c r="N309" t="s">
        <v>201</v>
      </c>
      <c r="O309" t="s">
        <v>151</v>
      </c>
      <c r="P309">
        <v>83</v>
      </c>
      <c r="Q309" t="s">
        <v>157</v>
      </c>
    </row>
    <row r="310" spans="1:17" x14ac:dyDescent="0.2">
      <c r="A310">
        <v>214557</v>
      </c>
      <c r="B310">
        <v>613</v>
      </c>
      <c r="C310" s="1" t="s">
        <v>113</v>
      </c>
      <c r="D310" s="10">
        <v>45082.019444444442</v>
      </c>
      <c r="E310" t="s">
        <v>191</v>
      </c>
      <c r="F310" t="s">
        <v>72</v>
      </c>
      <c r="G310">
        <v>5981</v>
      </c>
      <c r="H310" s="5" t="s">
        <v>113</v>
      </c>
      <c r="I310" s="15">
        <v>45082</v>
      </c>
      <c r="J310" s="15" t="s">
        <v>233</v>
      </c>
      <c r="K310" s="6">
        <v>0.51944444444444449</v>
      </c>
      <c r="L310" t="s">
        <v>143</v>
      </c>
      <c r="M310">
        <v>150000</v>
      </c>
      <c r="N310" t="s">
        <v>223</v>
      </c>
      <c r="O310" t="s">
        <v>152</v>
      </c>
      <c r="P310">
        <v>51</v>
      </c>
      <c r="Q310" t="s">
        <v>155</v>
      </c>
    </row>
    <row r="311" spans="1:17" x14ac:dyDescent="0.2">
      <c r="A311">
        <v>216256</v>
      </c>
      <c r="B311">
        <v>1521</v>
      </c>
      <c r="C311" s="1" t="s">
        <v>99</v>
      </c>
      <c r="D311" s="10">
        <v>44952.023611111108</v>
      </c>
      <c r="E311" t="s">
        <v>97</v>
      </c>
      <c r="F311" t="s">
        <v>28</v>
      </c>
      <c r="G311">
        <v>3720</v>
      </c>
      <c r="H311" s="5" t="s">
        <v>99</v>
      </c>
      <c r="I311" s="15">
        <v>44952</v>
      </c>
      <c r="J311" s="15" t="s">
        <v>232</v>
      </c>
      <c r="K311" s="6">
        <v>0.52361111111111114</v>
      </c>
      <c r="L311" t="s">
        <v>143</v>
      </c>
      <c r="M311">
        <v>100000</v>
      </c>
      <c r="N311" t="s">
        <v>215</v>
      </c>
      <c r="O311" t="s">
        <v>152</v>
      </c>
      <c r="P311">
        <v>88</v>
      </c>
      <c r="Q311" t="s">
        <v>157</v>
      </c>
    </row>
    <row r="312" spans="1:17" x14ac:dyDescent="0.2">
      <c r="A312">
        <v>217952</v>
      </c>
      <c r="B312">
        <v>1102</v>
      </c>
      <c r="C312" s="1" t="s">
        <v>113</v>
      </c>
      <c r="D312" s="10">
        <v>45193.992361111108</v>
      </c>
      <c r="E312" t="s">
        <v>191</v>
      </c>
      <c r="F312" t="s">
        <v>4</v>
      </c>
      <c r="G312">
        <v>3521</v>
      </c>
      <c r="H312" s="5" t="s">
        <v>113</v>
      </c>
      <c r="I312" s="15">
        <v>45193</v>
      </c>
      <c r="J312" s="15" t="s">
        <v>234</v>
      </c>
      <c r="K312" s="6">
        <v>0.49236111111111114</v>
      </c>
      <c r="L312" t="s">
        <v>142</v>
      </c>
      <c r="M312">
        <v>200000</v>
      </c>
      <c r="N312" t="s">
        <v>197</v>
      </c>
      <c r="O312" t="s">
        <v>151</v>
      </c>
      <c r="P312">
        <v>66</v>
      </c>
      <c r="Q312" t="s">
        <v>156</v>
      </c>
    </row>
    <row r="313" spans="1:17" x14ac:dyDescent="0.2">
      <c r="A313">
        <v>218379</v>
      </c>
      <c r="B313">
        <v>831</v>
      </c>
      <c r="C313" s="1" t="s">
        <v>107</v>
      </c>
      <c r="D313" s="10">
        <v>44976.970833333333</v>
      </c>
      <c r="E313" t="s">
        <v>97</v>
      </c>
      <c r="F313" t="s">
        <v>23</v>
      </c>
      <c r="G313">
        <v>8241</v>
      </c>
      <c r="H313" s="5" t="s">
        <v>107</v>
      </c>
      <c r="I313" s="15">
        <v>44976</v>
      </c>
      <c r="J313" s="15" t="s">
        <v>232</v>
      </c>
      <c r="K313" s="6">
        <v>0.47083333333333333</v>
      </c>
      <c r="L313" t="s">
        <v>142</v>
      </c>
      <c r="M313">
        <v>150000</v>
      </c>
      <c r="N313" t="s">
        <v>213</v>
      </c>
      <c r="O313" t="s">
        <v>152</v>
      </c>
      <c r="P313">
        <v>69</v>
      </c>
      <c r="Q313" t="s">
        <v>155</v>
      </c>
    </row>
    <row r="314" spans="1:17" x14ac:dyDescent="0.2">
      <c r="A314">
        <v>219884</v>
      </c>
      <c r="B314">
        <v>802</v>
      </c>
      <c r="C314" s="1" t="s">
        <v>100</v>
      </c>
      <c r="D314" s="10">
        <v>44945.986805555556</v>
      </c>
      <c r="E314" t="s">
        <v>191</v>
      </c>
      <c r="F314" t="s">
        <v>77</v>
      </c>
      <c r="G314">
        <v>2233</v>
      </c>
      <c r="H314" s="5" t="s">
        <v>100</v>
      </c>
      <c r="I314" s="15">
        <v>44945</v>
      </c>
      <c r="J314" s="15" t="s">
        <v>232</v>
      </c>
      <c r="K314" s="6">
        <v>0.48680555555555555</v>
      </c>
      <c r="L314" t="s">
        <v>146</v>
      </c>
      <c r="M314">
        <v>100000</v>
      </c>
      <c r="N314" t="s">
        <v>222</v>
      </c>
      <c r="O314" t="s">
        <v>152</v>
      </c>
      <c r="P314">
        <v>89</v>
      </c>
      <c r="Q314" t="s">
        <v>155</v>
      </c>
    </row>
    <row r="315" spans="1:17" x14ac:dyDescent="0.2">
      <c r="A315">
        <v>220292</v>
      </c>
      <c r="B315">
        <v>1785</v>
      </c>
      <c r="C315" s="1" t="s">
        <v>106</v>
      </c>
      <c r="D315" s="10">
        <v>45048.017361111109</v>
      </c>
      <c r="E315" t="s">
        <v>98</v>
      </c>
      <c r="F315" t="s">
        <v>84</v>
      </c>
      <c r="G315">
        <v>3987</v>
      </c>
      <c r="H315" s="5" t="s">
        <v>106</v>
      </c>
      <c r="I315" s="15">
        <v>45048</v>
      </c>
      <c r="J315" s="15" t="s">
        <v>233</v>
      </c>
      <c r="K315" s="6">
        <v>0.51736111111111116</v>
      </c>
      <c r="L315" t="s">
        <v>144</v>
      </c>
      <c r="M315">
        <v>30000</v>
      </c>
      <c r="N315" t="s">
        <v>202</v>
      </c>
      <c r="O315" t="s">
        <v>152</v>
      </c>
      <c r="P315">
        <v>42</v>
      </c>
      <c r="Q315" t="s">
        <v>157</v>
      </c>
    </row>
    <row r="316" spans="1:17" x14ac:dyDescent="0.2">
      <c r="A316">
        <v>220733</v>
      </c>
      <c r="B316">
        <v>1875</v>
      </c>
      <c r="C316" s="1" t="s">
        <v>100</v>
      </c>
      <c r="D316" s="10">
        <v>44931.007638888892</v>
      </c>
      <c r="E316" t="s">
        <v>96</v>
      </c>
      <c r="F316" t="s">
        <v>41</v>
      </c>
      <c r="G316">
        <v>6006</v>
      </c>
      <c r="H316" s="5" t="s">
        <v>100</v>
      </c>
      <c r="I316" s="15">
        <v>44931</v>
      </c>
      <c r="J316" s="15" t="s">
        <v>232</v>
      </c>
      <c r="K316" s="6">
        <v>0.50763888888888886</v>
      </c>
      <c r="L316" t="s">
        <v>145</v>
      </c>
      <c r="M316">
        <v>150000</v>
      </c>
      <c r="N316" t="s">
        <v>203</v>
      </c>
      <c r="O316" t="s">
        <v>152</v>
      </c>
      <c r="P316">
        <v>62</v>
      </c>
      <c r="Q316" t="s">
        <v>157</v>
      </c>
    </row>
    <row r="317" spans="1:17" x14ac:dyDescent="0.2">
      <c r="A317">
        <v>221857</v>
      </c>
      <c r="B317">
        <v>1244</v>
      </c>
      <c r="C317" s="1" t="s">
        <v>105</v>
      </c>
      <c r="D317" s="10">
        <v>45124.051388888889</v>
      </c>
      <c r="E317" t="s">
        <v>96</v>
      </c>
      <c r="F317" t="s">
        <v>23</v>
      </c>
      <c r="G317">
        <v>4142</v>
      </c>
      <c r="H317" s="5" t="s">
        <v>105</v>
      </c>
      <c r="I317" s="15">
        <v>45124</v>
      </c>
      <c r="J317" s="15" t="s">
        <v>234</v>
      </c>
      <c r="K317" s="6">
        <v>5.1388888888888887E-2</v>
      </c>
      <c r="L317" t="s">
        <v>142</v>
      </c>
      <c r="M317">
        <v>150000</v>
      </c>
      <c r="N317" t="s">
        <v>213</v>
      </c>
      <c r="O317" t="s">
        <v>152</v>
      </c>
      <c r="P317">
        <v>20</v>
      </c>
      <c r="Q317" t="s">
        <v>156</v>
      </c>
    </row>
    <row r="318" spans="1:17" x14ac:dyDescent="0.2">
      <c r="A318">
        <v>222114</v>
      </c>
      <c r="B318">
        <v>208</v>
      </c>
      <c r="C318" s="1" t="s">
        <v>99</v>
      </c>
      <c r="D318" s="10">
        <v>45120.98541666667</v>
      </c>
      <c r="E318" t="s">
        <v>98</v>
      </c>
      <c r="F318" t="s">
        <v>52</v>
      </c>
      <c r="G318">
        <v>4738</v>
      </c>
      <c r="H318" s="5" t="s">
        <v>99</v>
      </c>
      <c r="I318" s="15">
        <v>45120</v>
      </c>
      <c r="J318" s="15" t="s">
        <v>234</v>
      </c>
      <c r="K318" s="6">
        <v>0.48541666666666666</v>
      </c>
      <c r="L318" t="s">
        <v>143</v>
      </c>
      <c r="M318">
        <v>100000</v>
      </c>
      <c r="N318" t="s">
        <v>206</v>
      </c>
      <c r="O318" t="s">
        <v>152</v>
      </c>
      <c r="P318">
        <v>19</v>
      </c>
      <c r="Q318" t="s">
        <v>154</v>
      </c>
    </row>
    <row r="319" spans="1:17" x14ac:dyDescent="0.2">
      <c r="A319">
        <v>224155</v>
      </c>
      <c r="B319">
        <v>753</v>
      </c>
      <c r="C319" s="1" t="s">
        <v>99</v>
      </c>
      <c r="D319" s="10">
        <v>45212</v>
      </c>
      <c r="E319" t="s">
        <v>97</v>
      </c>
      <c r="F319" t="s">
        <v>30</v>
      </c>
      <c r="G319">
        <v>4988</v>
      </c>
      <c r="H319" s="5" t="s">
        <v>99</v>
      </c>
      <c r="I319" s="15">
        <v>45212</v>
      </c>
      <c r="J319" s="15" t="s">
        <v>295</v>
      </c>
      <c r="K319" s="6">
        <v>0.5</v>
      </c>
      <c r="L319" t="s">
        <v>144</v>
      </c>
      <c r="M319">
        <v>200000</v>
      </c>
      <c r="N319" t="s">
        <v>216</v>
      </c>
      <c r="O319" t="s">
        <v>151</v>
      </c>
      <c r="P319">
        <v>18</v>
      </c>
      <c r="Q319" t="s">
        <v>155</v>
      </c>
    </row>
    <row r="320" spans="1:17" x14ac:dyDescent="0.2">
      <c r="A320">
        <v>225264</v>
      </c>
      <c r="B320">
        <v>1973</v>
      </c>
      <c r="C320" s="1" t="s">
        <v>99</v>
      </c>
      <c r="D320" s="10">
        <v>45186.078472222223</v>
      </c>
      <c r="E320" t="s">
        <v>98</v>
      </c>
      <c r="F320" t="s">
        <v>78</v>
      </c>
      <c r="G320">
        <v>5089</v>
      </c>
      <c r="H320" s="5" t="s">
        <v>99</v>
      </c>
      <c r="I320" s="15">
        <v>45186</v>
      </c>
      <c r="J320" s="15" t="s">
        <v>234</v>
      </c>
      <c r="K320" s="6">
        <v>7.8472222222222221E-2</v>
      </c>
      <c r="L320" t="s">
        <v>143</v>
      </c>
      <c r="M320">
        <v>200000</v>
      </c>
      <c r="N320" t="s">
        <v>215</v>
      </c>
      <c r="O320" t="s">
        <v>151</v>
      </c>
      <c r="P320">
        <v>64</v>
      </c>
      <c r="Q320" t="s">
        <v>157</v>
      </c>
    </row>
    <row r="321" spans="1:17" x14ac:dyDescent="0.2">
      <c r="A321">
        <v>226876</v>
      </c>
      <c r="B321">
        <v>150</v>
      </c>
      <c r="C321" s="1" t="s">
        <v>99</v>
      </c>
      <c r="D321" s="10">
        <v>44956.951388888891</v>
      </c>
      <c r="E321" t="s">
        <v>97</v>
      </c>
      <c r="F321" t="s">
        <v>43</v>
      </c>
      <c r="G321">
        <v>17</v>
      </c>
      <c r="H321" s="5" t="s">
        <v>99</v>
      </c>
      <c r="I321" s="15">
        <v>44956</v>
      </c>
      <c r="J321" s="15" t="s">
        <v>232</v>
      </c>
      <c r="K321" s="6">
        <v>0.4513888888888889</v>
      </c>
      <c r="L321" t="s">
        <v>145</v>
      </c>
      <c r="M321">
        <v>1000000</v>
      </c>
      <c r="N321" t="s">
        <v>203</v>
      </c>
      <c r="O321" t="s">
        <v>152</v>
      </c>
      <c r="P321">
        <v>31</v>
      </c>
      <c r="Q321" t="s">
        <v>154</v>
      </c>
    </row>
    <row r="322" spans="1:17" x14ac:dyDescent="0.2">
      <c r="A322">
        <v>228177</v>
      </c>
      <c r="B322">
        <v>1272</v>
      </c>
      <c r="C322" s="1" t="s">
        <v>101</v>
      </c>
      <c r="D322" s="10">
        <v>45054.036805555559</v>
      </c>
      <c r="E322" t="s">
        <v>98</v>
      </c>
      <c r="F322" t="s">
        <v>27</v>
      </c>
      <c r="G322">
        <v>8567</v>
      </c>
      <c r="H322" s="5" t="s">
        <v>101</v>
      </c>
      <c r="I322" s="15">
        <v>45054</v>
      </c>
      <c r="J322" s="15" t="s">
        <v>233</v>
      </c>
      <c r="K322" s="6">
        <v>0.53680555555555554</v>
      </c>
      <c r="L322" t="s">
        <v>142</v>
      </c>
      <c r="M322">
        <v>1000000</v>
      </c>
      <c r="N322" t="s">
        <v>209</v>
      </c>
      <c r="O322" t="s">
        <v>152</v>
      </c>
      <c r="P322">
        <v>39</v>
      </c>
      <c r="Q322" t="s">
        <v>156</v>
      </c>
    </row>
    <row r="323" spans="1:17" x14ac:dyDescent="0.2">
      <c r="A323">
        <v>228562</v>
      </c>
      <c r="B323">
        <v>1812</v>
      </c>
      <c r="C323" s="1" t="s">
        <v>105</v>
      </c>
      <c r="D323" s="10">
        <v>45208.061111111114</v>
      </c>
      <c r="E323" t="s">
        <v>191</v>
      </c>
      <c r="F323" t="s">
        <v>30</v>
      </c>
      <c r="G323">
        <v>1733</v>
      </c>
      <c r="H323" s="5" t="s">
        <v>105</v>
      </c>
      <c r="I323" s="15">
        <v>45208</v>
      </c>
      <c r="J323" s="15" t="s">
        <v>295</v>
      </c>
      <c r="K323" s="6">
        <v>6.1111111111111109E-2</v>
      </c>
      <c r="L323" t="s">
        <v>144</v>
      </c>
      <c r="M323">
        <v>200000</v>
      </c>
      <c r="N323" t="s">
        <v>216</v>
      </c>
      <c r="O323" t="s">
        <v>151</v>
      </c>
      <c r="P323">
        <v>49</v>
      </c>
      <c r="Q323" t="s">
        <v>157</v>
      </c>
    </row>
    <row r="324" spans="1:17" x14ac:dyDescent="0.2">
      <c r="A324">
        <v>229056</v>
      </c>
      <c r="B324">
        <v>594</v>
      </c>
      <c r="C324" s="1" t="s">
        <v>99</v>
      </c>
      <c r="D324" s="10">
        <v>45083.081944444442</v>
      </c>
      <c r="E324" t="s">
        <v>96</v>
      </c>
      <c r="F324" t="s">
        <v>74</v>
      </c>
      <c r="G324">
        <v>4328</v>
      </c>
      <c r="H324" s="5" t="s">
        <v>99</v>
      </c>
      <c r="I324" s="15">
        <v>45083</v>
      </c>
      <c r="J324" s="15" t="s">
        <v>233</v>
      </c>
      <c r="K324" s="6">
        <v>8.1944444444444445E-2</v>
      </c>
      <c r="L324" t="s">
        <v>145</v>
      </c>
      <c r="M324">
        <v>150000</v>
      </c>
      <c r="N324" t="s">
        <v>226</v>
      </c>
      <c r="O324" t="s">
        <v>152</v>
      </c>
      <c r="P324">
        <v>58</v>
      </c>
      <c r="Q324" t="s">
        <v>155</v>
      </c>
    </row>
    <row r="325" spans="1:17" x14ac:dyDescent="0.2">
      <c r="A325">
        <v>229843</v>
      </c>
      <c r="B325">
        <v>1527</v>
      </c>
      <c r="C325" s="1" t="s">
        <v>107</v>
      </c>
      <c r="D325" s="10">
        <v>45002.956944444442</v>
      </c>
      <c r="E325" t="s">
        <v>96</v>
      </c>
      <c r="F325" t="s">
        <v>54</v>
      </c>
      <c r="G325">
        <v>4155</v>
      </c>
      <c r="H325" s="5" t="s">
        <v>107</v>
      </c>
      <c r="I325" s="15">
        <v>45002</v>
      </c>
      <c r="J325" s="15" t="s">
        <v>232</v>
      </c>
      <c r="K325" s="6">
        <v>0.45694444444444443</v>
      </c>
      <c r="L325" t="s">
        <v>144</v>
      </c>
      <c r="M325">
        <v>100000</v>
      </c>
      <c r="N325" t="s">
        <v>224</v>
      </c>
      <c r="O325" t="s">
        <v>152</v>
      </c>
      <c r="P325">
        <v>73</v>
      </c>
      <c r="Q325" t="s">
        <v>157</v>
      </c>
    </row>
    <row r="326" spans="1:17" x14ac:dyDescent="0.2">
      <c r="A326">
        <v>231094</v>
      </c>
      <c r="B326">
        <v>680</v>
      </c>
      <c r="C326" s="1" t="s">
        <v>99</v>
      </c>
      <c r="D326" s="10">
        <v>45259.035416666666</v>
      </c>
      <c r="E326" t="s">
        <v>96</v>
      </c>
      <c r="F326" t="s">
        <v>38</v>
      </c>
      <c r="G326">
        <v>7379</v>
      </c>
      <c r="H326" s="5" t="s">
        <v>99</v>
      </c>
      <c r="I326" s="15">
        <v>45259</v>
      </c>
      <c r="J326" s="15" t="s">
        <v>295</v>
      </c>
      <c r="K326" s="6">
        <v>0.53541666666666665</v>
      </c>
      <c r="L326" t="s">
        <v>143</v>
      </c>
      <c r="M326">
        <v>100000</v>
      </c>
      <c r="N326" t="s">
        <v>221</v>
      </c>
      <c r="O326" t="s">
        <v>151</v>
      </c>
      <c r="P326">
        <v>81</v>
      </c>
      <c r="Q326" t="s">
        <v>155</v>
      </c>
    </row>
    <row r="327" spans="1:17" x14ac:dyDescent="0.2">
      <c r="A327">
        <v>232129</v>
      </c>
      <c r="B327">
        <v>67</v>
      </c>
      <c r="C327" s="1" t="s">
        <v>107</v>
      </c>
      <c r="D327" s="10">
        <v>45250.986111111109</v>
      </c>
      <c r="E327" t="s">
        <v>96</v>
      </c>
      <c r="F327" t="s">
        <v>34</v>
      </c>
      <c r="G327">
        <v>6264</v>
      </c>
      <c r="H327" s="5" t="s">
        <v>107</v>
      </c>
      <c r="I327" s="15">
        <v>45250</v>
      </c>
      <c r="J327" s="15" t="s">
        <v>295</v>
      </c>
      <c r="K327" s="6">
        <v>0.4861111111111111</v>
      </c>
      <c r="L327" t="s">
        <v>144</v>
      </c>
      <c r="M327">
        <v>150000</v>
      </c>
      <c r="N327" t="s">
        <v>218</v>
      </c>
      <c r="O327" t="s">
        <v>151</v>
      </c>
      <c r="P327">
        <v>51</v>
      </c>
      <c r="Q327" t="s">
        <v>154</v>
      </c>
    </row>
    <row r="328" spans="1:17" x14ac:dyDescent="0.2">
      <c r="A328">
        <v>232261</v>
      </c>
      <c r="B328">
        <v>1269</v>
      </c>
      <c r="C328" s="1" t="s">
        <v>110</v>
      </c>
      <c r="D328" s="10">
        <v>45169.940972222219</v>
      </c>
      <c r="E328" t="s">
        <v>191</v>
      </c>
      <c r="F328" t="s">
        <v>79</v>
      </c>
      <c r="G328">
        <v>434</v>
      </c>
      <c r="H328" s="5" t="s">
        <v>110</v>
      </c>
      <c r="I328" s="15">
        <v>45169</v>
      </c>
      <c r="J328" s="15" t="s">
        <v>234</v>
      </c>
      <c r="K328" s="6">
        <v>0.44097222222222221</v>
      </c>
      <c r="L328" t="s">
        <v>143</v>
      </c>
      <c r="M328">
        <v>50000</v>
      </c>
      <c r="N328" t="s">
        <v>204</v>
      </c>
      <c r="O328" t="s">
        <v>151</v>
      </c>
      <c r="P328">
        <v>48</v>
      </c>
      <c r="Q328" t="s">
        <v>156</v>
      </c>
    </row>
    <row r="329" spans="1:17" x14ac:dyDescent="0.2">
      <c r="A329">
        <v>232274</v>
      </c>
      <c r="B329">
        <v>1647</v>
      </c>
      <c r="C329" s="1" t="s">
        <v>99</v>
      </c>
      <c r="D329" s="10">
        <v>45282.058333333334</v>
      </c>
      <c r="E329" t="s">
        <v>98</v>
      </c>
      <c r="F329" t="s">
        <v>80</v>
      </c>
      <c r="G329">
        <v>8947</v>
      </c>
      <c r="H329" s="5" t="s">
        <v>99</v>
      </c>
      <c r="I329" s="15">
        <v>45282</v>
      </c>
      <c r="J329" s="15" t="s">
        <v>295</v>
      </c>
      <c r="K329" s="6">
        <v>5.8333333333333334E-2</v>
      </c>
      <c r="L329" t="s">
        <v>146</v>
      </c>
      <c r="M329">
        <v>50000</v>
      </c>
      <c r="N329" t="s">
        <v>212</v>
      </c>
      <c r="O329" t="s">
        <v>152</v>
      </c>
      <c r="P329">
        <v>22</v>
      </c>
      <c r="Q329" t="s">
        <v>157</v>
      </c>
    </row>
    <row r="330" spans="1:17" x14ac:dyDescent="0.2">
      <c r="A330">
        <v>233409</v>
      </c>
      <c r="B330">
        <v>1393</v>
      </c>
      <c r="C330" s="1" t="s">
        <v>107</v>
      </c>
      <c r="D330" s="10">
        <v>45231.961805555555</v>
      </c>
      <c r="E330" t="s">
        <v>98</v>
      </c>
      <c r="F330" t="s">
        <v>77</v>
      </c>
      <c r="G330">
        <v>9750</v>
      </c>
      <c r="H330" s="5" t="s">
        <v>107</v>
      </c>
      <c r="I330" s="15">
        <v>45231</v>
      </c>
      <c r="J330" s="15" t="s">
        <v>295</v>
      </c>
      <c r="K330" s="6">
        <v>0.46180555555555558</v>
      </c>
      <c r="L330" t="s">
        <v>146</v>
      </c>
      <c r="M330">
        <v>100000</v>
      </c>
      <c r="N330" t="s">
        <v>222</v>
      </c>
      <c r="O330" t="s">
        <v>152</v>
      </c>
      <c r="P330">
        <v>76</v>
      </c>
      <c r="Q330" t="s">
        <v>156</v>
      </c>
    </row>
    <row r="331" spans="1:17" x14ac:dyDescent="0.2">
      <c r="A331">
        <v>233843</v>
      </c>
      <c r="B331">
        <v>1577</v>
      </c>
      <c r="C331" s="1" t="s">
        <v>100</v>
      </c>
      <c r="D331" s="10">
        <v>45039.040277777778</v>
      </c>
      <c r="E331" t="s">
        <v>98</v>
      </c>
      <c r="F331" t="s">
        <v>22</v>
      </c>
      <c r="G331">
        <v>6392</v>
      </c>
      <c r="H331" s="5" t="s">
        <v>100</v>
      </c>
      <c r="I331" s="15">
        <v>45039</v>
      </c>
      <c r="J331" s="15" t="s">
        <v>233</v>
      </c>
      <c r="K331" s="6">
        <v>0.54027777777777775</v>
      </c>
      <c r="L331" t="s">
        <v>144</v>
      </c>
      <c r="M331">
        <v>100000</v>
      </c>
      <c r="N331" t="s">
        <v>202</v>
      </c>
      <c r="O331" t="s">
        <v>151</v>
      </c>
      <c r="P331">
        <v>55</v>
      </c>
      <c r="Q331" t="s">
        <v>157</v>
      </c>
    </row>
    <row r="332" spans="1:17" x14ac:dyDescent="0.2">
      <c r="A332">
        <v>234705</v>
      </c>
      <c r="B332">
        <v>1367</v>
      </c>
      <c r="C332" s="1" t="s">
        <v>107</v>
      </c>
      <c r="D332" s="10">
        <v>45184.000694444447</v>
      </c>
      <c r="E332" t="s">
        <v>96</v>
      </c>
      <c r="F332" t="s">
        <v>43</v>
      </c>
      <c r="G332">
        <v>1662</v>
      </c>
      <c r="H332" s="5" t="s">
        <v>107</v>
      </c>
      <c r="I332" s="15">
        <v>45184</v>
      </c>
      <c r="J332" s="15" t="s">
        <v>234</v>
      </c>
      <c r="K332" s="6">
        <v>0.50069444444444444</v>
      </c>
      <c r="L332" t="s">
        <v>145</v>
      </c>
      <c r="M332">
        <v>1000000</v>
      </c>
      <c r="N332" t="s">
        <v>203</v>
      </c>
      <c r="O332" t="s">
        <v>152</v>
      </c>
      <c r="P332">
        <v>25</v>
      </c>
      <c r="Q332" t="s">
        <v>156</v>
      </c>
    </row>
    <row r="333" spans="1:17" x14ac:dyDescent="0.2">
      <c r="A333">
        <v>235219</v>
      </c>
      <c r="B333">
        <v>1829</v>
      </c>
      <c r="C333" s="1" t="s">
        <v>101</v>
      </c>
      <c r="D333" s="10">
        <v>45236.037499999999</v>
      </c>
      <c r="E333" t="s">
        <v>98</v>
      </c>
      <c r="F333" t="s">
        <v>40</v>
      </c>
      <c r="G333">
        <v>4965</v>
      </c>
      <c r="H333" s="5" t="s">
        <v>101</v>
      </c>
      <c r="I333" s="15">
        <v>45236</v>
      </c>
      <c r="J333" s="15" t="s">
        <v>295</v>
      </c>
      <c r="K333" s="6">
        <v>0.53749999999999998</v>
      </c>
      <c r="L333" t="s">
        <v>142</v>
      </c>
      <c r="M333">
        <v>150000</v>
      </c>
      <c r="N333" t="s">
        <v>207</v>
      </c>
      <c r="O333" t="s">
        <v>151</v>
      </c>
      <c r="P333">
        <v>82</v>
      </c>
      <c r="Q333" t="s">
        <v>157</v>
      </c>
    </row>
    <row r="334" spans="1:17" x14ac:dyDescent="0.2">
      <c r="A334">
        <v>235760</v>
      </c>
      <c r="B334">
        <v>1816</v>
      </c>
      <c r="C334" s="1" t="s">
        <v>105</v>
      </c>
      <c r="D334" s="10">
        <v>45250.039583333331</v>
      </c>
      <c r="E334" t="s">
        <v>98</v>
      </c>
      <c r="F334" t="s">
        <v>81</v>
      </c>
      <c r="G334">
        <v>4835</v>
      </c>
      <c r="H334" s="5" t="s">
        <v>105</v>
      </c>
      <c r="I334" s="15">
        <v>45250</v>
      </c>
      <c r="J334" s="15" t="s">
        <v>295</v>
      </c>
      <c r="K334" s="6">
        <v>0.5395833333333333</v>
      </c>
      <c r="L334" t="s">
        <v>143</v>
      </c>
      <c r="M334">
        <v>250000</v>
      </c>
      <c r="N334" t="s">
        <v>221</v>
      </c>
      <c r="O334" t="s">
        <v>151</v>
      </c>
      <c r="P334">
        <v>75</v>
      </c>
      <c r="Q334" t="s">
        <v>157</v>
      </c>
    </row>
    <row r="335" spans="1:17" x14ac:dyDescent="0.2">
      <c r="A335">
        <v>237369</v>
      </c>
      <c r="B335">
        <v>401</v>
      </c>
      <c r="C335" s="1" t="s">
        <v>113</v>
      </c>
      <c r="D335" s="10">
        <v>45056.015972222223</v>
      </c>
      <c r="E335" t="s">
        <v>97</v>
      </c>
      <c r="F335" t="s">
        <v>82</v>
      </c>
      <c r="G335">
        <v>2313</v>
      </c>
      <c r="H335" s="5" t="s">
        <v>113</v>
      </c>
      <c r="I335" s="15">
        <v>45056</v>
      </c>
      <c r="J335" s="15" t="s">
        <v>233</v>
      </c>
      <c r="K335" s="6">
        <v>0.51597222222222228</v>
      </c>
      <c r="L335" t="s">
        <v>142</v>
      </c>
      <c r="M335">
        <v>100000</v>
      </c>
      <c r="N335" t="s">
        <v>209</v>
      </c>
      <c r="O335" t="s">
        <v>151</v>
      </c>
      <c r="P335">
        <v>36</v>
      </c>
      <c r="Q335" t="s">
        <v>154</v>
      </c>
    </row>
    <row r="336" spans="1:17" x14ac:dyDescent="0.2">
      <c r="A336">
        <v>238602</v>
      </c>
      <c r="B336">
        <v>153</v>
      </c>
      <c r="C336" s="1" t="s">
        <v>99</v>
      </c>
      <c r="D336" s="10">
        <v>45017.05</v>
      </c>
      <c r="E336" t="s">
        <v>192</v>
      </c>
      <c r="F336" t="s">
        <v>21</v>
      </c>
      <c r="G336">
        <v>951</v>
      </c>
      <c r="H336" s="5" t="s">
        <v>99</v>
      </c>
      <c r="I336" s="15">
        <v>45017</v>
      </c>
      <c r="J336" s="15" t="s">
        <v>233</v>
      </c>
      <c r="K336" s="6">
        <v>0.05</v>
      </c>
      <c r="L336" t="s">
        <v>142</v>
      </c>
      <c r="M336">
        <v>150000</v>
      </c>
      <c r="N336" t="s">
        <v>211</v>
      </c>
      <c r="O336" t="s">
        <v>151</v>
      </c>
      <c r="P336">
        <v>19</v>
      </c>
      <c r="Q336" t="s">
        <v>154</v>
      </c>
    </row>
    <row r="337" spans="1:17" x14ac:dyDescent="0.2">
      <c r="A337">
        <v>238793</v>
      </c>
      <c r="B337">
        <v>1574</v>
      </c>
      <c r="C337" s="1" t="s">
        <v>104</v>
      </c>
      <c r="D337" s="10">
        <v>45026.086805555555</v>
      </c>
      <c r="E337" t="s">
        <v>191</v>
      </c>
      <c r="F337" t="s">
        <v>66</v>
      </c>
      <c r="G337">
        <v>3650</v>
      </c>
      <c r="H337" s="5" t="s">
        <v>104</v>
      </c>
      <c r="I337" s="15">
        <v>45026</v>
      </c>
      <c r="J337" s="15" t="s">
        <v>233</v>
      </c>
      <c r="K337" s="6">
        <v>8.6805555555555552E-2</v>
      </c>
      <c r="L337" t="s">
        <v>144</v>
      </c>
      <c r="M337">
        <v>150000</v>
      </c>
      <c r="N337" t="s">
        <v>224</v>
      </c>
      <c r="O337" t="s">
        <v>152</v>
      </c>
      <c r="P337">
        <v>36</v>
      </c>
      <c r="Q337" t="s">
        <v>157</v>
      </c>
    </row>
    <row r="338" spans="1:17" x14ac:dyDescent="0.2">
      <c r="A338">
        <v>238839</v>
      </c>
      <c r="B338">
        <v>766</v>
      </c>
      <c r="C338" s="1" t="s">
        <v>99</v>
      </c>
      <c r="D338" s="10">
        <v>45092.036111111112</v>
      </c>
      <c r="E338" t="s">
        <v>97</v>
      </c>
      <c r="F338" t="s">
        <v>78</v>
      </c>
      <c r="G338">
        <v>1367</v>
      </c>
      <c r="H338" s="5" t="s">
        <v>99</v>
      </c>
      <c r="I338" s="15">
        <v>45092</v>
      </c>
      <c r="J338" s="15" t="s">
        <v>233</v>
      </c>
      <c r="K338" s="6">
        <v>0.53611111111111109</v>
      </c>
      <c r="L338" t="s">
        <v>143</v>
      </c>
      <c r="M338">
        <v>200000</v>
      </c>
      <c r="N338" t="s">
        <v>215</v>
      </c>
      <c r="O338" t="s">
        <v>152</v>
      </c>
      <c r="P338">
        <v>89</v>
      </c>
      <c r="Q338" t="s">
        <v>155</v>
      </c>
    </row>
    <row r="339" spans="1:17" x14ac:dyDescent="0.2">
      <c r="A339">
        <v>241257</v>
      </c>
      <c r="B339">
        <v>1374</v>
      </c>
      <c r="C339" s="1" t="s">
        <v>100</v>
      </c>
      <c r="D339" s="10">
        <v>45027.06527777778</v>
      </c>
      <c r="E339" t="s">
        <v>96</v>
      </c>
      <c r="F339" t="s">
        <v>5</v>
      </c>
      <c r="G339">
        <v>6819</v>
      </c>
      <c r="H339" s="5" t="s">
        <v>100</v>
      </c>
      <c r="I339" s="15">
        <v>45027</v>
      </c>
      <c r="J339" s="15" t="s">
        <v>233</v>
      </c>
      <c r="K339" s="6">
        <v>6.5277777777777782E-2</v>
      </c>
      <c r="L339" t="s">
        <v>143</v>
      </c>
      <c r="M339">
        <v>200000</v>
      </c>
      <c r="N339" t="s">
        <v>198</v>
      </c>
      <c r="O339" t="s">
        <v>151</v>
      </c>
      <c r="P339">
        <v>80</v>
      </c>
      <c r="Q339" t="s">
        <v>156</v>
      </c>
    </row>
    <row r="340" spans="1:17" x14ac:dyDescent="0.2">
      <c r="A340">
        <v>241334</v>
      </c>
      <c r="B340">
        <v>864</v>
      </c>
      <c r="C340" s="1" t="s">
        <v>99</v>
      </c>
      <c r="D340" s="10">
        <v>44939.027083333334</v>
      </c>
      <c r="E340" t="s">
        <v>191</v>
      </c>
      <c r="F340" t="s">
        <v>39</v>
      </c>
      <c r="G340">
        <v>3422</v>
      </c>
      <c r="H340" s="5" t="s">
        <v>99</v>
      </c>
      <c r="I340" s="15">
        <v>44939</v>
      </c>
      <c r="J340" s="15" t="s">
        <v>232</v>
      </c>
      <c r="K340" s="6">
        <v>0.52708333333333335</v>
      </c>
      <c r="L340" t="s">
        <v>146</v>
      </c>
      <c r="M340">
        <v>100000</v>
      </c>
      <c r="N340" t="s">
        <v>212</v>
      </c>
      <c r="O340" t="s">
        <v>152</v>
      </c>
      <c r="P340">
        <v>78</v>
      </c>
      <c r="Q340" t="s">
        <v>155</v>
      </c>
    </row>
    <row r="341" spans="1:17" x14ac:dyDescent="0.2">
      <c r="A341">
        <v>242256</v>
      </c>
      <c r="B341">
        <v>504</v>
      </c>
      <c r="C341" s="1" t="s">
        <v>102</v>
      </c>
      <c r="D341" s="10">
        <v>45123.07708333333</v>
      </c>
      <c r="E341" t="s">
        <v>96</v>
      </c>
      <c r="F341" t="s">
        <v>43</v>
      </c>
      <c r="G341">
        <v>3986</v>
      </c>
      <c r="H341" s="5" t="s">
        <v>102</v>
      </c>
      <c r="I341" s="15">
        <v>45123</v>
      </c>
      <c r="J341" s="15" t="s">
        <v>234</v>
      </c>
      <c r="K341" s="6">
        <v>7.7083333333333337E-2</v>
      </c>
      <c r="L341" t="s">
        <v>145</v>
      </c>
      <c r="M341">
        <v>1000000</v>
      </c>
      <c r="N341" t="s">
        <v>203</v>
      </c>
      <c r="O341" t="s">
        <v>151</v>
      </c>
      <c r="P341">
        <v>48</v>
      </c>
      <c r="Q341" t="s">
        <v>155</v>
      </c>
    </row>
    <row r="342" spans="1:17" x14ac:dyDescent="0.2">
      <c r="A342">
        <v>243319</v>
      </c>
      <c r="B342">
        <v>818</v>
      </c>
      <c r="C342" s="1" t="s">
        <v>100</v>
      </c>
      <c r="D342" s="10">
        <v>45072.973611111112</v>
      </c>
      <c r="E342" t="s">
        <v>191</v>
      </c>
      <c r="F342" t="s">
        <v>43</v>
      </c>
      <c r="G342">
        <v>2539</v>
      </c>
      <c r="H342" s="5" t="s">
        <v>100</v>
      </c>
      <c r="I342" s="15">
        <v>45072</v>
      </c>
      <c r="J342" s="15" t="s">
        <v>233</v>
      </c>
      <c r="K342" s="6">
        <v>0.47361111111111109</v>
      </c>
      <c r="L342" t="s">
        <v>145</v>
      </c>
      <c r="M342">
        <v>1000000</v>
      </c>
      <c r="N342" t="s">
        <v>203</v>
      </c>
      <c r="O342" t="s">
        <v>152</v>
      </c>
      <c r="P342">
        <v>87</v>
      </c>
      <c r="Q342" t="s">
        <v>155</v>
      </c>
    </row>
    <row r="343" spans="1:17" x14ac:dyDescent="0.2">
      <c r="A343">
        <v>243485</v>
      </c>
      <c r="B343">
        <v>633</v>
      </c>
      <c r="C343" s="1" t="s">
        <v>100</v>
      </c>
      <c r="D343" s="10">
        <v>45119.011111111111</v>
      </c>
      <c r="E343" t="s">
        <v>98</v>
      </c>
      <c r="F343" t="s">
        <v>17</v>
      </c>
      <c r="G343">
        <v>6552</v>
      </c>
      <c r="H343" s="5" t="s">
        <v>100</v>
      </c>
      <c r="I343" s="15">
        <v>45119</v>
      </c>
      <c r="J343" s="15" t="s">
        <v>234</v>
      </c>
      <c r="K343" s="6">
        <v>0.51111111111111107</v>
      </c>
      <c r="L343" t="s">
        <v>142</v>
      </c>
      <c r="M343">
        <v>100000</v>
      </c>
      <c r="N343" t="s">
        <v>209</v>
      </c>
      <c r="O343" t="s">
        <v>152</v>
      </c>
      <c r="P343">
        <v>88</v>
      </c>
      <c r="Q343" t="s">
        <v>155</v>
      </c>
    </row>
    <row r="344" spans="1:17" x14ac:dyDescent="0.2">
      <c r="A344">
        <v>245474</v>
      </c>
      <c r="B344">
        <v>40</v>
      </c>
      <c r="C344" s="1" t="s">
        <v>101</v>
      </c>
      <c r="D344" s="10">
        <v>45248.967361111114</v>
      </c>
      <c r="E344" t="s">
        <v>96</v>
      </c>
      <c r="F344" t="s">
        <v>70</v>
      </c>
      <c r="G344">
        <v>3933</v>
      </c>
      <c r="H344" s="5" t="s">
        <v>101</v>
      </c>
      <c r="I344" s="15">
        <v>45248</v>
      </c>
      <c r="J344" s="15" t="s">
        <v>295</v>
      </c>
      <c r="K344" s="6">
        <v>0.46736111111111112</v>
      </c>
      <c r="L344" t="s">
        <v>143</v>
      </c>
      <c r="M344">
        <v>100000</v>
      </c>
      <c r="N344" t="s">
        <v>205</v>
      </c>
      <c r="O344" t="s">
        <v>152</v>
      </c>
      <c r="P344">
        <v>37</v>
      </c>
      <c r="Q344" t="s">
        <v>154</v>
      </c>
    </row>
    <row r="345" spans="1:17" x14ac:dyDescent="0.2">
      <c r="A345">
        <v>246033</v>
      </c>
      <c r="B345">
        <v>1715</v>
      </c>
      <c r="C345" s="1" t="s">
        <v>99</v>
      </c>
      <c r="D345" s="10">
        <v>45265.981249999997</v>
      </c>
      <c r="E345" t="s">
        <v>96</v>
      </c>
      <c r="F345" t="s">
        <v>71</v>
      </c>
      <c r="G345">
        <v>5126</v>
      </c>
      <c r="H345" s="5" t="s">
        <v>99</v>
      </c>
      <c r="I345" s="15">
        <v>45265</v>
      </c>
      <c r="J345" s="15" t="s">
        <v>295</v>
      </c>
      <c r="K345" s="6">
        <v>0.48125000000000001</v>
      </c>
      <c r="L345" t="s">
        <v>145</v>
      </c>
      <c r="M345">
        <v>150000</v>
      </c>
      <c r="N345" t="s">
        <v>226</v>
      </c>
      <c r="O345" t="s">
        <v>151</v>
      </c>
      <c r="P345">
        <v>41</v>
      </c>
      <c r="Q345" t="s">
        <v>157</v>
      </c>
    </row>
    <row r="346" spans="1:17" x14ac:dyDescent="0.2">
      <c r="A346">
        <v>246834</v>
      </c>
      <c r="B346">
        <v>808</v>
      </c>
      <c r="C346" s="1" t="s">
        <v>99</v>
      </c>
      <c r="D346" s="10">
        <v>45134.023611111108</v>
      </c>
      <c r="E346" t="s">
        <v>96</v>
      </c>
      <c r="F346" t="s">
        <v>43</v>
      </c>
      <c r="G346">
        <v>9507</v>
      </c>
      <c r="H346" s="5" t="s">
        <v>99</v>
      </c>
      <c r="I346" s="15">
        <v>45134</v>
      </c>
      <c r="J346" s="15" t="s">
        <v>234</v>
      </c>
      <c r="K346" s="6">
        <v>0.52361111111111114</v>
      </c>
      <c r="L346" t="s">
        <v>145</v>
      </c>
      <c r="M346">
        <v>1000000</v>
      </c>
      <c r="N346" t="s">
        <v>203</v>
      </c>
      <c r="O346" t="s">
        <v>152</v>
      </c>
      <c r="P346">
        <v>41</v>
      </c>
      <c r="Q346" t="s">
        <v>155</v>
      </c>
    </row>
    <row r="347" spans="1:17" x14ac:dyDescent="0.2">
      <c r="A347">
        <v>246988</v>
      </c>
      <c r="B347">
        <v>243</v>
      </c>
      <c r="C347" s="1" t="s">
        <v>99</v>
      </c>
      <c r="D347" s="10">
        <v>45092.027777777781</v>
      </c>
      <c r="E347" t="s">
        <v>191</v>
      </c>
      <c r="F347" t="s">
        <v>45</v>
      </c>
      <c r="G347">
        <v>4264</v>
      </c>
      <c r="H347" s="5" t="s">
        <v>99</v>
      </c>
      <c r="I347" s="15">
        <v>45092</v>
      </c>
      <c r="J347" s="15" t="s">
        <v>233</v>
      </c>
      <c r="K347" s="6">
        <v>0.52777777777777779</v>
      </c>
      <c r="L347" t="s">
        <v>142</v>
      </c>
      <c r="M347">
        <v>100000</v>
      </c>
      <c r="N347" t="s">
        <v>197</v>
      </c>
      <c r="O347" t="s">
        <v>151</v>
      </c>
      <c r="P347">
        <v>18</v>
      </c>
      <c r="Q347" t="s">
        <v>154</v>
      </c>
    </row>
    <row r="348" spans="1:17" x14ac:dyDescent="0.2">
      <c r="A348">
        <v>247011</v>
      </c>
      <c r="B348">
        <v>1809</v>
      </c>
      <c r="C348" s="1" t="s">
        <v>99</v>
      </c>
      <c r="D348" s="10">
        <v>45271.978472222225</v>
      </c>
      <c r="E348" t="s">
        <v>98</v>
      </c>
      <c r="F348" t="s">
        <v>8</v>
      </c>
      <c r="G348">
        <v>4533</v>
      </c>
      <c r="H348" s="5" t="s">
        <v>99</v>
      </c>
      <c r="I348" s="15">
        <v>45271</v>
      </c>
      <c r="J348" s="15" t="s">
        <v>295</v>
      </c>
      <c r="K348" s="6">
        <v>0.47847222222222224</v>
      </c>
      <c r="L348" t="s">
        <v>142</v>
      </c>
      <c r="M348">
        <v>200000</v>
      </c>
      <c r="N348" t="s">
        <v>201</v>
      </c>
      <c r="O348" t="s">
        <v>152</v>
      </c>
      <c r="P348">
        <v>57</v>
      </c>
      <c r="Q348" t="s">
        <v>157</v>
      </c>
    </row>
    <row r="349" spans="1:17" x14ac:dyDescent="0.2">
      <c r="A349">
        <v>247239</v>
      </c>
      <c r="B349">
        <v>1643</v>
      </c>
      <c r="C349" s="1" t="s">
        <v>101</v>
      </c>
      <c r="D349" s="10">
        <v>45006.070833333331</v>
      </c>
      <c r="E349" t="s">
        <v>98</v>
      </c>
      <c r="F349" t="s">
        <v>46</v>
      </c>
      <c r="G349">
        <v>9225</v>
      </c>
      <c r="H349" s="5" t="s">
        <v>101</v>
      </c>
      <c r="I349" s="15">
        <v>45006</v>
      </c>
      <c r="J349" s="15" t="s">
        <v>232</v>
      </c>
      <c r="K349" s="6">
        <v>7.0833333333333331E-2</v>
      </c>
      <c r="L349" t="s">
        <v>142</v>
      </c>
      <c r="M349">
        <v>200000</v>
      </c>
      <c r="N349" t="s">
        <v>211</v>
      </c>
      <c r="O349" t="s">
        <v>152</v>
      </c>
      <c r="P349">
        <v>29</v>
      </c>
      <c r="Q349" t="s">
        <v>157</v>
      </c>
    </row>
    <row r="350" spans="1:17" x14ac:dyDescent="0.2">
      <c r="A350">
        <v>248737</v>
      </c>
      <c r="B350">
        <v>109</v>
      </c>
      <c r="C350" s="1" t="s">
        <v>99</v>
      </c>
      <c r="D350" s="10">
        <v>45000.026388888888</v>
      </c>
      <c r="E350" t="s">
        <v>98</v>
      </c>
      <c r="F350" t="s">
        <v>11</v>
      </c>
      <c r="G350">
        <v>1887</v>
      </c>
      <c r="H350" s="5" t="s">
        <v>99</v>
      </c>
      <c r="I350" s="15">
        <v>45000</v>
      </c>
      <c r="J350" s="15" t="s">
        <v>232</v>
      </c>
      <c r="K350" s="6">
        <v>0.52638888888888891</v>
      </c>
      <c r="L350" t="s">
        <v>143</v>
      </c>
      <c r="M350">
        <v>150000</v>
      </c>
      <c r="N350" t="s">
        <v>204</v>
      </c>
      <c r="O350" t="s">
        <v>152</v>
      </c>
      <c r="P350">
        <v>32</v>
      </c>
      <c r="Q350" t="s">
        <v>154</v>
      </c>
    </row>
    <row r="351" spans="1:17" x14ac:dyDescent="0.2">
      <c r="A351">
        <v>250181</v>
      </c>
      <c r="B351">
        <v>1583</v>
      </c>
      <c r="C351" s="1" t="s">
        <v>106</v>
      </c>
      <c r="D351" s="10">
        <v>45036.008333333331</v>
      </c>
      <c r="E351" t="s">
        <v>96</v>
      </c>
      <c r="F351" t="s">
        <v>72</v>
      </c>
      <c r="G351">
        <v>4036</v>
      </c>
      <c r="H351" s="5" t="s">
        <v>106</v>
      </c>
      <c r="I351" s="15">
        <v>45036</v>
      </c>
      <c r="J351" s="15" t="s">
        <v>233</v>
      </c>
      <c r="K351" s="6">
        <v>0.5083333333333333</v>
      </c>
      <c r="L351" t="s">
        <v>143</v>
      </c>
      <c r="M351">
        <v>150000</v>
      </c>
      <c r="N351" t="s">
        <v>223</v>
      </c>
      <c r="O351" t="s">
        <v>152</v>
      </c>
      <c r="P351">
        <v>73</v>
      </c>
      <c r="Q351" t="s">
        <v>157</v>
      </c>
    </row>
    <row r="352" spans="1:17" x14ac:dyDescent="0.2">
      <c r="A352">
        <v>251278</v>
      </c>
      <c r="B352">
        <v>1591</v>
      </c>
      <c r="C352" s="1" t="s">
        <v>99</v>
      </c>
      <c r="D352" s="10">
        <v>45018.961805555555</v>
      </c>
      <c r="E352" t="s">
        <v>96</v>
      </c>
      <c r="F352" t="s">
        <v>27</v>
      </c>
      <c r="G352">
        <v>2551</v>
      </c>
      <c r="H352" s="5" t="s">
        <v>99</v>
      </c>
      <c r="I352" s="15">
        <v>45018</v>
      </c>
      <c r="J352" s="15" t="s">
        <v>233</v>
      </c>
      <c r="K352" s="6">
        <v>0.46180555555555558</v>
      </c>
      <c r="L352" t="s">
        <v>142</v>
      </c>
      <c r="M352">
        <v>1000000</v>
      </c>
      <c r="N352" t="s">
        <v>209</v>
      </c>
      <c r="O352" t="s">
        <v>151</v>
      </c>
      <c r="P352">
        <v>61</v>
      </c>
      <c r="Q352" t="s">
        <v>157</v>
      </c>
    </row>
    <row r="353" spans="1:17" x14ac:dyDescent="0.2">
      <c r="A353">
        <v>251865</v>
      </c>
      <c r="B353">
        <v>414</v>
      </c>
      <c r="C353" s="1" t="s">
        <v>113</v>
      </c>
      <c r="D353" s="10">
        <v>45267.962500000001</v>
      </c>
      <c r="E353" t="s">
        <v>191</v>
      </c>
      <c r="F353" t="s">
        <v>13</v>
      </c>
      <c r="G353">
        <v>6149</v>
      </c>
      <c r="H353" s="5" t="s">
        <v>113</v>
      </c>
      <c r="I353" s="15">
        <v>45267</v>
      </c>
      <c r="J353" s="15" t="s">
        <v>295</v>
      </c>
      <c r="K353" s="6">
        <v>0.46250000000000002</v>
      </c>
      <c r="L353" t="s">
        <v>143</v>
      </c>
      <c r="M353">
        <v>150000</v>
      </c>
      <c r="N353" t="s">
        <v>206</v>
      </c>
      <c r="O353" t="s">
        <v>151</v>
      </c>
      <c r="P353">
        <v>86</v>
      </c>
      <c r="Q353" t="s">
        <v>154</v>
      </c>
    </row>
    <row r="354" spans="1:17" x14ac:dyDescent="0.2">
      <c r="A354">
        <v>251999</v>
      </c>
      <c r="B354">
        <v>317</v>
      </c>
      <c r="C354" s="1" t="s">
        <v>100</v>
      </c>
      <c r="D354" s="10">
        <v>45232.012499999997</v>
      </c>
      <c r="E354" t="s">
        <v>96</v>
      </c>
      <c r="F354" t="s">
        <v>73</v>
      </c>
      <c r="G354">
        <v>8817</v>
      </c>
      <c r="H354" s="5" t="s">
        <v>100</v>
      </c>
      <c r="I354" s="15">
        <v>45232</v>
      </c>
      <c r="J354" s="15" t="s">
        <v>295</v>
      </c>
      <c r="K354" s="6">
        <v>0.51249999999999996</v>
      </c>
      <c r="L354" t="s">
        <v>146</v>
      </c>
      <c r="M354">
        <v>150000</v>
      </c>
      <c r="N354" t="s">
        <v>222</v>
      </c>
      <c r="O354" t="s">
        <v>151</v>
      </c>
      <c r="P354">
        <v>24</v>
      </c>
      <c r="Q354" t="s">
        <v>154</v>
      </c>
    </row>
    <row r="355" spans="1:17" x14ac:dyDescent="0.2">
      <c r="A355">
        <v>252920</v>
      </c>
      <c r="B355">
        <v>298</v>
      </c>
      <c r="C355" s="1" t="s">
        <v>105</v>
      </c>
      <c r="D355" s="10">
        <v>45134.033333333333</v>
      </c>
      <c r="E355" t="s">
        <v>98</v>
      </c>
      <c r="F355" t="s">
        <v>52</v>
      </c>
      <c r="G355">
        <v>5044</v>
      </c>
      <c r="H355" s="5" t="s">
        <v>105</v>
      </c>
      <c r="I355" s="15">
        <v>45134</v>
      </c>
      <c r="J355" s="15" t="s">
        <v>234</v>
      </c>
      <c r="K355" s="6">
        <v>0.53333333333333333</v>
      </c>
      <c r="L355" t="s">
        <v>143</v>
      </c>
      <c r="M355">
        <v>100000</v>
      </c>
      <c r="N355" t="s">
        <v>206</v>
      </c>
      <c r="O355" t="s">
        <v>151</v>
      </c>
      <c r="P355">
        <v>34</v>
      </c>
      <c r="Q355" t="s">
        <v>154</v>
      </c>
    </row>
    <row r="356" spans="1:17" x14ac:dyDescent="0.2">
      <c r="A356">
        <v>253281</v>
      </c>
      <c r="B356">
        <v>1725</v>
      </c>
      <c r="C356" s="1" t="s">
        <v>99</v>
      </c>
      <c r="D356" s="10">
        <v>45153.989583333336</v>
      </c>
      <c r="E356" t="s">
        <v>97</v>
      </c>
      <c r="F356" t="s">
        <v>26</v>
      </c>
      <c r="G356">
        <v>8869</v>
      </c>
      <c r="H356" s="5" t="s">
        <v>99</v>
      </c>
      <c r="I356" s="15">
        <v>45153</v>
      </c>
      <c r="J356" s="15" t="s">
        <v>234</v>
      </c>
      <c r="K356" s="6">
        <v>0.48958333333333331</v>
      </c>
      <c r="L356" t="s">
        <v>145</v>
      </c>
      <c r="M356">
        <v>100000</v>
      </c>
      <c r="N356" t="s">
        <v>210</v>
      </c>
      <c r="O356" t="s">
        <v>151</v>
      </c>
      <c r="P356">
        <v>81</v>
      </c>
      <c r="Q356" t="s">
        <v>157</v>
      </c>
    </row>
    <row r="357" spans="1:17" x14ac:dyDescent="0.2">
      <c r="A357">
        <v>253341</v>
      </c>
      <c r="B357">
        <v>1663</v>
      </c>
      <c r="C357" s="1" t="s">
        <v>104</v>
      </c>
      <c r="D357" s="10">
        <v>45078.068749999999</v>
      </c>
      <c r="E357" t="s">
        <v>98</v>
      </c>
      <c r="F357" t="s">
        <v>74</v>
      </c>
      <c r="G357">
        <v>6399</v>
      </c>
      <c r="H357" s="5" t="s">
        <v>104</v>
      </c>
      <c r="I357" s="15">
        <v>45078</v>
      </c>
      <c r="J357" s="15" t="s">
        <v>233</v>
      </c>
      <c r="K357" s="6">
        <v>6.8750000000000006E-2</v>
      </c>
      <c r="L357" t="s">
        <v>145</v>
      </c>
      <c r="M357">
        <v>150000</v>
      </c>
      <c r="N357" t="s">
        <v>226</v>
      </c>
      <c r="O357" t="s">
        <v>152</v>
      </c>
      <c r="P357">
        <v>60</v>
      </c>
      <c r="Q357" t="s">
        <v>157</v>
      </c>
    </row>
    <row r="358" spans="1:17" x14ac:dyDescent="0.2">
      <c r="A358">
        <v>254112</v>
      </c>
      <c r="B358">
        <v>1975</v>
      </c>
      <c r="C358" s="1" t="s">
        <v>99</v>
      </c>
      <c r="D358" s="10">
        <v>45176.990277777775</v>
      </c>
      <c r="E358" t="s">
        <v>97</v>
      </c>
      <c r="F358" t="s">
        <v>75</v>
      </c>
      <c r="G358">
        <v>2037</v>
      </c>
      <c r="H358" s="5" t="s">
        <v>99</v>
      </c>
      <c r="I358" s="15">
        <v>45176</v>
      </c>
      <c r="J358" s="15" t="s">
        <v>234</v>
      </c>
      <c r="K358" s="6">
        <v>0.49027777777777776</v>
      </c>
      <c r="L358" t="s">
        <v>143</v>
      </c>
      <c r="M358">
        <v>50000</v>
      </c>
      <c r="N358" t="s">
        <v>205</v>
      </c>
      <c r="O358" t="s">
        <v>151</v>
      </c>
      <c r="P358">
        <v>40</v>
      </c>
      <c r="Q358" t="s">
        <v>157</v>
      </c>
    </row>
    <row r="359" spans="1:17" x14ac:dyDescent="0.2">
      <c r="A359">
        <v>254795</v>
      </c>
      <c r="B359">
        <v>1357</v>
      </c>
      <c r="C359" s="1" t="s">
        <v>111</v>
      </c>
      <c r="D359" s="10">
        <v>45074.057638888888</v>
      </c>
      <c r="E359" t="s">
        <v>96</v>
      </c>
      <c r="F359" t="s">
        <v>73</v>
      </c>
      <c r="G359">
        <v>7938</v>
      </c>
      <c r="H359" s="5" t="s">
        <v>111</v>
      </c>
      <c r="I359" s="15">
        <v>45074</v>
      </c>
      <c r="J359" s="15" t="s">
        <v>233</v>
      </c>
      <c r="K359" s="6">
        <v>5.7638888888888892E-2</v>
      </c>
      <c r="L359" t="s">
        <v>146</v>
      </c>
      <c r="M359">
        <v>150000</v>
      </c>
      <c r="N359" t="s">
        <v>222</v>
      </c>
      <c r="O359" t="s">
        <v>151</v>
      </c>
      <c r="P359">
        <v>43</v>
      </c>
      <c r="Q359" t="s">
        <v>156</v>
      </c>
    </row>
    <row r="360" spans="1:17" x14ac:dyDescent="0.2">
      <c r="A360">
        <v>255781</v>
      </c>
      <c r="B360">
        <v>847</v>
      </c>
      <c r="C360" s="1" t="s">
        <v>113</v>
      </c>
      <c r="D360" s="10">
        <v>45164.949305555558</v>
      </c>
      <c r="E360" t="s">
        <v>96</v>
      </c>
      <c r="F360" t="s">
        <v>76</v>
      </c>
      <c r="G360">
        <v>298</v>
      </c>
      <c r="H360" s="5" t="s">
        <v>113</v>
      </c>
      <c r="I360" s="15">
        <v>45164</v>
      </c>
      <c r="J360" s="15" t="s">
        <v>234</v>
      </c>
      <c r="K360" s="6">
        <v>0.44930555555555557</v>
      </c>
      <c r="L360" t="s">
        <v>142</v>
      </c>
      <c r="M360">
        <v>80000</v>
      </c>
      <c r="N360" t="s">
        <v>201</v>
      </c>
      <c r="O360" t="s">
        <v>151</v>
      </c>
      <c r="P360">
        <v>76</v>
      </c>
      <c r="Q360" t="s">
        <v>155</v>
      </c>
    </row>
    <row r="361" spans="1:17" x14ac:dyDescent="0.2">
      <c r="A361">
        <v>257849</v>
      </c>
      <c r="B361">
        <v>27</v>
      </c>
      <c r="C361" s="1" t="s">
        <v>99</v>
      </c>
      <c r="D361" s="10">
        <v>45284.032638888886</v>
      </c>
      <c r="E361" t="s">
        <v>96</v>
      </c>
      <c r="F361" t="s">
        <v>72</v>
      </c>
      <c r="G361">
        <v>1534</v>
      </c>
      <c r="H361" s="5" t="s">
        <v>99</v>
      </c>
      <c r="I361" s="15">
        <v>45284</v>
      </c>
      <c r="J361" s="15" t="s">
        <v>295</v>
      </c>
      <c r="K361" s="6">
        <v>0.53263888888888888</v>
      </c>
      <c r="L361" t="s">
        <v>143</v>
      </c>
      <c r="M361">
        <v>150000</v>
      </c>
      <c r="N361" t="s">
        <v>223</v>
      </c>
      <c r="O361" t="s">
        <v>152</v>
      </c>
      <c r="P361">
        <v>66</v>
      </c>
      <c r="Q361" t="s">
        <v>154</v>
      </c>
    </row>
    <row r="362" spans="1:17" x14ac:dyDescent="0.2">
      <c r="A362">
        <v>258070</v>
      </c>
      <c r="B362">
        <v>295</v>
      </c>
      <c r="C362" s="1" t="s">
        <v>113</v>
      </c>
      <c r="D362" s="10">
        <v>45246.996527777781</v>
      </c>
      <c r="E362" t="s">
        <v>97</v>
      </c>
      <c r="F362" t="s">
        <v>28</v>
      </c>
      <c r="G362">
        <v>3890</v>
      </c>
      <c r="H362" s="5" t="s">
        <v>113</v>
      </c>
      <c r="I362" s="15">
        <v>45246</v>
      </c>
      <c r="J362" s="15" t="s">
        <v>295</v>
      </c>
      <c r="K362" s="6">
        <v>0.49652777777777779</v>
      </c>
      <c r="L362" t="s">
        <v>143</v>
      </c>
      <c r="M362">
        <v>100000</v>
      </c>
      <c r="N362" t="s">
        <v>215</v>
      </c>
      <c r="O362" t="s">
        <v>152</v>
      </c>
      <c r="P362">
        <v>44</v>
      </c>
      <c r="Q362" t="s">
        <v>154</v>
      </c>
    </row>
    <row r="363" spans="1:17" x14ac:dyDescent="0.2">
      <c r="A363">
        <v>259823</v>
      </c>
      <c r="B363">
        <v>1557</v>
      </c>
      <c r="C363" s="1" t="s">
        <v>99</v>
      </c>
      <c r="D363" s="10">
        <v>45172.970833333333</v>
      </c>
      <c r="E363" t="s">
        <v>98</v>
      </c>
      <c r="F363" t="s">
        <v>4</v>
      </c>
      <c r="G363">
        <v>5762</v>
      </c>
      <c r="H363" s="5" t="s">
        <v>99</v>
      </c>
      <c r="I363" s="15">
        <v>45172</v>
      </c>
      <c r="J363" s="15" t="s">
        <v>234</v>
      </c>
      <c r="K363" s="6">
        <v>0.47083333333333333</v>
      </c>
      <c r="L363" t="s">
        <v>142</v>
      </c>
      <c r="M363">
        <v>200000</v>
      </c>
      <c r="N363" t="s">
        <v>197</v>
      </c>
      <c r="O363" t="s">
        <v>151</v>
      </c>
      <c r="P363">
        <v>28</v>
      </c>
      <c r="Q363" t="s">
        <v>157</v>
      </c>
    </row>
    <row r="364" spans="1:17" x14ac:dyDescent="0.2">
      <c r="A364">
        <v>260160</v>
      </c>
      <c r="B364">
        <v>1525</v>
      </c>
      <c r="C364" s="1" t="s">
        <v>107</v>
      </c>
      <c r="D364" s="10">
        <v>45260.033333333333</v>
      </c>
      <c r="E364" t="s">
        <v>98</v>
      </c>
      <c r="F364" t="s">
        <v>23</v>
      </c>
      <c r="G364">
        <v>586</v>
      </c>
      <c r="H364" s="5" t="s">
        <v>107</v>
      </c>
      <c r="I364" s="15">
        <v>45260</v>
      </c>
      <c r="J364" s="15" t="s">
        <v>295</v>
      </c>
      <c r="K364" s="6">
        <v>0.53333333333333333</v>
      </c>
      <c r="L364" t="s">
        <v>142</v>
      </c>
      <c r="M364">
        <v>150000</v>
      </c>
      <c r="N364" t="s">
        <v>213</v>
      </c>
      <c r="O364" t="s">
        <v>152</v>
      </c>
      <c r="P364">
        <v>87</v>
      </c>
      <c r="Q364" t="s">
        <v>157</v>
      </c>
    </row>
    <row r="365" spans="1:17" x14ac:dyDescent="0.2">
      <c r="A365">
        <v>260615</v>
      </c>
      <c r="B365">
        <v>1539</v>
      </c>
      <c r="C365" s="1" t="s">
        <v>99</v>
      </c>
      <c r="D365" s="10">
        <v>45026.979861111111</v>
      </c>
      <c r="E365" t="s">
        <v>97</v>
      </c>
      <c r="F365" t="s">
        <v>77</v>
      </c>
      <c r="G365">
        <v>3646</v>
      </c>
      <c r="H365" s="5" t="s">
        <v>99</v>
      </c>
      <c r="I365" s="15">
        <v>45026</v>
      </c>
      <c r="J365" s="15" t="s">
        <v>233</v>
      </c>
      <c r="K365" s="6">
        <v>0.47986111111111113</v>
      </c>
      <c r="L365" t="s">
        <v>146</v>
      </c>
      <c r="M365">
        <v>100000</v>
      </c>
      <c r="N365" t="s">
        <v>222</v>
      </c>
      <c r="O365" t="s">
        <v>152</v>
      </c>
      <c r="P365">
        <v>73</v>
      </c>
      <c r="Q365" t="s">
        <v>157</v>
      </c>
    </row>
    <row r="366" spans="1:17" x14ac:dyDescent="0.2">
      <c r="A366">
        <v>260991</v>
      </c>
      <c r="B366">
        <v>1916</v>
      </c>
      <c r="C366" s="1" t="s">
        <v>110</v>
      </c>
      <c r="D366" s="10">
        <v>44979.013194444444</v>
      </c>
      <c r="E366" t="s">
        <v>98</v>
      </c>
      <c r="F366" t="s">
        <v>20</v>
      </c>
      <c r="G366">
        <v>8257</v>
      </c>
      <c r="H366" s="5" t="s">
        <v>110</v>
      </c>
      <c r="I366" s="15">
        <v>44979</v>
      </c>
      <c r="J366" s="15" t="s">
        <v>232</v>
      </c>
      <c r="K366" s="6">
        <v>0.5131944444444444</v>
      </c>
      <c r="L366" t="s">
        <v>146</v>
      </c>
      <c r="M366">
        <v>150000</v>
      </c>
      <c r="N366" t="s">
        <v>212</v>
      </c>
      <c r="O366" t="s">
        <v>151</v>
      </c>
      <c r="P366">
        <v>34</v>
      </c>
      <c r="Q366" t="s">
        <v>157</v>
      </c>
    </row>
    <row r="367" spans="1:17" x14ac:dyDescent="0.2">
      <c r="A367">
        <v>261671</v>
      </c>
      <c r="B367">
        <v>1566</v>
      </c>
      <c r="C367" s="1" t="s">
        <v>99</v>
      </c>
      <c r="D367" s="10">
        <v>45159.980555555558</v>
      </c>
      <c r="E367" t="s">
        <v>97</v>
      </c>
      <c r="F367" t="s">
        <v>41</v>
      </c>
      <c r="G367">
        <v>7957</v>
      </c>
      <c r="H367" s="5" t="s">
        <v>99</v>
      </c>
      <c r="I367" s="15">
        <v>45159</v>
      </c>
      <c r="J367" s="15" t="s">
        <v>234</v>
      </c>
      <c r="K367" s="6">
        <v>0.48055555555555557</v>
      </c>
      <c r="L367" t="s">
        <v>145</v>
      </c>
      <c r="M367">
        <v>150000</v>
      </c>
      <c r="N367" t="s">
        <v>203</v>
      </c>
      <c r="O367" t="s">
        <v>151</v>
      </c>
      <c r="P367">
        <v>64</v>
      </c>
      <c r="Q367" t="s">
        <v>157</v>
      </c>
    </row>
    <row r="368" spans="1:17" x14ac:dyDescent="0.2">
      <c r="A368">
        <v>262192</v>
      </c>
      <c r="B368">
        <v>418</v>
      </c>
      <c r="C368" s="1" t="s">
        <v>106</v>
      </c>
      <c r="D368" s="10">
        <v>45164.95416666667</v>
      </c>
      <c r="E368" t="s">
        <v>191</v>
      </c>
      <c r="F368" t="s">
        <v>23</v>
      </c>
      <c r="G368">
        <v>6532</v>
      </c>
      <c r="H368" s="5" t="s">
        <v>106</v>
      </c>
      <c r="I368" s="15">
        <v>45164</v>
      </c>
      <c r="J368" s="15" t="s">
        <v>234</v>
      </c>
      <c r="K368" s="6">
        <v>0.45416666666666666</v>
      </c>
      <c r="L368" t="s">
        <v>142</v>
      </c>
      <c r="M368">
        <v>150000</v>
      </c>
      <c r="N368" t="s">
        <v>213</v>
      </c>
      <c r="O368" t="s">
        <v>152</v>
      </c>
      <c r="P368">
        <v>22</v>
      </c>
      <c r="Q368" t="s">
        <v>154</v>
      </c>
    </row>
    <row r="369" spans="1:17" x14ac:dyDescent="0.2">
      <c r="A369">
        <v>262661</v>
      </c>
      <c r="B369">
        <v>1604</v>
      </c>
      <c r="C369" s="1" t="s">
        <v>105</v>
      </c>
      <c r="D369" s="10">
        <v>45094.993750000001</v>
      </c>
      <c r="E369" t="s">
        <v>98</v>
      </c>
      <c r="F369" t="s">
        <v>27</v>
      </c>
      <c r="G369">
        <v>2871</v>
      </c>
      <c r="H369" s="5" t="s">
        <v>105</v>
      </c>
      <c r="I369" s="15">
        <v>45094</v>
      </c>
      <c r="J369" s="15" t="s">
        <v>233</v>
      </c>
      <c r="K369" s="6">
        <v>0.49375000000000002</v>
      </c>
      <c r="L369" t="s">
        <v>142</v>
      </c>
      <c r="M369">
        <v>1000000</v>
      </c>
      <c r="N369" t="s">
        <v>209</v>
      </c>
      <c r="O369" t="s">
        <v>152</v>
      </c>
      <c r="P369">
        <v>76</v>
      </c>
      <c r="Q369" t="s">
        <v>157</v>
      </c>
    </row>
    <row r="370" spans="1:17" x14ac:dyDescent="0.2">
      <c r="A370">
        <v>262946</v>
      </c>
      <c r="B370">
        <v>1835</v>
      </c>
      <c r="C370" s="1" t="s">
        <v>102</v>
      </c>
      <c r="D370" s="10">
        <v>45166.975694444445</v>
      </c>
      <c r="E370" t="s">
        <v>191</v>
      </c>
      <c r="F370" t="s">
        <v>31</v>
      </c>
      <c r="G370">
        <v>934</v>
      </c>
      <c r="H370" s="5" t="s">
        <v>102</v>
      </c>
      <c r="I370" s="15">
        <v>45166</v>
      </c>
      <c r="J370" s="15" t="s">
        <v>234</v>
      </c>
      <c r="K370" s="6">
        <v>0.47569444444444442</v>
      </c>
      <c r="L370" t="s">
        <v>143</v>
      </c>
      <c r="M370">
        <v>80000</v>
      </c>
      <c r="N370" t="s">
        <v>204</v>
      </c>
      <c r="O370" t="s">
        <v>151</v>
      </c>
      <c r="P370">
        <v>43</v>
      </c>
      <c r="Q370" t="s">
        <v>157</v>
      </c>
    </row>
    <row r="371" spans="1:17" x14ac:dyDescent="0.2">
      <c r="A371">
        <v>264917</v>
      </c>
      <c r="B371">
        <v>1281</v>
      </c>
      <c r="C371" s="1" t="s">
        <v>105</v>
      </c>
      <c r="D371" s="10">
        <v>45130.010416666664</v>
      </c>
      <c r="E371" t="s">
        <v>98</v>
      </c>
      <c r="F371" t="s">
        <v>78</v>
      </c>
      <c r="G371">
        <v>1214</v>
      </c>
      <c r="H371" s="5" t="s">
        <v>105</v>
      </c>
      <c r="I371" s="15">
        <v>45130</v>
      </c>
      <c r="J371" s="15" t="s">
        <v>234</v>
      </c>
      <c r="K371" s="6">
        <v>0.51041666666666663</v>
      </c>
      <c r="L371" t="s">
        <v>143</v>
      </c>
      <c r="M371">
        <v>200000</v>
      </c>
      <c r="N371" t="s">
        <v>215</v>
      </c>
      <c r="O371" t="s">
        <v>152</v>
      </c>
      <c r="P371">
        <v>61</v>
      </c>
      <c r="Q371" t="s">
        <v>156</v>
      </c>
    </row>
    <row r="372" spans="1:17" x14ac:dyDescent="0.2">
      <c r="A372">
        <v>265772</v>
      </c>
      <c r="B372">
        <v>396</v>
      </c>
      <c r="C372" s="1" t="s">
        <v>105</v>
      </c>
      <c r="D372" s="10">
        <v>45271.036111111112</v>
      </c>
      <c r="E372" t="s">
        <v>97</v>
      </c>
      <c r="F372" t="s">
        <v>77</v>
      </c>
      <c r="G372">
        <v>553</v>
      </c>
      <c r="H372" s="5" t="s">
        <v>105</v>
      </c>
      <c r="I372" s="15">
        <v>45271</v>
      </c>
      <c r="J372" s="15" t="s">
        <v>295</v>
      </c>
      <c r="K372" s="6">
        <v>0.53611111111111109</v>
      </c>
      <c r="L372" t="s">
        <v>146</v>
      </c>
      <c r="M372">
        <v>100000</v>
      </c>
      <c r="N372" t="s">
        <v>222</v>
      </c>
      <c r="O372" t="s">
        <v>152</v>
      </c>
      <c r="P372">
        <v>53</v>
      </c>
      <c r="Q372" t="s">
        <v>154</v>
      </c>
    </row>
    <row r="373" spans="1:17" x14ac:dyDescent="0.2">
      <c r="A373">
        <v>267881</v>
      </c>
      <c r="B373">
        <v>1284</v>
      </c>
      <c r="C373" s="1" t="s">
        <v>105</v>
      </c>
      <c r="D373" s="10">
        <v>45222.011805555558</v>
      </c>
      <c r="E373" t="s">
        <v>191</v>
      </c>
      <c r="F373" t="s">
        <v>64</v>
      </c>
      <c r="G373">
        <v>395</v>
      </c>
      <c r="H373" s="5" t="s">
        <v>105</v>
      </c>
      <c r="I373" s="15">
        <v>45222</v>
      </c>
      <c r="J373" s="15" t="s">
        <v>295</v>
      </c>
      <c r="K373" s="6">
        <v>0.51180555555555551</v>
      </c>
      <c r="L373" t="s">
        <v>143</v>
      </c>
      <c r="M373">
        <v>100000</v>
      </c>
      <c r="N373" t="s">
        <v>223</v>
      </c>
      <c r="O373" t="s">
        <v>151</v>
      </c>
      <c r="P373">
        <v>73</v>
      </c>
      <c r="Q373" t="s">
        <v>156</v>
      </c>
    </row>
    <row r="374" spans="1:17" x14ac:dyDescent="0.2">
      <c r="A374">
        <v>268063</v>
      </c>
      <c r="B374">
        <v>775</v>
      </c>
      <c r="C374" s="1" t="s">
        <v>106</v>
      </c>
      <c r="D374" s="10">
        <v>44956.081944444442</v>
      </c>
      <c r="E374" t="s">
        <v>191</v>
      </c>
      <c r="F374" t="s">
        <v>30</v>
      </c>
      <c r="G374">
        <v>4938</v>
      </c>
      <c r="H374" s="5" t="s">
        <v>106</v>
      </c>
      <c r="I374" s="15">
        <v>44956</v>
      </c>
      <c r="J374" s="15" t="s">
        <v>232</v>
      </c>
      <c r="K374" s="6">
        <v>8.1944444444444445E-2</v>
      </c>
      <c r="L374" t="s">
        <v>144</v>
      </c>
      <c r="M374">
        <v>200000</v>
      </c>
      <c r="N374" t="s">
        <v>216</v>
      </c>
      <c r="O374" t="s">
        <v>151</v>
      </c>
      <c r="P374">
        <v>68</v>
      </c>
      <c r="Q374" t="s">
        <v>155</v>
      </c>
    </row>
    <row r="375" spans="1:17" x14ac:dyDescent="0.2">
      <c r="A375">
        <v>268418</v>
      </c>
      <c r="B375">
        <v>1123</v>
      </c>
      <c r="C375" s="1" t="s">
        <v>100</v>
      </c>
      <c r="D375" s="10">
        <v>45135.980555555558</v>
      </c>
      <c r="E375" t="s">
        <v>97</v>
      </c>
      <c r="F375" t="s">
        <v>53</v>
      </c>
      <c r="G375">
        <v>8306</v>
      </c>
      <c r="H375" s="5" t="s">
        <v>100</v>
      </c>
      <c r="I375" s="15">
        <v>45135</v>
      </c>
      <c r="J375" s="15" t="s">
        <v>234</v>
      </c>
      <c r="K375" s="6">
        <v>0.48055555555555557</v>
      </c>
      <c r="L375" t="s">
        <v>142</v>
      </c>
      <c r="M375">
        <v>100000</v>
      </c>
      <c r="N375" t="s">
        <v>207</v>
      </c>
      <c r="O375" t="s">
        <v>152</v>
      </c>
      <c r="P375">
        <v>54</v>
      </c>
      <c r="Q375" t="s">
        <v>156</v>
      </c>
    </row>
    <row r="376" spans="1:17" x14ac:dyDescent="0.2">
      <c r="A376">
        <v>268811</v>
      </c>
      <c r="B376">
        <v>519</v>
      </c>
      <c r="C376" s="1" t="s">
        <v>100</v>
      </c>
      <c r="D376" s="10">
        <v>44963.064583333333</v>
      </c>
      <c r="E376" t="s">
        <v>96</v>
      </c>
      <c r="F376" t="s">
        <v>85</v>
      </c>
      <c r="G376">
        <v>9147</v>
      </c>
      <c r="H376" s="5" t="s">
        <v>100</v>
      </c>
      <c r="I376" s="15">
        <v>44963</v>
      </c>
      <c r="J376" s="15" t="s">
        <v>232</v>
      </c>
      <c r="K376" s="6">
        <v>6.458333333333334E-2</v>
      </c>
      <c r="L376" t="s">
        <v>146</v>
      </c>
      <c r="M376">
        <v>100000</v>
      </c>
      <c r="N376" t="s">
        <v>212</v>
      </c>
      <c r="O376" t="s">
        <v>151</v>
      </c>
      <c r="P376">
        <v>70</v>
      </c>
      <c r="Q376" t="s">
        <v>155</v>
      </c>
    </row>
    <row r="377" spans="1:17" x14ac:dyDescent="0.2">
      <c r="A377">
        <v>268861</v>
      </c>
      <c r="B377">
        <v>919</v>
      </c>
      <c r="C377" s="1" t="s">
        <v>108</v>
      </c>
      <c r="D377" s="10">
        <v>45116.041666666664</v>
      </c>
      <c r="E377" t="s">
        <v>97</v>
      </c>
      <c r="F377" t="s">
        <v>51</v>
      </c>
      <c r="G377">
        <v>4370</v>
      </c>
      <c r="H377" s="5" t="s">
        <v>108</v>
      </c>
      <c r="I377" s="15">
        <v>45116</v>
      </c>
      <c r="J377" s="15" t="s">
        <v>234</v>
      </c>
      <c r="K377" s="6">
        <v>4.1666666666666664E-2</v>
      </c>
      <c r="L377" t="s">
        <v>145</v>
      </c>
      <c r="M377">
        <v>100000</v>
      </c>
      <c r="N377" t="s">
        <v>217</v>
      </c>
      <c r="O377" t="s">
        <v>151</v>
      </c>
      <c r="P377">
        <v>27</v>
      </c>
      <c r="Q377" t="s">
        <v>155</v>
      </c>
    </row>
    <row r="378" spans="1:17" x14ac:dyDescent="0.2">
      <c r="A378">
        <v>271858</v>
      </c>
      <c r="B378">
        <v>1634</v>
      </c>
      <c r="C378" s="1" t="s">
        <v>105</v>
      </c>
      <c r="D378" s="10">
        <v>45266.001388888886</v>
      </c>
      <c r="E378" t="s">
        <v>97</v>
      </c>
      <c r="F378" t="s">
        <v>68</v>
      </c>
      <c r="G378">
        <v>1755</v>
      </c>
      <c r="H378" s="5" t="s">
        <v>105</v>
      </c>
      <c r="I378" s="15">
        <v>45266</v>
      </c>
      <c r="J378" s="15" t="s">
        <v>295</v>
      </c>
      <c r="K378" s="6">
        <v>0.50138888888888888</v>
      </c>
      <c r="L378" t="s">
        <v>144</v>
      </c>
      <c r="M378">
        <v>100000</v>
      </c>
      <c r="N378" t="s">
        <v>200</v>
      </c>
      <c r="O378" t="s">
        <v>151</v>
      </c>
      <c r="P378">
        <v>34</v>
      </c>
      <c r="Q378" t="s">
        <v>157</v>
      </c>
    </row>
    <row r="379" spans="1:17" x14ac:dyDescent="0.2">
      <c r="A379">
        <v>272165</v>
      </c>
      <c r="B379">
        <v>1133</v>
      </c>
      <c r="C379" s="1" t="s">
        <v>113</v>
      </c>
      <c r="D379" s="10">
        <v>45020.052777777775</v>
      </c>
      <c r="E379" t="s">
        <v>96</v>
      </c>
      <c r="F379" t="s">
        <v>86</v>
      </c>
      <c r="G379">
        <v>6204</v>
      </c>
      <c r="H379" s="5" t="s">
        <v>113</v>
      </c>
      <c r="I379" s="15">
        <v>45020</v>
      </c>
      <c r="J379" s="15" t="s">
        <v>233</v>
      </c>
      <c r="K379" s="6">
        <v>5.2777777777777778E-2</v>
      </c>
      <c r="L379" t="s">
        <v>144</v>
      </c>
      <c r="M379">
        <v>100000</v>
      </c>
      <c r="N379" t="s">
        <v>216</v>
      </c>
      <c r="O379" t="s">
        <v>152</v>
      </c>
      <c r="P379">
        <v>59</v>
      </c>
      <c r="Q379" t="s">
        <v>156</v>
      </c>
    </row>
    <row r="380" spans="1:17" x14ac:dyDescent="0.2">
      <c r="A380">
        <v>272174</v>
      </c>
      <c r="B380">
        <v>105</v>
      </c>
      <c r="C380" s="1" t="s">
        <v>99</v>
      </c>
      <c r="D380" s="10">
        <v>45097.047222222223</v>
      </c>
      <c r="E380" t="s">
        <v>191</v>
      </c>
      <c r="F380" t="s">
        <v>43</v>
      </c>
      <c r="G380">
        <v>5045</v>
      </c>
      <c r="H380" s="5" t="s">
        <v>99</v>
      </c>
      <c r="I380" s="15">
        <v>45097</v>
      </c>
      <c r="J380" s="15" t="s">
        <v>233</v>
      </c>
      <c r="K380" s="6">
        <v>4.7222222222222221E-2</v>
      </c>
      <c r="L380" t="s">
        <v>145</v>
      </c>
      <c r="M380">
        <v>1000000</v>
      </c>
      <c r="N380" t="s">
        <v>203</v>
      </c>
      <c r="O380" t="s">
        <v>151</v>
      </c>
      <c r="P380">
        <v>80</v>
      </c>
      <c r="Q380" t="s">
        <v>154</v>
      </c>
    </row>
    <row r="381" spans="1:17" x14ac:dyDescent="0.2">
      <c r="A381">
        <v>272255</v>
      </c>
      <c r="B381">
        <v>187</v>
      </c>
      <c r="C381" s="1" t="s">
        <v>100</v>
      </c>
      <c r="D381" s="10">
        <v>45061.990972222222</v>
      </c>
      <c r="E381" t="s">
        <v>191</v>
      </c>
      <c r="F381" t="s">
        <v>27</v>
      </c>
      <c r="G381">
        <v>1181</v>
      </c>
      <c r="H381" s="5" t="s">
        <v>100</v>
      </c>
      <c r="I381" s="15">
        <v>45061</v>
      </c>
      <c r="J381" s="15" t="s">
        <v>233</v>
      </c>
      <c r="K381" s="6">
        <v>0.4909722222222222</v>
      </c>
      <c r="L381" t="s">
        <v>142</v>
      </c>
      <c r="M381">
        <v>1000000</v>
      </c>
      <c r="N381" t="s">
        <v>209</v>
      </c>
      <c r="O381" t="s">
        <v>152</v>
      </c>
      <c r="P381">
        <v>68</v>
      </c>
      <c r="Q381" t="s">
        <v>154</v>
      </c>
    </row>
    <row r="382" spans="1:17" x14ac:dyDescent="0.2">
      <c r="A382">
        <v>273538</v>
      </c>
      <c r="B382">
        <v>1944</v>
      </c>
      <c r="C382" s="1" t="s">
        <v>105</v>
      </c>
      <c r="D382" s="10">
        <v>44975.988194444442</v>
      </c>
      <c r="E382" t="s">
        <v>96</v>
      </c>
      <c r="F382" t="s">
        <v>69</v>
      </c>
      <c r="G382">
        <v>5193</v>
      </c>
      <c r="H382" s="5" t="s">
        <v>105</v>
      </c>
      <c r="I382" s="15">
        <v>44975</v>
      </c>
      <c r="J382" s="15" t="s">
        <v>232</v>
      </c>
      <c r="K382" s="6">
        <v>0.48819444444444443</v>
      </c>
      <c r="L382" t="s">
        <v>146</v>
      </c>
      <c r="M382">
        <v>250000</v>
      </c>
      <c r="N382" t="s">
        <v>225</v>
      </c>
      <c r="O382" t="s">
        <v>151</v>
      </c>
      <c r="P382">
        <v>82</v>
      </c>
      <c r="Q382" t="s">
        <v>157</v>
      </c>
    </row>
    <row r="383" spans="1:17" x14ac:dyDescent="0.2">
      <c r="A383">
        <v>273817</v>
      </c>
      <c r="B383">
        <v>530</v>
      </c>
      <c r="C383" s="1" t="s">
        <v>101</v>
      </c>
      <c r="D383" s="10">
        <v>45051.056250000001</v>
      </c>
      <c r="E383" t="s">
        <v>98</v>
      </c>
      <c r="F383" t="s">
        <v>43</v>
      </c>
      <c r="G383">
        <v>4051</v>
      </c>
      <c r="H383" s="5" t="s">
        <v>101</v>
      </c>
      <c r="I383" s="15">
        <v>45051</v>
      </c>
      <c r="J383" s="15" t="s">
        <v>233</v>
      </c>
      <c r="K383" s="6">
        <v>5.6250000000000001E-2</v>
      </c>
      <c r="L383" t="s">
        <v>145</v>
      </c>
      <c r="M383">
        <v>1000000</v>
      </c>
      <c r="N383" t="s">
        <v>203</v>
      </c>
      <c r="O383" t="s">
        <v>152</v>
      </c>
      <c r="P383">
        <v>23</v>
      </c>
      <c r="Q383" t="s">
        <v>155</v>
      </c>
    </row>
    <row r="384" spans="1:17" x14ac:dyDescent="0.2">
      <c r="A384">
        <v>273923</v>
      </c>
      <c r="B384">
        <v>1911</v>
      </c>
      <c r="C384" s="1" t="s">
        <v>101</v>
      </c>
      <c r="D384" s="10">
        <v>44957.040277777778</v>
      </c>
      <c r="E384" t="s">
        <v>98</v>
      </c>
      <c r="F384" t="s">
        <v>22</v>
      </c>
      <c r="G384">
        <v>4736</v>
      </c>
      <c r="H384" s="5" t="s">
        <v>101</v>
      </c>
      <c r="I384" s="15">
        <v>44957</v>
      </c>
      <c r="J384" s="15" t="s">
        <v>232</v>
      </c>
      <c r="K384" s="6">
        <v>0.54027777777777775</v>
      </c>
      <c r="L384" t="s">
        <v>144</v>
      </c>
      <c r="M384">
        <v>100000</v>
      </c>
      <c r="N384" t="s">
        <v>202</v>
      </c>
      <c r="O384" t="s">
        <v>152</v>
      </c>
      <c r="P384">
        <v>78</v>
      </c>
      <c r="Q384" t="s">
        <v>157</v>
      </c>
    </row>
    <row r="385" spans="1:17" x14ac:dyDescent="0.2">
      <c r="A385">
        <v>275855</v>
      </c>
      <c r="B385">
        <v>869</v>
      </c>
      <c r="C385" s="1" t="s">
        <v>104</v>
      </c>
      <c r="D385" s="10">
        <v>45162.993750000001</v>
      </c>
      <c r="E385" t="s">
        <v>97</v>
      </c>
      <c r="F385" t="s">
        <v>4</v>
      </c>
      <c r="G385">
        <v>7700</v>
      </c>
      <c r="H385" s="5" t="s">
        <v>104</v>
      </c>
      <c r="I385" s="15">
        <v>45162</v>
      </c>
      <c r="J385" s="15" t="s">
        <v>234</v>
      </c>
      <c r="K385" s="6">
        <v>0.49375000000000002</v>
      </c>
      <c r="L385" t="s">
        <v>142</v>
      </c>
      <c r="M385">
        <v>200000</v>
      </c>
      <c r="N385" t="s">
        <v>197</v>
      </c>
      <c r="O385" t="s">
        <v>152</v>
      </c>
      <c r="P385">
        <v>56</v>
      </c>
      <c r="Q385" t="s">
        <v>155</v>
      </c>
    </row>
    <row r="386" spans="1:17" x14ac:dyDescent="0.2">
      <c r="A386">
        <v>275961</v>
      </c>
      <c r="B386">
        <v>679</v>
      </c>
      <c r="C386" s="1" t="s">
        <v>106</v>
      </c>
      <c r="D386" s="10">
        <v>45248.998611111114</v>
      </c>
      <c r="E386" t="s">
        <v>98</v>
      </c>
      <c r="F386" t="s">
        <v>19</v>
      </c>
      <c r="G386">
        <v>2936</v>
      </c>
      <c r="H386" s="5" t="s">
        <v>106</v>
      </c>
      <c r="I386" s="15">
        <v>45248</v>
      </c>
      <c r="J386" s="15" t="s">
        <v>295</v>
      </c>
      <c r="K386" s="6">
        <v>0.49861111111111112</v>
      </c>
      <c r="L386" t="s">
        <v>142</v>
      </c>
      <c r="M386">
        <v>150000</v>
      </c>
      <c r="N386" t="s">
        <v>211</v>
      </c>
      <c r="O386" t="s">
        <v>151</v>
      </c>
      <c r="P386">
        <v>34</v>
      </c>
      <c r="Q386" t="s">
        <v>155</v>
      </c>
    </row>
    <row r="387" spans="1:17" x14ac:dyDescent="0.2">
      <c r="A387">
        <v>276276</v>
      </c>
      <c r="B387">
        <v>1442</v>
      </c>
      <c r="C387" s="1" t="s">
        <v>99</v>
      </c>
      <c r="D387" s="10">
        <v>45174.061805555553</v>
      </c>
      <c r="E387" t="s">
        <v>98</v>
      </c>
      <c r="F387" t="s">
        <v>82</v>
      </c>
      <c r="G387">
        <v>5165</v>
      </c>
      <c r="H387" s="5" t="s">
        <v>99</v>
      </c>
      <c r="I387" s="15">
        <v>45174</v>
      </c>
      <c r="J387" s="15" t="s">
        <v>234</v>
      </c>
      <c r="K387" s="6">
        <v>6.1805555555555558E-2</v>
      </c>
      <c r="L387" t="s">
        <v>142</v>
      </c>
      <c r="M387">
        <v>100000</v>
      </c>
      <c r="N387" t="s">
        <v>209</v>
      </c>
      <c r="O387" t="s">
        <v>151</v>
      </c>
      <c r="P387">
        <v>82</v>
      </c>
      <c r="Q387" t="s">
        <v>156</v>
      </c>
    </row>
    <row r="388" spans="1:17" x14ac:dyDescent="0.2">
      <c r="A388">
        <v>276403</v>
      </c>
      <c r="B388">
        <v>1356</v>
      </c>
      <c r="C388" s="8" t="s">
        <v>105</v>
      </c>
      <c r="D388" s="10">
        <v>45183.998611111114</v>
      </c>
      <c r="E388" t="s">
        <v>98</v>
      </c>
      <c r="F388" t="s">
        <v>15</v>
      </c>
      <c r="G388">
        <v>8633</v>
      </c>
      <c r="H388" s="5" t="s">
        <v>105</v>
      </c>
      <c r="I388" s="15">
        <v>45183</v>
      </c>
      <c r="J388" s="15" t="s">
        <v>234</v>
      </c>
      <c r="K388" s="6">
        <v>0.49861111111111112</v>
      </c>
      <c r="L388" t="s">
        <v>143</v>
      </c>
      <c r="M388">
        <v>150000</v>
      </c>
      <c r="N388" t="s">
        <v>198</v>
      </c>
      <c r="O388" t="s">
        <v>151</v>
      </c>
      <c r="P388">
        <v>26</v>
      </c>
      <c r="Q388" t="s">
        <v>156</v>
      </c>
    </row>
    <row r="389" spans="1:17" x14ac:dyDescent="0.2">
      <c r="A389">
        <v>276698</v>
      </c>
      <c r="B389">
        <v>43</v>
      </c>
      <c r="C389" s="1" t="s">
        <v>106</v>
      </c>
      <c r="D389" s="10">
        <v>45057.045138888891</v>
      </c>
      <c r="E389" t="s">
        <v>96</v>
      </c>
      <c r="F389" t="s">
        <v>66</v>
      </c>
      <c r="G389">
        <v>9942</v>
      </c>
      <c r="H389" s="5" t="s">
        <v>106</v>
      </c>
      <c r="I389" s="15">
        <v>45057</v>
      </c>
      <c r="J389" s="15" t="s">
        <v>233</v>
      </c>
      <c r="K389" s="6">
        <v>4.5138888888888888E-2</v>
      </c>
      <c r="L389" t="s">
        <v>144</v>
      </c>
      <c r="M389">
        <v>150000</v>
      </c>
      <c r="N389" t="s">
        <v>224</v>
      </c>
      <c r="O389" t="s">
        <v>152</v>
      </c>
      <c r="P389">
        <v>55</v>
      </c>
      <c r="Q389" t="s">
        <v>154</v>
      </c>
    </row>
    <row r="390" spans="1:17" x14ac:dyDescent="0.2">
      <c r="A390">
        <v>277038</v>
      </c>
      <c r="B390">
        <v>1677</v>
      </c>
      <c r="C390" s="1" t="s">
        <v>107</v>
      </c>
      <c r="D390" s="10">
        <v>45139.938888888886</v>
      </c>
      <c r="E390" t="s">
        <v>98</v>
      </c>
      <c r="F390" t="s">
        <v>78</v>
      </c>
      <c r="G390">
        <v>2455</v>
      </c>
      <c r="H390" s="5" t="s">
        <v>107</v>
      </c>
      <c r="I390" s="15">
        <v>45139</v>
      </c>
      <c r="J390" s="15" t="s">
        <v>234</v>
      </c>
      <c r="K390" s="6">
        <v>0.43888888888888888</v>
      </c>
      <c r="L390" t="s">
        <v>143</v>
      </c>
      <c r="M390">
        <v>200000</v>
      </c>
      <c r="N390" t="s">
        <v>215</v>
      </c>
      <c r="O390" t="s">
        <v>152</v>
      </c>
      <c r="P390">
        <v>51</v>
      </c>
      <c r="Q390" t="s">
        <v>157</v>
      </c>
    </row>
    <row r="391" spans="1:17" x14ac:dyDescent="0.2">
      <c r="A391">
        <v>279106</v>
      </c>
      <c r="B391">
        <v>104</v>
      </c>
      <c r="C391" s="1" t="s">
        <v>101</v>
      </c>
      <c r="D391" s="10">
        <v>44940.037499999999</v>
      </c>
      <c r="E391" t="s">
        <v>98</v>
      </c>
      <c r="F391" t="s">
        <v>27</v>
      </c>
      <c r="G391">
        <v>4768</v>
      </c>
      <c r="H391" s="5" t="s">
        <v>101</v>
      </c>
      <c r="I391" s="15">
        <v>44940</v>
      </c>
      <c r="J391" s="15" t="s">
        <v>232</v>
      </c>
      <c r="K391" s="6">
        <v>0.53749999999999998</v>
      </c>
      <c r="L391" t="s">
        <v>142</v>
      </c>
      <c r="M391">
        <v>1000000</v>
      </c>
      <c r="N391" t="s">
        <v>209</v>
      </c>
      <c r="O391" t="s">
        <v>151</v>
      </c>
      <c r="P391">
        <v>46</v>
      </c>
      <c r="Q391" t="s">
        <v>154</v>
      </c>
    </row>
    <row r="392" spans="1:17" x14ac:dyDescent="0.2">
      <c r="A392">
        <v>279515</v>
      </c>
      <c r="B392">
        <v>713</v>
      </c>
      <c r="C392" s="1" t="s">
        <v>102</v>
      </c>
      <c r="D392" s="10">
        <v>45184.958333333336</v>
      </c>
      <c r="E392" t="s">
        <v>97</v>
      </c>
      <c r="F392" t="s">
        <v>43</v>
      </c>
      <c r="G392">
        <v>4633</v>
      </c>
      <c r="H392" s="5" t="s">
        <v>102</v>
      </c>
      <c r="I392" s="15">
        <v>45184</v>
      </c>
      <c r="J392" s="15" t="s">
        <v>234</v>
      </c>
      <c r="K392" s="6">
        <v>0.45833333333333331</v>
      </c>
      <c r="L392" t="s">
        <v>145</v>
      </c>
      <c r="M392">
        <v>1000000</v>
      </c>
      <c r="N392" t="s">
        <v>203</v>
      </c>
      <c r="O392" t="s">
        <v>151</v>
      </c>
      <c r="P392">
        <v>89</v>
      </c>
      <c r="Q392" t="s">
        <v>155</v>
      </c>
    </row>
    <row r="393" spans="1:17" x14ac:dyDescent="0.2">
      <c r="A393">
        <v>279963</v>
      </c>
      <c r="B393">
        <v>1775</v>
      </c>
      <c r="C393" s="1" t="s">
        <v>99</v>
      </c>
      <c r="D393" s="10">
        <v>45226.00277777778</v>
      </c>
      <c r="E393" t="s">
        <v>97</v>
      </c>
      <c r="F393" t="s">
        <v>43</v>
      </c>
      <c r="G393">
        <v>7812</v>
      </c>
      <c r="H393" s="5" t="s">
        <v>99</v>
      </c>
      <c r="I393" s="15">
        <v>45226</v>
      </c>
      <c r="J393" s="15" t="s">
        <v>295</v>
      </c>
      <c r="K393" s="6">
        <v>0.50277777777777777</v>
      </c>
      <c r="L393" t="s">
        <v>145</v>
      </c>
      <c r="M393">
        <v>1000000</v>
      </c>
      <c r="N393" t="s">
        <v>203</v>
      </c>
      <c r="O393" t="s">
        <v>152</v>
      </c>
      <c r="P393">
        <v>42</v>
      </c>
      <c r="Q393" t="s">
        <v>157</v>
      </c>
    </row>
    <row r="394" spans="1:17" x14ac:dyDescent="0.2">
      <c r="A394">
        <v>280459</v>
      </c>
      <c r="B394">
        <v>457</v>
      </c>
      <c r="C394" s="1" t="s">
        <v>108</v>
      </c>
      <c r="D394" s="10">
        <v>45195.987500000003</v>
      </c>
      <c r="E394" t="s">
        <v>191</v>
      </c>
      <c r="F394" t="s">
        <v>27</v>
      </c>
      <c r="G394">
        <v>3197</v>
      </c>
      <c r="H394" s="5" t="s">
        <v>108</v>
      </c>
      <c r="I394" s="15">
        <v>45195</v>
      </c>
      <c r="J394" s="15" t="s">
        <v>234</v>
      </c>
      <c r="K394" s="6">
        <v>0.48749999999999999</v>
      </c>
      <c r="L394" t="s">
        <v>142</v>
      </c>
      <c r="M394">
        <v>1000000</v>
      </c>
      <c r="N394" t="s">
        <v>209</v>
      </c>
      <c r="O394" t="s">
        <v>152</v>
      </c>
      <c r="P394">
        <v>54</v>
      </c>
      <c r="Q394" t="s">
        <v>154</v>
      </c>
    </row>
    <row r="395" spans="1:17" x14ac:dyDescent="0.2">
      <c r="A395">
        <v>280739</v>
      </c>
      <c r="B395">
        <v>138</v>
      </c>
      <c r="C395" s="1" t="s">
        <v>99</v>
      </c>
      <c r="D395" s="10">
        <v>45113.984027777777</v>
      </c>
      <c r="E395" t="s">
        <v>191</v>
      </c>
      <c r="F395" t="s">
        <v>18</v>
      </c>
      <c r="G395">
        <v>2453</v>
      </c>
      <c r="H395" s="5" t="s">
        <v>99</v>
      </c>
      <c r="I395" s="15">
        <v>45113</v>
      </c>
      <c r="J395" s="15" t="s">
        <v>234</v>
      </c>
      <c r="K395" s="6">
        <v>0.48402777777777778</v>
      </c>
      <c r="L395" t="s">
        <v>145</v>
      </c>
      <c r="M395">
        <v>200000</v>
      </c>
      <c r="N395" t="s">
        <v>210</v>
      </c>
      <c r="O395" t="s">
        <v>152</v>
      </c>
      <c r="P395">
        <v>27</v>
      </c>
      <c r="Q395" t="s">
        <v>154</v>
      </c>
    </row>
    <row r="396" spans="1:17" x14ac:dyDescent="0.2">
      <c r="A396">
        <v>281193</v>
      </c>
      <c r="B396">
        <v>1522</v>
      </c>
      <c r="C396" s="1" t="s">
        <v>99</v>
      </c>
      <c r="D396" s="10">
        <v>45002.009722222225</v>
      </c>
      <c r="E396" t="s">
        <v>98</v>
      </c>
      <c r="F396" t="s">
        <v>70</v>
      </c>
      <c r="G396">
        <v>6173</v>
      </c>
      <c r="H396" s="5" t="s">
        <v>99</v>
      </c>
      <c r="I396" s="15">
        <v>45002</v>
      </c>
      <c r="J396" s="15" t="s">
        <v>232</v>
      </c>
      <c r="K396" s="6">
        <v>0.50972222222222219</v>
      </c>
      <c r="L396" t="s">
        <v>143</v>
      </c>
      <c r="M396">
        <v>100000</v>
      </c>
      <c r="N396" t="s">
        <v>205</v>
      </c>
      <c r="O396" t="s">
        <v>151</v>
      </c>
      <c r="P396">
        <v>81</v>
      </c>
      <c r="Q396" t="s">
        <v>157</v>
      </c>
    </row>
    <row r="397" spans="1:17" x14ac:dyDescent="0.2">
      <c r="A397">
        <v>281454</v>
      </c>
      <c r="B397">
        <v>1413</v>
      </c>
      <c r="C397" s="1" t="s">
        <v>105</v>
      </c>
      <c r="D397" s="10">
        <v>45186.993750000001</v>
      </c>
      <c r="E397" t="s">
        <v>96</v>
      </c>
      <c r="F397" t="s">
        <v>71</v>
      </c>
      <c r="G397">
        <v>5802</v>
      </c>
      <c r="H397" s="5" t="s">
        <v>105</v>
      </c>
      <c r="I397" s="15">
        <v>45186</v>
      </c>
      <c r="J397" s="15" t="s">
        <v>234</v>
      </c>
      <c r="K397" s="6">
        <v>0.49375000000000002</v>
      </c>
      <c r="L397" t="s">
        <v>145</v>
      </c>
      <c r="M397">
        <v>150000</v>
      </c>
      <c r="N397" t="s">
        <v>226</v>
      </c>
      <c r="O397" t="s">
        <v>151</v>
      </c>
      <c r="P397">
        <v>26</v>
      </c>
      <c r="Q397" t="s">
        <v>156</v>
      </c>
    </row>
    <row r="398" spans="1:17" x14ac:dyDescent="0.2">
      <c r="A398">
        <v>281813</v>
      </c>
      <c r="B398">
        <v>331</v>
      </c>
      <c r="C398" s="1" t="s">
        <v>106</v>
      </c>
      <c r="D398" s="10">
        <v>45098.081944444442</v>
      </c>
      <c r="E398" t="s">
        <v>97</v>
      </c>
      <c r="F398" t="s">
        <v>43</v>
      </c>
      <c r="G398">
        <v>5117</v>
      </c>
      <c r="H398" s="5" t="s">
        <v>106</v>
      </c>
      <c r="I398" s="15">
        <v>45098</v>
      </c>
      <c r="J398" s="15" t="s">
        <v>233</v>
      </c>
      <c r="K398" s="6">
        <v>8.1944444444444445E-2</v>
      </c>
      <c r="L398" t="s">
        <v>145</v>
      </c>
      <c r="M398">
        <v>1000000</v>
      </c>
      <c r="N398" t="s">
        <v>203</v>
      </c>
      <c r="O398" t="s">
        <v>151</v>
      </c>
      <c r="P398">
        <v>24</v>
      </c>
      <c r="Q398" t="s">
        <v>154</v>
      </c>
    </row>
    <row r="399" spans="1:17" x14ac:dyDescent="0.2">
      <c r="A399">
        <v>283066</v>
      </c>
      <c r="B399">
        <v>956</v>
      </c>
      <c r="C399" s="1" t="s">
        <v>100</v>
      </c>
      <c r="D399" s="10">
        <v>44963.078472222223</v>
      </c>
      <c r="E399" t="s">
        <v>97</v>
      </c>
      <c r="F399" t="s">
        <v>45</v>
      </c>
      <c r="G399">
        <v>5819</v>
      </c>
      <c r="H399" s="5" t="s">
        <v>100</v>
      </c>
      <c r="I399" s="15">
        <v>44963</v>
      </c>
      <c r="J399" s="15" t="s">
        <v>232</v>
      </c>
      <c r="K399" s="6">
        <v>7.8472222222222221E-2</v>
      </c>
      <c r="L399" t="s">
        <v>142</v>
      </c>
      <c r="M399">
        <v>100000</v>
      </c>
      <c r="N399" t="s">
        <v>197</v>
      </c>
      <c r="O399" t="s">
        <v>151</v>
      </c>
      <c r="P399">
        <v>27</v>
      </c>
      <c r="Q399" t="s">
        <v>155</v>
      </c>
    </row>
    <row r="400" spans="1:17" x14ac:dyDescent="0.2">
      <c r="A400">
        <v>283068</v>
      </c>
      <c r="B400">
        <v>1967</v>
      </c>
      <c r="C400" s="1" t="s">
        <v>105</v>
      </c>
      <c r="D400" s="10">
        <v>45259.008333333331</v>
      </c>
      <c r="E400" t="s">
        <v>96</v>
      </c>
      <c r="F400" t="s">
        <v>58</v>
      </c>
      <c r="G400">
        <v>3805</v>
      </c>
      <c r="H400" s="5" t="s">
        <v>105</v>
      </c>
      <c r="I400" s="15">
        <v>45259</v>
      </c>
      <c r="J400" s="15" t="s">
        <v>295</v>
      </c>
      <c r="K400" s="6">
        <v>0.5083333333333333</v>
      </c>
      <c r="L400" t="s">
        <v>143</v>
      </c>
      <c r="M400">
        <v>80000</v>
      </c>
      <c r="N400" t="s">
        <v>214</v>
      </c>
      <c r="O400" t="s">
        <v>151</v>
      </c>
      <c r="P400">
        <v>89</v>
      </c>
      <c r="Q400" t="s">
        <v>157</v>
      </c>
    </row>
    <row r="401" spans="1:17" x14ac:dyDescent="0.2">
      <c r="A401">
        <v>283610</v>
      </c>
      <c r="B401">
        <v>1401</v>
      </c>
      <c r="C401" s="1" t="s">
        <v>102</v>
      </c>
      <c r="D401" s="10">
        <v>44956.994444444441</v>
      </c>
      <c r="E401" t="s">
        <v>191</v>
      </c>
      <c r="F401" t="s">
        <v>67</v>
      </c>
      <c r="G401">
        <v>3862</v>
      </c>
      <c r="H401" s="5" t="s">
        <v>102</v>
      </c>
      <c r="I401" s="15">
        <v>44956</v>
      </c>
      <c r="J401" s="15" t="s">
        <v>232</v>
      </c>
      <c r="K401" s="6">
        <v>0.49444444444444446</v>
      </c>
      <c r="L401" t="s">
        <v>142</v>
      </c>
      <c r="M401">
        <v>100000</v>
      </c>
      <c r="N401" t="s">
        <v>213</v>
      </c>
      <c r="O401" t="s">
        <v>151</v>
      </c>
      <c r="P401">
        <v>53</v>
      </c>
      <c r="Q401" t="s">
        <v>156</v>
      </c>
    </row>
    <row r="402" spans="1:17" x14ac:dyDescent="0.2">
      <c r="A402">
        <v>284363</v>
      </c>
      <c r="B402">
        <v>100</v>
      </c>
      <c r="C402" s="1" t="s">
        <v>111</v>
      </c>
      <c r="D402" s="10">
        <v>45006.977777777778</v>
      </c>
      <c r="E402" t="s">
        <v>98</v>
      </c>
      <c r="F402" t="s">
        <v>11</v>
      </c>
      <c r="G402">
        <v>3844</v>
      </c>
      <c r="H402" s="5" t="s">
        <v>111</v>
      </c>
      <c r="I402" s="15">
        <v>45006</v>
      </c>
      <c r="J402" s="15" t="s">
        <v>232</v>
      </c>
      <c r="K402" s="6">
        <v>0.4777777777777778</v>
      </c>
      <c r="L402" t="s">
        <v>143</v>
      </c>
      <c r="M402">
        <v>150000</v>
      </c>
      <c r="N402" t="s">
        <v>204</v>
      </c>
      <c r="O402" t="s">
        <v>151</v>
      </c>
      <c r="P402">
        <v>85</v>
      </c>
      <c r="Q402" t="s">
        <v>154</v>
      </c>
    </row>
    <row r="403" spans="1:17" x14ac:dyDescent="0.2">
      <c r="A403">
        <v>284974</v>
      </c>
      <c r="B403">
        <v>1218</v>
      </c>
      <c r="C403" s="1" t="s">
        <v>99</v>
      </c>
      <c r="D403" s="10">
        <v>45180.066666666666</v>
      </c>
      <c r="E403" t="s">
        <v>98</v>
      </c>
      <c r="F403" t="s">
        <v>44</v>
      </c>
      <c r="G403">
        <v>5755</v>
      </c>
      <c r="H403" s="5" t="s">
        <v>99</v>
      </c>
      <c r="I403" s="15">
        <v>45180</v>
      </c>
      <c r="J403" s="15" t="s">
        <v>234</v>
      </c>
      <c r="K403" s="6">
        <v>6.6666666666666666E-2</v>
      </c>
      <c r="L403" t="s">
        <v>144</v>
      </c>
      <c r="M403">
        <v>150000</v>
      </c>
      <c r="N403" t="s">
        <v>199</v>
      </c>
      <c r="O403" t="s">
        <v>151</v>
      </c>
      <c r="P403">
        <v>68</v>
      </c>
      <c r="Q403" t="s">
        <v>156</v>
      </c>
    </row>
    <row r="404" spans="1:17" x14ac:dyDescent="0.2">
      <c r="A404">
        <v>286598</v>
      </c>
      <c r="B404">
        <v>1903</v>
      </c>
      <c r="C404" s="1" t="s">
        <v>101</v>
      </c>
      <c r="D404" s="10">
        <v>44997.037499999999</v>
      </c>
      <c r="E404" t="s">
        <v>191</v>
      </c>
      <c r="F404" t="s">
        <v>27</v>
      </c>
      <c r="G404">
        <v>8252</v>
      </c>
      <c r="H404" s="5" t="s">
        <v>101</v>
      </c>
      <c r="I404" s="15">
        <v>44997</v>
      </c>
      <c r="J404" s="15" t="s">
        <v>232</v>
      </c>
      <c r="K404" s="6">
        <v>0.53749999999999998</v>
      </c>
      <c r="L404" t="s">
        <v>142</v>
      </c>
      <c r="M404">
        <v>1000000</v>
      </c>
      <c r="N404" t="s">
        <v>209</v>
      </c>
      <c r="O404" t="s">
        <v>151</v>
      </c>
      <c r="P404">
        <v>71</v>
      </c>
      <c r="Q404" t="s">
        <v>157</v>
      </c>
    </row>
    <row r="405" spans="1:17" x14ac:dyDescent="0.2">
      <c r="A405">
        <v>287761</v>
      </c>
      <c r="B405">
        <v>91</v>
      </c>
      <c r="C405" s="1" t="s">
        <v>105</v>
      </c>
      <c r="D405" s="10">
        <v>45053.054861111108</v>
      </c>
      <c r="E405" t="s">
        <v>97</v>
      </c>
      <c r="F405" t="s">
        <v>27</v>
      </c>
      <c r="G405">
        <v>3891</v>
      </c>
      <c r="H405" s="5" t="s">
        <v>105</v>
      </c>
      <c r="I405" s="15">
        <v>45053</v>
      </c>
      <c r="J405" s="15" t="s">
        <v>233</v>
      </c>
      <c r="K405" s="6">
        <v>5.486111111111111E-2</v>
      </c>
      <c r="L405" t="s">
        <v>142</v>
      </c>
      <c r="M405">
        <v>1000000</v>
      </c>
      <c r="N405" t="s">
        <v>209</v>
      </c>
      <c r="O405" t="s">
        <v>151</v>
      </c>
      <c r="P405">
        <v>61</v>
      </c>
      <c r="Q405" t="s">
        <v>154</v>
      </c>
    </row>
    <row r="406" spans="1:17" x14ac:dyDescent="0.2">
      <c r="A406">
        <v>288186</v>
      </c>
      <c r="B406">
        <v>415</v>
      </c>
      <c r="C406" s="1" t="s">
        <v>113</v>
      </c>
      <c r="D406" s="10">
        <v>45076.997916666667</v>
      </c>
      <c r="E406" t="s">
        <v>191</v>
      </c>
      <c r="F406" t="s">
        <v>73</v>
      </c>
      <c r="G406">
        <v>4166</v>
      </c>
      <c r="H406" s="5" t="s">
        <v>113</v>
      </c>
      <c r="I406" s="15">
        <v>45076</v>
      </c>
      <c r="J406" s="15" t="s">
        <v>233</v>
      </c>
      <c r="K406" s="6">
        <v>0.49791666666666667</v>
      </c>
      <c r="L406" t="s">
        <v>146</v>
      </c>
      <c r="M406">
        <v>150000</v>
      </c>
      <c r="N406" t="s">
        <v>222</v>
      </c>
      <c r="O406" t="s">
        <v>151</v>
      </c>
      <c r="P406">
        <v>60</v>
      </c>
      <c r="Q406" t="s">
        <v>154</v>
      </c>
    </row>
    <row r="407" spans="1:17" x14ac:dyDescent="0.2">
      <c r="A407">
        <v>288332</v>
      </c>
      <c r="B407">
        <v>1069</v>
      </c>
      <c r="C407" s="1" t="s">
        <v>101</v>
      </c>
      <c r="D407" s="10">
        <v>44942.015972222223</v>
      </c>
      <c r="E407" t="s">
        <v>98</v>
      </c>
      <c r="F407" t="s">
        <v>64</v>
      </c>
      <c r="G407">
        <v>610</v>
      </c>
      <c r="H407" s="5" t="s">
        <v>101</v>
      </c>
      <c r="I407" s="15">
        <v>44942</v>
      </c>
      <c r="J407" s="15" t="s">
        <v>232</v>
      </c>
      <c r="K407" s="6">
        <v>0.51597222222222228</v>
      </c>
      <c r="L407" t="s">
        <v>143</v>
      </c>
      <c r="M407">
        <v>100000</v>
      </c>
      <c r="N407" t="s">
        <v>223</v>
      </c>
      <c r="O407" t="s">
        <v>151</v>
      </c>
      <c r="P407">
        <v>80</v>
      </c>
      <c r="Q407" t="s">
        <v>156</v>
      </c>
    </row>
    <row r="408" spans="1:17" x14ac:dyDescent="0.2">
      <c r="A408">
        <v>288335</v>
      </c>
      <c r="B408">
        <v>1703</v>
      </c>
      <c r="C408" s="1" t="s">
        <v>100</v>
      </c>
      <c r="D408" s="10">
        <v>45122.031944444447</v>
      </c>
      <c r="E408" t="s">
        <v>96</v>
      </c>
      <c r="F408" t="s">
        <v>26</v>
      </c>
      <c r="G408">
        <v>362</v>
      </c>
      <c r="H408" s="5" t="s">
        <v>100</v>
      </c>
      <c r="I408" s="15">
        <v>45122</v>
      </c>
      <c r="J408" s="15" t="s">
        <v>234</v>
      </c>
      <c r="K408" s="6">
        <v>0.53194444444444444</v>
      </c>
      <c r="L408" t="s">
        <v>145</v>
      </c>
      <c r="M408">
        <v>100000</v>
      </c>
      <c r="N408" t="s">
        <v>210</v>
      </c>
      <c r="O408" t="s">
        <v>152</v>
      </c>
      <c r="P408">
        <v>85</v>
      </c>
      <c r="Q408" t="s">
        <v>157</v>
      </c>
    </row>
    <row r="409" spans="1:17" x14ac:dyDescent="0.2">
      <c r="A409">
        <v>289882</v>
      </c>
      <c r="B409">
        <v>1177</v>
      </c>
      <c r="C409" s="1" t="s">
        <v>108</v>
      </c>
      <c r="D409" s="10">
        <v>45234.044444444444</v>
      </c>
      <c r="E409" t="s">
        <v>191</v>
      </c>
      <c r="F409" t="s">
        <v>74</v>
      </c>
      <c r="G409">
        <v>4569</v>
      </c>
      <c r="H409" s="5" t="s">
        <v>108</v>
      </c>
      <c r="I409" s="15">
        <v>45234</v>
      </c>
      <c r="J409" s="15" t="s">
        <v>295</v>
      </c>
      <c r="K409" s="6">
        <v>4.4444444444444446E-2</v>
      </c>
      <c r="L409" t="s">
        <v>145</v>
      </c>
      <c r="M409">
        <v>150000</v>
      </c>
      <c r="N409" t="s">
        <v>226</v>
      </c>
      <c r="O409" t="s">
        <v>152</v>
      </c>
      <c r="P409">
        <v>90</v>
      </c>
      <c r="Q409" t="s">
        <v>156</v>
      </c>
    </row>
    <row r="410" spans="1:17" x14ac:dyDescent="0.2">
      <c r="A410">
        <v>289906</v>
      </c>
      <c r="B410">
        <v>1349</v>
      </c>
      <c r="C410" s="1" t="s">
        <v>101</v>
      </c>
      <c r="D410" s="10">
        <v>45031.995833333334</v>
      </c>
      <c r="E410" t="s">
        <v>96</v>
      </c>
      <c r="F410" t="s">
        <v>30</v>
      </c>
      <c r="G410">
        <v>2771</v>
      </c>
      <c r="H410" s="5" t="s">
        <v>101</v>
      </c>
      <c r="I410" s="15">
        <v>45031</v>
      </c>
      <c r="J410" s="15" t="s">
        <v>233</v>
      </c>
      <c r="K410" s="6">
        <v>0.49583333333333335</v>
      </c>
      <c r="L410" t="s">
        <v>144</v>
      </c>
      <c r="M410">
        <v>200000</v>
      </c>
      <c r="N410" t="s">
        <v>216</v>
      </c>
      <c r="O410" t="s">
        <v>151</v>
      </c>
      <c r="P410">
        <v>66</v>
      </c>
      <c r="Q410" t="s">
        <v>156</v>
      </c>
    </row>
    <row r="411" spans="1:17" x14ac:dyDescent="0.2">
      <c r="A411">
        <v>290270</v>
      </c>
      <c r="B411">
        <v>1955</v>
      </c>
      <c r="C411" s="1" t="s">
        <v>105</v>
      </c>
      <c r="D411" s="10">
        <v>44960.07916666667</v>
      </c>
      <c r="E411" t="s">
        <v>97</v>
      </c>
      <c r="F411" t="s">
        <v>73</v>
      </c>
      <c r="G411">
        <v>2355</v>
      </c>
      <c r="H411" s="5" t="s">
        <v>105</v>
      </c>
      <c r="I411" s="15">
        <v>44960</v>
      </c>
      <c r="J411" s="15" t="s">
        <v>232</v>
      </c>
      <c r="K411" s="6">
        <v>7.9166666666666663E-2</v>
      </c>
      <c r="L411" t="s">
        <v>146</v>
      </c>
      <c r="M411">
        <v>150000</v>
      </c>
      <c r="N411" t="s">
        <v>222</v>
      </c>
      <c r="O411" t="s">
        <v>152</v>
      </c>
      <c r="P411">
        <v>68</v>
      </c>
      <c r="Q411" t="s">
        <v>157</v>
      </c>
    </row>
    <row r="412" spans="1:17" x14ac:dyDescent="0.2">
      <c r="A412">
        <v>292907</v>
      </c>
      <c r="B412">
        <v>1829</v>
      </c>
      <c r="C412" s="1" t="s">
        <v>101</v>
      </c>
      <c r="D412" s="10">
        <v>45038.003472222219</v>
      </c>
      <c r="E412" t="s">
        <v>98</v>
      </c>
      <c r="F412" t="s">
        <v>76</v>
      </c>
      <c r="G412">
        <v>4040</v>
      </c>
      <c r="H412" s="5" t="s">
        <v>101</v>
      </c>
      <c r="I412" s="15">
        <v>45038</v>
      </c>
      <c r="J412" s="15" t="s">
        <v>233</v>
      </c>
      <c r="K412" s="6">
        <v>0.50347222222222221</v>
      </c>
      <c r="L412" t="s">
        <v>142</v>
      </c>
      <c r="M412">
        <v>80000</v>
      </c>
      <c r="N412" t="s">
        <v>201</v>
      </c>
      <c r="O412" t="s">
        <v>151</v>
      </c>
      <c r="P412">
        <v>82</v>
      </c>
      <c r="Q412" t="s">
        <v>157</v>
      </c>
    </row>
    <row r="413" spans="1:17" x14ac:dyDescent="0.2">
      <c r="A413">
        <v>294015</v>
      </c>
      <c r="B413">
        <v>669</v>
      </c>
      <c r="C413" s="1" t="s">
        <v>99</v>
      </c>
      <c r="D413" s="10">
        <v>45172.977083333331</v>
      </c>
      <c r="E413" t="s">
        <v>97</v>
      </c>
      <c r="F413" t="s">
        <v>72</v>
      </c>
      <c r="G413">
        <v>9046</v>
      </c>
      <c r="H413" s="5" t="s">
        <v>99</v>
      </c>
      <c r="I413" s="15">
        <v>45172</v>
      </c>
      <c r="J413" s="15" t="s">
        <v>234</v>
      </c>
      <c r="K413" s="6">
        <v>0.47708333333333336</v>
      </c>
      <c r="L413" t="s">
        <v>143</v>
      </c>
      <c r="M413">
        <v>150000</v>
      </c>
      <c r="N413" t="s">
        <v>223</v>
      </c>
      <c r="O413" t="s">
        <v>151</v>
      </c>
      <c r="P413">
        <v>33</v>
      </c>
      <c r="Q413" t="s">
        <v>155</v>
      </c>
    </row>
    <row r="414" spans="1:17" x14ac:dyDescent="0.2">
      <c r="A414">
        <v>295823</v>
      </c>
      <c r="B414">
        <v>1085</v>
      </c>
      <c r="C414" s="1" t="s">
        <v>105</v>
      </c>
      <c r="D414" s="10">
        <v>44944.007638888892</v>
      </c>
      <c r="E414" t="s">
        <v>96</v>
      </c>
      <c r="F414" t="s">
        <v>25</v>
      </c>
      <c r="G414">
        <v>2562</v>
      </c>
      <c r="H414" s="5" t="s">
        <v>105</v>
      </c>
      <c r="I414" s="15">
        <v>44944</v>
      </c>
      <c r="J414" s="15" t="s">
        <v>232</v>
      </c>
      <c r="K414" s="6">
        <v>0.50763888888888886</v>
      </c>
      <c r="L414" t="s">
        <v>142</v>
      </c>
      <c r="M414">
        <v>100000</v>
      </c>
      <c r="N414" t="s">
        <v>201</v>
      </c>
      <c r="O414" t="s">
        <v>151</v>
      </c>
      <c r="P414">
        <v>78</v>
      </c>
      <c r="Q414" t="s">
        <v>156</v>
      </c>
    </row>
    <row r="415" spans="1:17" x14ac:dyDescent="0.2">
      <c r="A415">
        <v>296042</v>
      </c>
      <c r="B415">
        <v>722</v>
      </c>
      <c r="C415" s="1" t="s">
        <v>99</v>
      </c>
      <c r="D415" s="10">
        <v>45167.033333333333</v>
      </c>
      <c r="E415" t="s">
        <v>191</v>
      </c>
      <c r="F415" t="s">
        <v>4</v>
      </c>
      <c r="G415">
        <v>3962</v>
      </c>
      <c r="H415" s="5" t="s">
        <v>99</v>
      </c>
      <c r="I415" s="15">
        <v>45167</v>
      </c>
      <c r="J415" s="15" t="s">
        <v>234</v>
      </c>
      <c r="K415" s="6">
        <v>0.53333333333333333</v>
      </c>
      <c r="L415" t="s">
        <v>142</v>
      </c>
      <c r="M415">
        <v>200000</v>
      </c>
      <c r="N415" t="s">
        <v>197</v>
      </c>
      <c r="O415" t="s">
        <v>152</v>
      </c>
      <c r="P415">
        <v>27</v>
      </c>
      <c r="Q415" t="s">
        <v>155</v>
      </c>
    </row>
    <row r="416" spans="1:17" x14ac:dyDescent="0.2">
      <c r="A416">
        <v>296324</v>
      </c>
      <c r="B416">
        <v>167</v>
      </c>
      <c r="C416" s="1" t="s">
        <v>101</v>
      </c>
      <c r="D416" s="10">
        <v>45059.964583333334</v>
      </c>
      <c r="E416" t="s">
        <v>191</v>
      </c>
      <c r="F416" t="s">
        <v>23</v>
      </c>
      <c r="G416">
        <v>5732</v>
      </c>
      <c r="H416" s="5" t="s">
        <v>101</v>
      </c>
      <c r="I416" s="15">
        <v>45059</v>
      </c>
      <c r="J416" s="15" t="s">
        <v>233</v>
      </c>
      <c r="K416" s="6">
        <v>0.46458333333333335</v>
      </c>
      <c r="L416" t="s">
        <v>142</v>
      </c>
      <c r="M416">
        <v>150000</v>
      </c>
      <c r="N416" t="s">
        <v>213</v>
      </c>
      <c r="O416" t="s">
        <v>152</v>
      </c>
      <c r="P416">
        <v>27</v>
      </c>
      <c r="Q416" t="s">
        <v>154</v>
      </c>
    </row>
    <row r="417" spans="1:17" x14ac:dyDescent="0.2">
      <c r="A417">
        <v>298715</v>
      </c>
      <c r="B417">
        <v>1706</v>
      </c>
      <c r="C417" s="1" t="s">
        <v>99</v>
      </c>
      <c r="D417" s="10">
        <v>45017.994444444441</v>
      </c>
      <c r="E417" t="s">
        <v>192</v>
      </c>
      <c r="F417" t="s">
        <v>77</v>
      </c>
      <c r="G417">
        <v>5256</v>
      </c>
      <c r="H417" s="5" t="s">
        <v>99</v>
      </c>
      <c r="I417" s="15">
        <v>45017</v>
      </c>
      <c r="J417" s="15" t="s">
        <v>233</v>
      </c>
      <c r="K417" s="6">
        <v>0.49444444444444446</v>
      </c>
      <c r="L417" t="s">
        <v>146</v>
      </c>
      <c r="M417">
        <v>100000</v>
      </c>
      <c r="N417" t="s">
        <v>222</v>
      </c>
      <c r="O417" t="s">
        <v>152</v>
      </c>
      <c r="P417">
        <v>47</v>
      </c>
      <c r="Q417" t="s">
        <v>157</v>
      </c>
    </row>
    <row r="418" spans="1:17" x14ac:dyDescent="0.2">
      <c r="A418">
        <v>299065</v>
      </c>
      <c r="B418">
        <v>177</v>
      </c>
      <c r="C418" s="1" t="s">
        <v>113</v>
      </c>
      <c r="D418" s="10">
        <v>45027.949305555558</v>
      </c>
      <c r="E418" t="s">
        <v>96</v>
      </c>
      <c r="F418" t="s">
        <v>20</v>
      </c>
      <c r="G418">
        <v>7292</v>
      </c>
      <c r="H418" s="5" t="s">
        <v>113</v>
      </c>
      <c r="I418" s="15">
        <v>45027</v>
      </c>
      <c r="J418" s="15" t="s">
        <v>233</v>
      </c>
      <c r="K418" s="6">
        <v>0.44930555555555557</v>
      </c>
      <c r="L418" t="s">
        <v>146</v>
      </c>
      <c r="M418">
        <v>150000</v>
      </c>
      <c r="N418" t="s">
        <v>212</v>
      </c>
      <c r="O418" t="s">
        <v>151</v>
      </c>
      <c r="P418">
        <v>75</v>
      </c>
      <c r="Q418" t="s">
        <v>154</v>
      </c>
    </row>
    <row r="419" spans="1:17" x14ac:dyDescent="0.2">
      <c r="A419">
        <v>299700</v>
      </c>
      <c r="B419">
        <v>533</v>
      </c>
      <c r="C419" s="1" t="s">
        <v>99</v>
      </c>
      <c r="D419" s="10">
        <v>45208.063888888886</v>
      </c>
      <c r="E419" t="s">
        <v>191</v>
      </c>
      <c r="F419" t="s">
        <v>41</v>
      </c>
      <c r="G419">
        <v>7166</v>
      </c>
      <c r="H419" s="5" t="s">
        <v>99</v>
      </c>
      <c r="I419" s="15">
        <v>45208</v>
      </c>
      <c r="J419" s="15" t="s">
        <v>295</v>
      </c>
      <c r="K419" s="6">
        <v>6.3888888888888884E-2</v>
      </c>
      <c r="L419" t="s">
        <v>145</v>
      </c>
      <c r="M419">
        <v>150000</v>
      </c>
      <c r="N419" t="s">
        <v>203</v>
      </c>
      <c r="O419" t="s">
        <v>152</v>
      </c>
      <c r="P419">
        <v>55</v>
      </c>
      <c r="Q419" t="s">
        <v>155</v>
      </c>
    </row>
    <row r="420" spans="1:17" x14ac:dyDescent="0.2">
      <c r="A420">
        <v>300907</v>
      </c>
      <c r="B420">
        <v>383</v>
      </c>
      <c r="C420" s="1" t="s">
        <v>100</v>
      </c>
      <c r="D420" s="10">
        <v>45242.958333333336</v>
      </c>
      <c r="E420" t="s">
        <v>191</v>
      </c>
      <c r="F420" t="s">
        <v>87</v>
      </c>
      <c r="G420">
        <v>346</v>
      </c>
      <c r="H420" s="5" t="s">
        <v>100</v>
      </c>
      <c r="I420" s="15">
        <v>45242</v>
      </c>
      <c r="J420" s="15" t="s">
        <v>295</v>
      </c>
      <c r="K420" s="6">
        <v>0.45833333333333331</v>
      </c>
      <c r="L420" t="s">
        <v>144</v>
      </c>
      <c r="M420">
        <v>100000</v>
      </c>
      <c r="N420" t="s">
        <v>216</v>
      </c>
      <c r="O420" t="s">
        <v>152</v>
      </c>
      <c r="P420">
        <v>57</v>
      </c>
      <c r="Q420" t="s">
        <v>154</v>
      </c>
    </row>
    <row r="421" spans="1:17" x14ac:dyDescent="0.2">
      <c r="A421">
        <v>302110</v>
      </c>
      <c r="B421">
        <v>1357</v>
      </c>
      <c r="C421" s="1" t="s">
        <v>111</v>
      </c>
      <c r="D421" s="10">
        <v>45214.05972222222</v>
      </c>
      <c r="E421" t="s">
        <v>97</v>
      </c>
      <c r="F421" t="s">
        <v>23</v>
      </c>
      <c r="G421">
        <v>4576</v>
      </c>
      <c r="H421" s="5" t="s">
        <v>111</v>
      </c>
      <c r="I421" s="15">
        <v>45214</v>
      </c>
      <c r="J421" s="15" t="s">
        <v>295</v>
      </c>
      <c r="K421" s="6">
        <v>5.9722222222222225E-2</v>
      </c>
      <c r="L421" t="s">
        <v>142</v>
      </c>
      <c r="M421">
        <v>150000</v>
      </c>
      <c r="N421" t="s">
        <v>213</v>
      </c>
      <c r="O421" t="s">
        <v>151</v>
      </c>
      <c r="P421">
        <v>43</v>
      </c>
      <c r="Q421" t="s">
        <v>156</v>
      </c>
    </row>
    <row r="422" spans="1:17" x14ac:dyDescent="0.2">
      <c r="A422">
        <v>303207</v>
      </c>
      <c r="B422">
        <v>1052</v>
      </c>
      <c r="C422" s="1" t="s">
        <v>109</v>
      </c>
      <c r="D422" s="10">
        <v>45249.995833333334</v>
      </c>
      <c r="E422" t="s">
        <v>97</v>
      </c>
      <c r="F422" t="s">
        <v>21</v>
      </c>
      <c r="G422">
        <v>1054</v>
      </c>
      <c r="H422" s="5" t="s">
        <v>109</v>
      </c>
      <c r="I422" s="15">
        <v>45249</v>
      </c>
      <c r="J422" s="15" t="s">
        <v>295</v>
      </c>
      <c r="K422" s="6">
        <v>0.49583333333333335</v>
      </c>
      <c r="L422" t="s">
        <v>142</v>
      </c>
      <c r="M422">
        <v>150000</v>
      </c>
      <c r="N422" t="s">
        <v>211</v>
      </c>
      <c r="O422" t="s">
        <v>151</v>
      </c>
      <c r="P422">
        <v>66</v>
      </c>
      <c r="Q422" t="s">
        <v>156</v>
      </c>
    </row>
    <row r="423" spans="1:17" x14ac:dyDescent="0.2">
      <c r="A423">
        <v>303923</v>
      </c>
      <c r="B423">
        <v>691</v>
      </c>
      <c r="C423" s="1" t="s">
        <v>103</v>
      </c>
      <c r="D423" s="10">
        <v>45076.959722222222</v>
      </c>
      <c r="E423" t="s">
        <v>98</v>
      </c>
      <c r="F423" t="s">
        <v>43</v>
      </c>
      <c r="G423">
        <v>5642</v>
      </c>
      <c r="H423" s="5" t="s">
        <v>103</v>
      </c>
      <c r="I423" s="15">
        <v>45076</v>
      </c>
      <c r="J423" s="15" t="s">
        <v>233</v>
      </c>
      <c r="K423" s="6">
        <v>0.4597222222222222</v>
      </c>
      <c r="L423" t="s">
        <v>145</v>
      </c>
      <c r="M423">
        <v>1000000</v>
      </c>
      <c r="N423" t="s">
        <v>203</v>
      </c>
      <c r="O423" t="s">
        <v>152</v>
      </c>
      <c r="P423">
        <v>33</v>
      </c>
      <c r="Q423" t="s">
        <v>155</v>
      </c>
    </row>
    <row r="424" spans="1:17" x14ac:dyDescent="0.2">
      <c r="A424">
        <v>304668</v>
      </c>
      <c r="B424">
        <v>835</v>
      </c>
      <c r="C424" s="1" t="s">
        <v>101</v>
      </c>
      <c r="D424" s="10">
        <v>44969.030555555553</v>
      </c>
      <c r="E424" t="s">
        <v>97</v>
      </c>
      <c r="F424" t="s">
        <v>29</v>
      </c>
      <c r="G424">
        <v>3450</v>
      </c>
      <c r="H424" s="5" t="s">
        <v>101</v>
      </c>
      <c r="I424" s="15">
        <v>44969</v>
      </c>
      <c r="J424" s="15" t="s">
        <v>232</v>
      </c>
      <c r="K424" s="6">
        <v>0.53055555555555556</v>
      </c>
      <c r="L424" t="s">
        <v>143</v>
      </c>
      <c r="M424">
        <v>150000</v>
      </c>
      <c r="N424" t="s">
        <v>214</v>
      </c>
      <c r="O424" t="s">
        <v>152</v>
      </c>
      <c r="P424">
        <v>50</v>
      </c>
      <c r="Q424" t="s">
        <v>155</v>
      </c>
    </row>
    <row r="425" spans="1:17" x14ac:dyDescent="0.2">
      <c r="A425">
        <v>305175</v>
      </c>
      <c r="B425">
        <v>766</v>
      </c>
      <c r="C425" s="1" t="s">
        <v>99</v>
      </c>
      <c r="D425" s="10">
        <v>45144.011805555558</v>
      </c>
      <c r="E425" t="s">
        <v>191</v>
      </c>
      <c r="F425" t="s">
        <v>9</v>
      </c>
      <c r="G425">
        <v>1876</v>
      </c>
      <c r="H425" s="5" t="s">
        <v>99</v>
      </c>
      <c r="I425" s="15">
        <v>45144</v>
      </c>
      <c r="J425" s="15" t="s">
        <v>234</v>
      </c>
      <c r="K425" s="6">
        <v>0.51180555555555551</v>
      </c>
      <c r="L425" t="s">
        <v>144</v>
      </c>
      <c r="M425">
        <v>150000</v>
      </c>
      <c r="N425" t="s">
        <v>202</v>
      </c>
      <c r="O425" t="s">
        <v>152</v>
      </c>
      <c r="P425">
        <v>89</v>
      </c>
      <c r="Q425" t="s">
        <v>155</v>
      </c>
    </row>
    <row r="426" spans="1:17" x14ac:dyDescent="0.2">
      <c r="A426">
        <v>305282</v>
      </c>
      <c r="B426">
        <v>1594</v>
      </c>
      <c r="C426" s="1" t="s">
        <v>101</v>
      </c>
      <c r="D426" s="10">
        <v>44996.013888888891</v>
      </c>
      <c r="E426" t="s">
        <v>97</v>
      </c>
      <c r="F426" t="s">
        <v>30</v>
      </c>
      <c r="G426">
        <v>2529</v>
      </c>
      <c r="H426" s="5" t="s">
        <v>101</v>
      </c>
      <c r="I426" s="15">
        <v>44996</v>
      </c>
      <c r="J426" s="15" t="s">
        <v>232</v>
      </c>
      <c r="K426" s="6">
        <v>0.51388888888888884</v>
      </c>
      <c r="L426" t="s">
        <v>144</v>
      </c>
      <c r="M426">
        <v>200000</v>
      </c>
      <c r="N426" t="s">
        <v>216</v>
      </c>
      <c r="O426" t="s">
        <v>151</v>
      </c>
      <c r="P426">
        <v>27</v>
      </c>
      <c r="Q426" t="s">
        <v>157</v>
      </c>
    </row>
    <row r="427" spans="1:17" x14ac:dyDescent="0.2">
      <c r="A427">
        <v>305291</v>
      </c>
      <c r="B427">
        <v>1519</v>
      </c>
      <c r="C427" s="1" t="s">
        <v>105</v>
      </c>
      <c r="D427" s="10">
        <v>45160.965277777781</v>
      </c>
      <c r="E427" t="s">
        <v>191</v>
      </c>
      <c r="F427" t="s">
        <v>67</v>
      </c>
      <c r="G427">
        <v>3778</v>
      </c>
      <c r="H427" s="5" t="s">
        <v>105</v>
      </c>
      <c r="I427" s="15">
        <v>45160</v>
      </c>
      <c r="J427" s="15" t="s">
        <v>234</v>
      </c>
      <c r="K427" s="6">
        <v>0.46527777777777779</v>
      </c>
      <c r="L427" t="s">
        <v>142</v>
      </c>
      <c r="M427">
        <v>100000</v>
      </c>
      <c r="N427" t="s">
        <v>213</v>
      </c>
      <c r="O427" t="s">
        <v>151</v>
      </c>
      <c r="P427">
        <v>20</v>
      </c>
      <c r="Q427" t="s">
        <v>157</v>
      </c>
    </row>
    <row r="428" spans="1:17" x14ac:dyDescent="0.2">
      <c r="A428">
        <v>305510</v>
      </c>
      <c r="B428">
        <v>935</v>
      </c>
      <c r="C428" s="1" t="s">
        <v>100</v>
      </c>
      <c r="D428" s="10">
        <v>45251.083333333336</v>
      </c>
      <c r="E428" t="s">
        <v>98</v>
      </c>
      <c r="F428" t="s">
        <v>32</v>
      </c>
      <c r="G428">
        <v>6989</v>
      </c>
      <c r="H428" s="5" t="s">
        <v>100</v>
      </c>
      <c r="I428" s="15">
        <v>45251</v>
      </c>
      <c r="J428" s="15" t="s">
        <v>295</v>
      </c>
      <c r="K428" s="6">
        <v>8.3333333333333329E-2</v>
      </c>
      <c r="L428" t="s">
        <v>145</v>
      </c>
      <c r="M428">
        <v>80000</v>
      </c>
      <c r="N428" t="s">
        <v>217</v>
      </c>
      <c r="O428" t="s">
        <v>151</v>
      </c>
      <c r="P428">
        <v>38</v>
      </c>
      <c r="Q428" t="s">
        <v>155</v>
      </c>
    </row>
    <row r="429" spans="1:17" x14ac:dyDescent="0.2">
      <c r="A429">
        <v>306677</v>
      </c>
      <c r="B429">
        <v>1145</v>
      </c>
      <c r="C429" s="1" t="s">
        <v>99</v>
      </c>
      <c r="D429" s="10">
        <v>45158.989583333336</v>
      </c>
      <c r="E429" t="s">
        <v>96</v>
      </c>
      <c r="F429" t="s">
        <v>33</v>
      </c>
      <c r="G429">
        <v>6771</v>
      </c>
      <c r="H429" s="5" t="s">
        <v>99</v>
      </c>
      <c r="I429" s="15">
        <v>45158</v>
      </c>
      <c r="J429" s="15" t="s">
        <v>234</v>
      </c>
      <c r="K429" s="6">
        <v>0.48958333333333331</v>
      </c>
      <c r="L429" t="s">
        <v>145</v>
      </c>
      <c r="M429">
        <v>100000</v>
      </c>
      <c r="N429" t="s">
        <v>210</v>
      </c>
      <c r="O429" t="s">
        <v>152</v>
      </c>
      <c r="P429">
        <v>50</v>
      </c>
      <c r="Q429" t="s">
        <v>156</v>
      </c>
    </row>
    <row r="430" spans="1:17" x14ac:dyDescent="0.2">
      <c r="A430">
        <v>306798</v>
      </c>
      <c r="B430">
        <v>132</v>
      </c>
      <c r="C430" s="1" t="s">
        <v>105</v>
      </c>
      <c r="D430" s="10">
        <v>44940.020138888889</v>
      </c>
      <c r="E430" t="s">
        <v>191</v>
      </c>
      <c r="F430" t="s">
        <v>34</v>
      </c>
      <c r="G430">
        <v>291</v>
      </c>
      <c r="H430" s="5" t="s">
        <v>105</v>
      </c>
      <c r="I430" s="15">
        <v>44940</v>
      </c>
      <c r="J430" s="15" t="s">
        <v>232</v>
      </c>
      <c r="K430" s="6">
        <v>0.52013888888888893</v>
      </c>
      <c r="L430" t="s">
        <v>144</v>
      </c>
      <c r="M430">
        <v>150000</v>
      </c>
      <c r="N430" t="s">
        <v>218</v>
      </c>
      <c r="O430" t="s">
        <v>152</v>
      </c>
      <c r="P430">
        <v>50</v>
      </c>
      <c r="Q430" t="s">
        <v>154</v>
      </c>
    </row>
    <row r="431" spans="1:17" x14ac:dyDescent="0.2">
      <c r="A431">
        <v>306831</v>
      </c>
      <c r="B431">
        <v>1135</v>
      </c>
      <c r="C431" s="1" t="s">
        <v>113</v>
      </c>
      <c r="D431" s="10">
        <v>45090.024305555555</v>
      </c>
      <c r="E431" t="s">
        <v>191</v>
      </c>
      <c r="F431" t="s">
        <v>35</v>
      </c>
      <c r="G431">
        <v>4730</v>
      </c>
      <c r="H431" s="5" t="s">
        <v>113</v>
      </c>
      <c r="I431" s="15">
        <v>45090</v>
      </c>
      <c r="J431" s="15" t="s">
        <v>233</v>
      </c>
      <c r="K431" s="6">
        <v>0.52430555555555558</v>
      </c>
      <c r="L431" t="s">
        <v>144</v>
      </c>
      <c r="M431">
        <v>100000</v>
      </c>
      <c r="N431" t="s">
        <v>219</v>
      </c>
      <c r="O431" t="s">
        <v>151</v>
      </c>
      <c r="P431">
        <v>74</v>
      </c>
      <c r="Q431" t="s">
        <v>156</v>
      </c>
    </row>
    <row r="432" spans="1:17" x14ac:dyDescent="0.2">
      <c r="A432">
        <v>307999</v>
      </c>
      <c r="B432">
        <v>1476</v>
      </c>
      <c r="C432" s="1" t="s">
        <v>107</v>
      </c>
      <c r="D432" s="10">
        <v>45111.981249999997</v>
      </c>
      <c r="E432" t="s">
        <v>96</v>
      </c>
      <c r="F432" t="s">
        <v>36</v>
      </c>
      <c r="G432">
        <v>5434</v>
      </c>
      <c r="H432" s="5" t="s">
        <v>107</v>
      </c>
      <c r="I432" s="15">
        <v>45111</v>
      </c>
      <c r="J432" s="15" t="s">
        <v>234</v>
      </c>
      <c r="K432" s="6">
        <v>0.48125000000000001</v>
      </c>
      <c r="L432" t="s">
        <v>146</v>
      </c>
      <c r="M432">
        <v>100000</v>
      </c>
      <c r="N432" t="s">
        <v>220</v>
      </c>
      <c r="O432" t="s">
        <v>151</v>
      </c>
      <c r="P432">
        <v>23</v>
      </c>
      <c r="Q432" t="s">
        <v>156</v>
      </c>
    </row>
    <row r="433" spans="1:17" x14ac:dyDescent="0.2">
      <c r="A433">
        <v>308888</v>
      </c>
      <c r="B433">
        <v>731</v>
      </c>
      <c r="C433" s="1" t="s">
        <v>100</v>
      </c>
      <c r="D433" s="10">
        <v>45022.04791666667</v>
      </c>
      <c r="E433" t="s">
        <v>98</v>
      </c>
      <c r="F433" t="s">
        <v>37</v>
      </c>
      <c r="G433">
        <v>5383</v>
      </c>
      <c r="H433" s="5" t="s">
        <v>100</v>
      </c>
      <c r="I433" s="15">
        <v>45022</v>
      </c>
      <c r="J433" s="15" t="s">
        <v>233</v>
      </c>
      <c r="K433" s="6">
        <v>4.791666666666667E-2</v>
      </c>
      <c r="L433" t="s">
        <v>144</v>
      </c>
      <c r="M433">
        <v>100000</v>
      </c>
      <c r="N433" t="s">
        <v>199</v>
      </c>
      <c r="O433" t="s">
        <v>151</v>
      </c>
      <c r="P433">
        <v>78</v>
      </c>
      <c r="Q433" t="s">
        <v>155</v>
      </c>
    </row>
    <row r="434" spans="1:17" x14ac:dyDescent="0.2">
      <c r="A434">
        <v>309642</v>
      </c>
      <c r="B434">
        <v>1222</v>
      </c>
      <c r="C434" s="1" t="s">
        <v>105</v>
      </c>
      <c r="D434" s="10">
        <v>45185.023611111108</v>
      </c>
      <c r="E434" t="s">
        <v>96</v>
      </c>
      <c r="F434" t="s">
        <v>38</v>
      </c>
      <c r="G434">
        <v>2898</v>
      </c>
      <c r="H434" s="5" t="s">
        <v>105</v>
      </c>
      <c r="I434" s="15">
        <v>45185</v>
      </c>
      <c r="J434" s="15" t="s">
        <v>234</v>
      </c>
      <c r="K434" s="6">
        <v>0.52361111111111114</v>
      </c>
      <c r="L434" t="s">
        <v>143</v>
      </c>
      <c r="M434">
        <v>100000</v>
      </c>
      <c r="N434" t="s">
        <v>221</v>
      </c>
      <c r="O434" t="s">
        <v>152</v>
      </c>
      <c r="P434">
        <v>58</v>
      </c>
      <c r="Q434" t="s">
        <v>156</v>
      </c>
    </row>
    <row r="435" spans="1:17" x14ac:dyDescent="0.2">
      <c r="A435">
        <v>310236</v>
      </c>
      <c r="B435">
        <v>839</v>
      </c>
      <c r="C435" s="1" t="s">
        <v>113</v>
      </c>
      <c r="D435" s="10">
        <v>45034.00277777778</v>
      </c>
      <c r="E435" t="s">
        <v>98</v>
      </c>
      <c r="F435" t="s">
        <v>39</v>
      </c>
      <c r="G435">
        <v>221</v>
      </c>
      <c r="H435" s="5" t="s">
        <v>113</v>
      </c>
      <c r="I435" s="15">
        <v>45034</v>
      </c>
      <c r="J435" s="15" t="s">
        <v>233</v>
      </c>
      <c r="K435" s="6">
        <v>0.50277777777777777</v>
      </c>
      <c r="L435" t="s">
        <v>146</v>
      </c>
      <c r="M435">
        <v>100000</v>
      </c>
      <c r="N435" t="s">
        <v>212</v>
      </c>
      <c r="O435" t="s">
        <v>151</v>
      </c>
      <c r="P435">
        <v>36</v>
      </c>
      <c r="Q435" t="s">
        <v>155</v>
      </c>
    </row>
    <row r="436" spans="1:17" x14ac:dyDescent="0.2">
      <c r="A436">
        <v>310303</v>
      </c>
      <c r="B436">
        <v>42</v>
      </c>
      <c r="C436" s="1" t="s">
        <v>105</v>
      </c>
      <c r="D436" s="10">
        <v>45135.019444444442</v>
      </c>
      <c r="E436" t="s">
        <v>96</v>
      </c>
      <c r="F436" t="s">
        <v>24</v>
      </c>
      <c r="G436">
        <v>369</v>
      </c>
      <c r="H436" s="5" t="s">
        <v>105</v>
      </c>
      <c r="I436" s="15">
        <v>45135</v>
      </c>
      <c r="J436" s="15" t="s">
        <v>234</v>
      </c>
      <c r="K436" s="6">
        <v>0.51944444444444449</v>
      </c>
      <c r="L436" t="s">
        <v>143</v>
      </c>
      <c r="M436">
        <v>200000</v>
      </c>
      <c r="N436" t="s">
        <v>214</v>
      </c>
      <c r="O436" t="s">
        <v>152</v>
      </c>
      <c r="P436">
        <v>43</v>
      </c>
      <c r="Q436" t="s">
        <v>154</v>
      </c>
    </row>
    <row r="437" spans="1:17" x14ac:dyDescent="0.2">
      <c r="A437">
        <v>311285</v>
      </c>
      <c r="B437">
        <v>511</v>
      </c>
      <c r="C437" s="1" t="s">
        <v>99</v>
      </c>
      <c r="D437" s="10">
        <v>45213.990972222222</v>
      </c>
      <c r="E437" t="s">
        <v>98</v>
      </c>
      <c r="F437" t="s">
        <v>40</v>
      </c>
      <c r="G437">
        <v>3345</v>
      </c>
      <c r="H437" s="5" t="s">
        <v>99</v>
      </c>
      <c r="I437" s="15">
        <v>45213</v>
      </c>
      <c r="J437" s="15" t="s">
        <v>295</v>
      </c>
      <c r="K437" s="6">
        <v>0.4909722222222222</v>
      </c>
      <c r="L437" t="s">
        <v>142</v>
      </c>
      <c r="M437">
        <v>150000</v>
      </c>
      <c r="N437" t="s">
        <v>207</v>
      </c>
      <c r="O437" t="s">
        <v>151</v>
      </c>
      <c r="P437">
        <v>60</v>
      </c>
      <c r="Q437" t="s">
        <v>155</v>
      </c>
    </row>
    <row r="438" spans="1:17" x14ac:dyDescent="0.2">
      <c r="A438">
        <v>312250</v>
      </c>
      <c r="B438">
        <v>343</v>
      </c>
      <c r="C438" s="1" t="s">
        <v>113</v>
      </c>
      <c r="D438" s="10">
        <v>45248.019444444442</v>
      </c>
      <c r="E438" t="s">
        <v>98</v>
      </c>
      <c r="F438" t="s">
        <v>41</v>
      </c>
      <c r="G438">
        <v>8056</v>
      </c>
      <c r="H438" s="5" t="s">
        <v>113</v>
      </c>
      <c r="I438" s="15">
        <v>45248</v>
      </c>
      <c r="J438" s="15" t="s">
        <v>295</v>
      </c>
      <c r="K438" s="6">
        <v>0.51944444444444449</v>
      </c>
      <c r="L438" t="s">
        <v>145</v>
      </c>
      <c r="M438">
        <v>150000</v>
      </c>
      <c r="N438" t="s">
        <v>203</v>
      </c>
      <c r="O438" t="s">
        <v>152</v>
      </c>
      <c r="P438">
        <v>88</v>
      </c>
      <c r="Q438" t="s">
        <v>154</v>
      </c>
    </row>
    <row r="439" spans="1:17" x14ac:dyDescent="0.2">
      <c r="A439">
        <v>312391</v>
      </c>
      <c r="B439">
        <v>780</v>
      </c>
      <c r="C439" s="1" t="s">
        <v>113</v>
      </c>
      <c r="D439" s="10">
        <v>45276.961805555555</v>
      </c>
      <c r="E439" t="s">
        <v>98</v>
      </c>
      <c r="F439" t="s">
        <v>42</v>
      </c>
      <c r="G439">
        <v>3848</v>
      </c>
      <c r="H439" s="5" t="s">
        <v>113</v>
      </c>
      <c r="I439" s="15">
        <v>45276</v>
      </c>
      <c r="J439" s="15" t="s">
        <v>295</v>
      </c>
      <c r="K439" s="6">
        <v>0.46180555555555558</v>
      </c>
      <c r="L439" t="s">
        <v>144</v>
      </c>
      <c r="M439">
        <v>100000</v>
      </c>
      <c r="N439" t="s">
        <v>219</v>
      </c>
      <c r="O439" t="s">
        <v>151</v>
      </c>
      <c r="P439">
        <v>43</v>
      </c>
      <c r="Q439" t="s">
        <v>155</v>
      </c>
    </row>
    <row r="440" spans="1:17" x14ac:dyDescent="0.2">
      <c r="A440">
        <v>312413</v>
      </c>
      <c r="B440">
        <v>1696</v>
      </c>
      <c r="C440" s="1" t="s">
        <v>99</v>
      </c>
      <c r="D440" s="10">
        <v>45185.011805555558</v>
      </c>
      <c r="E440" t="s">
        <v>97</v>
      </c>
      <c r="F440" t="s">
        <v>43</v>
      </c>
      <c r="G440">
        <v>7605</v>
      </c>
      <c r="H440" s="5" t="s">
        <v>99</v>
      </c>
      <c r="I440" s="15">
        <v>45185</v>
      </c>
      <c r="J440" s="15" t="s">
        <v>234</v>
      </c>
      <c r="K440" s="6">
        <v>0.51180555555555551</v>
      </c>
      <c r="L440" t="s">
        <v>145</v>
      </c>
      <c r="M440">
        <v>1000000</v>
      </c>
      <c r="N440" t="s">
        <v>203</v>
      </c>
      <c r="O440" t="s">
        <v>151</v>
      </c>
      <c r="P440">
        <v>68</v>
      </c>
      <c r="Q440" t="s">
        <v>157</v>
      </c>
    </row>
    <row r="441" spans="1:17" x14ac:dyDescent="0.2">
      <c r="A441">
        <v>312581</v>
      </c>
      <c r="B441">
        <v>624</v>
      </c>
      <c r="C441" s="1" t="s">
        <v>101</v>
      </c>
      <c r="D441" s="10">
        <v>45145.033333333333</v>
      </c>
      <c r="E441" t="s">
        <v>191</v>
      </c>
      <c r="F441" t="s">
        <v>44</v>
      </c>
      <c r="G441">
        <v>5721</v>
      </c>
      <c r="H441" s="5" t="s">
        <v>101</v>
      </c>
      <c r="I441" s="15">
        <v>45145</v>
      </c>
      <c r="J441" s="15" t="s">
        <v>234</v>
      </c>
      <c r="K441" s="6">
        <v>0.53333333333333333</v>
      </c>
      <c r="L441" t="s">
        <v>144</v>
      </c>
      <c r="M441">
        <v>150000</v>
      </c>
      <c r="N441" t="s">
        <v>199</v>
      </c>
      <c r="O441" t="s">
        <v>151</v>
      </c>
      <c r="P441">
        <v>43</v>
      </c>
      <c r="Q441" t="s">
        <v>155</v>
      </c>
    </row>
    <row r="442" spans="1:17" x14ac:dyDescent="0.2">
      <c r="A442">
        <v>313294</v>
      </c>
      <c r="B442">
        <v>1513</v>
      </c>
      <c r="C442" s="1" t="s">
        <v>99</v>
      </c>
      <c r="D442" s="10">
        <v>45101.006249999999</v>
      </c>
      <c r="E442" t="s">
        <v>97</v>
      </c>
      <c r="F442" t="s">
        <v>12</v>
      </c>
      <c r="G442">
        <v>3975</v>
      </c>
      <c r="H442" s="5" t="s">
        <v>99</v>
      </c>
      <c r="I442" s="15">
        <v>45101</v>
      </c>
      <c r="J442" s="15" t="s">
        <v>233</v>
      </c>
      <c r="K442" s="6">
        <v>0.50624999999999998</v>
      </c>
      <c r="L442" t="s">
        <v>143</v>
      </c>
      <c r="M442">
        <v>150000</v>
      </c>
      <c r="N442" t="s">
        <v>205</v>
      </c>
      <c r="O442" t="s">
        <v>152</v>
      </c>
      <c r="P442">
        <v>76</v>
      </c>
      <c r="Q442" t="s">
        <v>157</v>
      </c>
    </row>
    <row r="443" spans="1:17" x14ac:dyDescent="0.2">
      <c r="A443">
        <v>313756</v>
      </c>
      <c r="B443">
        <v>1032</v>
      </c>
      <c r="C443" s="1" t="s">
        <v>100</v>
      </c>
      <c r="D443" s="10">
        <v>45288.063194444447</v>
      </c>
      <c r="E443" t="s">
        <v>97</v>
      </c>
      <c r="F443" t="s">
        <v>14</v>
      </c>
      <c r="G443">
        <v>1340</v>
      </c>
      <c r="H443" s="5" t="s">
        <v>100</v>
      </c>
      <c r="I443" s="15">
        <v>45288</v>
      </c>
      <c r="J443" s="15" t="s">
        <v>295</v>
      </c>
      <c r="K443" s="6">
        <v>6.3194444444444442E-2</v>
      </c>
      <c r="L443" t="s">
        <v>142</v>
      </c>
      <c r="M443">
        <v>250000</v>
      </c>
      <c r="N443" t="s">
        <v>207</v>
      </c>
      <c r="O443" t="s">
        <v>151</v>
      </c>
      <c r="P443">
        <v>21</v>
      </c>
      <c r="Q443" t="s">
        <v>156</v>
      </c>
    </row>
    <row r="444" spans="1:17" x14ac:dyDescent="0.2">
      <c r="A444">
        <v>314254</v>
      </c>
      <c r="B444">
        <v>224</v>
      </c>
      <c r="C444" s="1" t="s">
        <v>113</v>
      </c>
      <c r="D444" s="10">
        <v>45133.013888888891</v>
      </c>
      <c r="E444" t="s">
        <v>96</v>
      </c>
      <c r="F444" t="s">
        <v>43</v>
      </c>
      <c r="G444">
        <v>2043</v>
      </c>
      <c r="H444" s="5" t="s">
        <v>113</v>
      </c>
      <c r="I444" s="15">
        <v>45133</v>
      </c>
      <c r="J444" s="15" t="s">
        <v>234</v>
      </c>
      <c r="K444" s="6">
        <v>0.51388888888888884</v>
      </c>
      <c r="L444" t="s">
        <v>145</v>
      </c>
      <c r="M444">
        <v>1000000</v>
      </c>
      <c r="N444" t="s">
        <v>203</v>
      </c>
      <c r="O444" t="s">
        <v>151</v>
      </c>
      <c r="P444">
        <v>64</v>
      </c>
      <c r="Q444" t="s">
        <v>154</v>
      </c>
    </row>
    <row r="445" spans="1:17" x14ac:dyDescent="0.2">
      <c r="A445">
        <v>314530</v>
      </c>
      <c r="B445">
        <v>967</v>
      </c>
      <c r="C445" s="1" t="s">
        <v>101</v>
      </c>
      <c r="D445" s="10">
        <v>45241.034722222219</v>
      </c>
      <c r="E445" t="s">
        <v>191</v>
      </c>
      <c r="F445" t="s">
        <v>46</v>
      </c>
      <c r="G445">
        <v>4214</v>
      </c>
      <c r="H445" s="5" t="s">
        <v>101</v>
      </c>
      <c r="I445" s="15">
        <v>45241</v>
      </c>
      <c r="J445" s="15" t="s">
        <v>295</v>
      </c>
      <c r="K445" s="6">
        <v>0.53472222222222221</v>
      </c>
      <c r="L445" t="s">
        <v>142</v>
      </c>
      <c r="M445">
        <v>200000</v>
      </c>
      <c r="N445" t="s">
        <v>211</v>
      </c>
      <c r="O445" t="s">
        <v>152</v>
      </c>
      <c r="P445">
        <v>54</v>
      </c>
      <c r="Q445" t="s">
        <v>155</v>
      </c>
    </row>
    <row r="446" spans="1:17" x14ac:dyDescent="0.2">
      <c r="A446">
        <v>315549</v>
      </c>
      <c r="B446">
        <v>108</v>
      </c>
      <c r="C446" s="1" t="s">
        <v>105</v>
      </c>
      <c r="D446" s="10">
        <v>45004.98541666667</v>
      </c>
      <c r="E446" t="s">
        <v>191</v>
      </c>
      <c r="F446" t="s">
        <v>8</v>
      </c>
      <c r="G446">
        <v>7653</v>
      </c>
      <c r="H446" s="5" t="s">
        <v>105</v>
      </c>
      <c r="I446" s="15">
        <v>45004</v>
      </c>
      <c r="J446" s="15" t="s">
        <v>232</v>
      </c>
      <c r="K446" s="6">
        <v>0.48541666666666666</v>
      </c>
      <c r="L446" t="s">
        <v>142</v>
      </c>
      <c r="M446">
        <v>200000</v>
      </c>
      <c r="N446" t="s">
        <v>201</v>
      </c>
      <c r="O446" t="s">
        <v>151</v>
      </c>
      <c r="P446">
        <v>63</v>
      </c>
      <c r="Q446" t="s">
        <v>154</v>
      </c>
    </row>
    <row r="447" spans="1:17" x14ac:dyDescent="0.2">
      <c r="A447">
        <v>315899</v>
      </c>
      <c r="B447">
        <v>1934</v>
      </c>
      <c r="C447" s="1" t="s">
        <v>105</v>
      </c>
      <c r="D447" s="10">
        <v>45208.038888888892</v>
      </c>
      <c r="E447" t="s">
        <v>191</v>
      </c>
      <c r="F447" t="s">
        <v>46</v>
      </c>
      <c r="G447">
        <v>6965</v>
      </c>
      <c r="H447" s="5" t="s">
        <v>105</v>
      </c>
      <c r="I447" s="15">
        <v>45208</v>
      </c>
      <c r="J447" s="15" t="s">
        <v>295</v>
      </c>
      <c r="K447" s="6">
        <v>0.53888888888888886</v>
      </c>
      <c r="L447" t="s">
        <v>142</v>
      </c>
      <c r="M447">
        <v>200000</v>
      </c>
      <c r="N447" t="s">
        <v>211</v>
      </c>
      <c r="O447" t="s">
        <v>151</v>
      </c>
      <c r="P447">
        <v>25</v>
      </c>
      <c r="Q447" t="s">
        <v>157</v>
      </c>
    </row>
    <row r="448" spans="1:17" x14ac:dyDescent="0.2">
      <c r="A448">
        <v>315977</v>
      </c>
      <c r="B448">
        <v>1837</v>
      </c>
      <c r="C448" s="1" t="s">
        <v>110</v>
      </c>
      <c r="D448" s="10">
        <v>45172.000694444447</v>
      </c>
      <c r="E448" t="s">
        <v>98</v>
      </c>
      <c r="F448" t="s">
        <v>47</v>
      </c>
      <c r="G448">
        <v>8432</v>
      </c>
      <c r="H448" s="5" t="s">
        <v>110</v>
      </c>
      <c r="I448" s="15">
        <v>45172</v>
      </c>
      <c r="J448" s="15" t="s">
        <v>234</v>
      </c>
      <c r="K448" s="6">
        <v>0.50069444444444444</v>
      </c>
      <c r="L448" t="s">
        <v>144</v>
      </c>
      <c r="M448">
        <v>100000</v>
      </c>
      <c r="N448" t="s">
        <v>218</v>
      </c>
      <c r="O448" t="s">
        <v>152</v>
      </c>
      <c r="P448">
        <v>87</v>
      </c>
      <c r="Q448" t="s">
        <v>157</v>
      </c>
    </row>
    <row r="449" spans="1:17" x14ac:dyDescent="0.2">
      <c r="A449">
        <v>316324</v>
      </c>
      <c r="B449">
        <v>1564</v>
      </c>
      <c r="C449" s="1" t="s">
        <v>106</v>
      </c>
      <c r="D449" s="10">
        <v>44992.013888888891</v>
      </c>
      <c r="E449" t="s">
        <v>191</v>
      </c>
      <c r="F449" t="s">
        <v>27</v>
      </c>
      <c r="G449">
        <v>1285</v>
      </c>
      <c r="H449" s="5" t="s">
        <v>106</v>
      </c>
      <c r="I449" s="15">
        <v>44992</v>
      </c>
      <c r="J449" s="15" t="s">
        <v>232</v>
      </c>
      <c r="K449" s="6">
        <v>0.51388888888888884</v>
      </c>
      <c r="L449" t="s">
        <v>142</v>
      </c>
      <c r="M449">
        <v>1000000</v>
      </c>
      <c r="N449" t="s">
        <v>209</v>
      </c>
      <c r="O449" t="s">
        <v>151</v>
      </c>
      <c r="P449">
        <v>89</v>
      </c>
      <c r="Q449" t="s">
        <v>157</v>
      </c>
    </row>
    <row r="450" spans="1:17" x14ac:dyDescent="0.2">
      <c r="A450">
        <v>316364</v>
      </c>
      <c r="B450">
        <v>486</v>
      </c>
      <c r="C450" s="1" t="s">
        <v>104</v>
      </c>
      <c r="D450" s="10">
        <v>45239.013194444444</v>
      </c>
      <c r="E450" t="s">
        <v>98</v>
      </c>
      <c r="F450" t="s">
        <v>49</v>
      </c>
      <c r="G450">
        <v>1699</v>
      </c>
      <c r="H450" s="5" t="s">
        <v>104</v>
      </c>
      <c r="I450" s="15">
        <v>45239</v>
      </c>
      <c r="J450" s="15" t="s">
        <v>295</v>
      </c>
      <c r="K450" s="6">
        <v>0.5131944444444444</v>
      </c>
      <c r="L450" t="s">
        <v>146</v>
      </c>
      <c r="M450">
        <v>100000</v>
      </c>
      <c r="N450" t="s">
        <v>222</v>
      </c>
      <c r="O450" t="s">
        <v>152</v>
      </c>
      <c r="P450">
        <v>66</v>
      </c>
      <c r="Q450" t="s">
        <v>154</v>
      </c>
    </row>
    <row r="451" spans="1:17" x14ac:dyDescent="0.2">
      <c r="A451">
        <v>316858</v>
      </c>
      <c r="B451">
        <v>1140</v>
      </c>
      <c r="C451" s="1" t="s">
        <v>102</v>
      </c>
      <c r="D451" s="10">
        <v>45003.027083333334</v>
      </c>
      <c r="E451" t="s">
        <v>96</v>
      </c>
      <c r="F451" t="s">
        <v>71</v>
      </c>
      <c r="G451">
        <v>3160</v>
      </c>
      <c r="H451" s="5" t="s">
        <v>102</v>
      </c>
      <c r="I451" s="15">
        <v>45003</v>
      </c>
      <c r="J451" s="15" t="s">
        <v>232</v>
      </c>
      <c r="K451" s="6">
        <v>0.52708333333333335</v>
      </c>
      <c r="L451" t="s">
        <v>145</v>
      </c>
      <c r="M451">
        <v>150000</v>
      </c>
      <c r="N451" t="s">
        <v>226</v>
      </c>
      <c r="O451" t="s">
        <v>151</v>
      </c>
      <c r="P451">
        <v>69</v>
      </c>
      <c r="Q451" t="s">
        <v>156</v>
      </c>
    </row>
    <row r="452" spans="1:17" x14ac:dyDescent="0.2">
      <c r="A452">
        <v>318630</v>
      </c>
      <c r="B452">
        <v>137</v>
      </c>
      <c r="C452" s="1" t="s">
        <v>113</v>
      </c>
      <c r="D452" s="10">
        <v>45029.973611111112</v>
      </c>
      <c r="E452" t="s">
        <v>191</v>
      </c>
      <c r="F452" t="s">
        <v>55</v>
      </c>
      <c r="G452">
        <v>9655</v>
      </c>
      <c r="H452" s="5" t="s">
        <v>113</v>
      </c>
      <c r="I452" s="15">
        <v>45029</v>
      </c>
      <c r="J452" s="15" t="s">
        <v>233</v>
      </c>
      <c r="K452" s="6">
        <v>0.47361111111111109</v>
      </c>
      <c r="L452" t="s">
        <v>144</v>
      </c>
      <c r="M452">
        <v>100000</v>
      </c>
      <c r="N452" t="s">
        <v>219</v>
      </c>
      <c r="O452" t="s">
        <v>151</v>
      </c>
      <c r="P452">
        <v>25</v>
      </c>
      <c r="Q452" t="s">
        <v>154</v>
      </c>
    </row>
    <row r="453" spans="1:17" x14ac:dyDescent="0.2">
      <c r="A453">
        <v>318961</v>
      </c>
      <c r="B453">
        <v>821</v>
      </c>
      <c r="C453" s="1" t="s">
        <v>107</v>
      </c>
      <c r="D453" s="10">
        <v>45055.051388888889</v>
      </c>
      <c r="E453" t="s">
        <v>98</v>
      </c>
      <c r="F453" t="s">
        <v>46</v>
      </c>
      <c r="G453">
        <v>7028</v>
      </c>
      <c r="H453" s="5" t="s">
        <v>107</v>
      </c>
      <c r="I453" s="15">
        <v>45055</v>
      </c>
      <c r="J453" s="15" t="s">
        <v>233</v>
      </c>
      <c r="K453" s="6">
        <v>5.1388888888888887E-2</v>
      </c>
      <c r="L453" t="s">
        <v>142</v>
      </c>
      <c r="M453">
        <v>200000</v>
      </c>
      <c r="N453" t="s">
        <v>211</v>
      </c>
      <c r="O453" t="s">
        <v>152</v>
      </c>
      <c r="P453">
        <v>53</v>
      </c>
      <c r="Q453" t="s">
        <v>155</v>
      </c>
    </row>
    <row r="454" spans="1:17" x14ac:dyDescent="0.2">
      <c r="A454">
        <v>319587</v>
      </c>
      <c r="B454">
        <v>1505</v>
      </c>
      <c r="C454" s="1" t="s">
        <v>99</v>
      </c>
      <c r="D454" s="10">
        <v>45199.00277777778</v>
      </c>
      <c r="E454" t="s">
        <v>96</v>
      </c>
      <c r="F454" t="s">
        <v>82</v>
      </c>
      <c r="G454">
        <v>1648</v>
      </c>
      <c r="H454" s="5" t="s">
        <v>99</v>
      </c>
      <c r="I454" s="15">
        <v>45199</v>
      </c>
      <c r="J454" s="15" t="s">
        <v>234</v>
      </c>
      <c r="K454" s="6">
        <v>0.50277777777777777</v>
      </c>
      <c r="L454" t="s">
        <v>142</v>
      </c>
      <c r="M454">
        <v>100000</v>
      </c>
      <c r="N454" t="s">
        <v>209</v>
      </c>
      <c r="O454" t="s">
        <v>151</v>
      </c>
      <c r="P454">
        <v>48</v>
      </c>
      <c r="Q454" t="s">
        <v>157</v>
      </c>
    </row>
    <row r="455" spans="1:17" x14ac:dyDescent="0.2">
      <c r="A455">
        <v>320251</v>
      </c>
      <c r="B455">
        <v>648</v>
      </c>
      <c r="C455" s="1" t="s">
        <v>104</v>
      </c>
      <c r="D455" s="10">
        <v>45241.069444444445</v>
      </c>
      <c r="E455" t="s">
        <v>97</v>
      </c>
      <c r="F455" t="s">
        <v>47</v>
      </c>
      <c r="G455">
        <v>8979</v>
      </c>
      <c r="H455" s="5" t="s">
        <v>104</v>
      </c>
      <c r="I455" s="15">
        <v>45241</v>
      </c>
      <c r="J455" s="15" t="s">
        <v>295</v>
      </c>
      <c r="K455" s="6">
        <v>6.9444444444444448E-2</v>
      </c>
      <c r="L455" t="s">
        <v>144</v>
      </c>
      <c r="M455">
        <v>100000</v>
      </c>
      <c r="N455" t="s">
        <v>218</v>
      </c>
      <c r="O455" t="s">
        <v>152</v>
      </c>
      <c r="P455">
        <v>34</v>
      </c>
      <c r="Q455" t="s">
        <v>155</v>
      </c>
    </row>
    <row r="456" spans="1:17" x14ac:dyDescent="0.2">
      <c r="A456">
        <v>320353</v>
      </c>
      <c r="B456">
        <v>173</v>
      </c>
      <c r="C456" s="1" t="s">
        <v>113</v>
      </c>
      <c r="D456" s="10">
        <v>45071.02847222222</v>
      </c>
      <c r="E456" t="s">
        <v>97</v>
      </c>
      <c r="F456" t="s">
        <v>11</v>
      </c>
      <c r="G456">
        <v>7229</v>
      </c>
      <c r="H456" s="5" t="s">
        <v>113</v>
      </c>
      <c r="I456" s="15">
        <v>45071</v>
      </c>
      <c r="J456" s="15" t="s">
        <v>233</v>
      </c>
      <c r="K456" s="6">
        <v>0.52847222222222223</v>
      </c>
      <c r="L456" t="s">
        <v>143</v>
      </c>
      <c r="M456">
        <v>150000</v>
      </c>
      <c r="N456" t="s">
        <v>204</v>
      </c>
      <c r="O456" t="s">
        <v>151</v>
      </c>
      <c r="P456">
        <v>59</v>
      </c>
      <c r="Q456" t="s">
        <v>154</v>
      </c>
    </row>
    <row r="457" spans="1:17" x14ac:dyDescent="0.2">
      <c r="A457">
        <v>322784</v>
      </c>
      <c r="B457">
        <v>132</v>
      </c>
      <c r="C457" s="1" t="s">
        <v>105</v>
      </c>
      <c r="D457" s="10">
        <v>44928.972916666666</v>
      </c>
      <c r="E457" t="s">
        <v>191</v>
      </c>
      <c r="F457" t="s">
        <v>44</v>
      </c>
      <c r="G457">
        <v>5201</v>
      </c>
      <c r="H457" s="5" t="s">
        <v>105</v>
      </c>
      <c r="I457" s="15">
        <v>44928</v>
      </c>
      <c r="J457" s="15" t="s">
        <v>232</v>
      </c>
      <c r="K457" s="6">
        <v>0.47291666666666665</v>
      </c>
      <c r="L457" t="s">
        <v>144</v>
      </c>
      <c r="M457">
        <v>150000</v>
      </c>
      <c r="N457" t="s">
        <v>199</v>
      </c>
      <c r="O457" t="s">
        <v>152</v>
      </c>
      <c r="P457">
        <v>50</v>
      </c>
      <c r="Q457" t="s">
        <v>154</v>
      </c>
    </row>
    <row r="458" spans="1:17" x14ac:dyDescent="0.2">
      <c r="A458">
        <v>323100</v>
      </c>
      <c r="B458">
        <v>867</v>
      </c>
      <c r="C458" s="1" t="s">
        <v>99</v>
      </c>
      <c r="D458" s="10">
        <v>45075.010416666664</v>
      </c>
      <c r="E458" t="s">
        <v>96</v>
      </c>
      <c r="F458" t="s">
        <v>78</v>
      </c>
      <c r="G458">
        <v>6684</v>
      </c>
      <c r="H458" s="5" t="s">
        <v>99</v>
      </c>
      <c r="I458" s="15">
        <v>45075</v>
      </c>
      <c r="J458" s="15" t="s">
        <v>233</v>
      </c>
      <c r="K458" s="6">
        <v>0.51041666666666663</v>
      </c>
      <c r="L458" t="s">
        <v>143</v>
      </c>
      <c r="M458">
        <v>200000</v>
      </c>
      <c r="N458" t="s">
        <v>215</v>
      </c>
      <c r="O458" t="s">
        <v>152</v>
      </c>
      <c r="P458">
        <v>76</v>
      </c>
      <c r="Q458" t="s">
        <v>155</v>
      </c>
    </row>
    <row r="459" spans="1:17" x14ac:dyDescent="0.2">
      <c r="A459">
        <v>325850</v>
      </c>
      <c r="B459">
        <v>166</v>
      </c>
      <c r="C459" s="1" t="s">
        <v>100</v>
      </c>
      <c r="D459" s="10">
        <v>45055.032638888886</v>
      </c>
      <c r="E459" t="s">
        <v>191</v>
      </c>
      <c r="F459" t="s">
        <v>27</v>
      </c>
      <c r="G459">
        <v>7311</v>
      </c>
      <c r="H459" s="5" t="s">
        <v>100</v>
      </c>
      <c r="I459" s="15">
        <v>45055</v>
      </c>
      <c r="J459" s="15" t="s">
        <v>233</v>
      </c>
      <c r="K459" s="6">
        <v>0.53263888888888888</v>
      </c>
      <c r="L459" t="s">
        <v>142</v>
      </c>
      <c r="M459">
        <v>1000000</v>
      </c>
      <c r="N459" t="s">
        <v>209</v>
      </c>
      <c r="O459" t="s">
        <v>151</v>
      </c>
      <c r="P459">
        <v>27</v>
      </c>
      <c r="Q459" t="s">
        <v>154</v>
      </c>
    </row>
    <row r="460" spans="1:17" x14ac:dyDescent="0.2">
      <c r="A460">
        <v>325939</v>
      </c>
      <c r="B460">
        <v>1285</v>
      </c>
      <c r="C460" s="1" t="s">
        <v>105</v>
      </c>
      <c r="D460" s="10">
        <v>45284.953472222223</v>
      </c>
      <c r="E460" t="s">
        <v>191</v>
      </c>
      <c r="F460" t="s">
        <v>73</v>
      </c>
      <c r="G460">
        <v>4569</v>
      </c>
      <c r="H460" s="5" t="s">
        <v>105</v>
      </c>
      <c r="I460" s="15">
        <v>45284</v>
      </c>
      <c r="J460" s="15" t="s">
        <v>295</v>
      </c>
      <c r="K460" s="6">
        <v>0.45347222222222222</v>
      </c>
      <c r="L460" t="s">
        <v>146</v>
      </c>
      <c r="M460">
        <v>150000</v>
      </c>
      <c r="N460" t="s">
        <v>222</v>
      </c>
      <c r="O460" t="s">
        <v>152</v>
      </c>
      <c r="P460">
        <v>56</v>
      </c>
      <c r="Q460" t="s">
        <v>156</v>
      </c>
    </row>
    <row r="461" spans="1:17" x14ac:dyDescent="0.2">
      <c r="A461">
        <v>327243</v>
      </c>
      <c r="B461">
        <v>595</v>
      </c>
      <c r="C461" s="1" t="s">
        <v>99</v>
      </c>
      <c r="D461" s="10">
        <v>45054.037499999999</v>
      </c>
      <c r="E461" t="s">
        <v>96</v>
      </c>
      <c r="F461" t="s">
        <v>48</v>
      </c>
      <c r="G461">
        <v>8969</v>
      </c>
      <c r="H461" s="5" t="s">
        <v>99</v>
      </c>
      <c r="I461" s="15">
        <v>45054</v>
      </c>
      <c r="J461" s="15" t="s">
        <v>233</v>
      </c>
      <c r="K461" s="6">
        <v>0.53749999999999998</v>
      </c>
      <c r="L461" t="s">
        <v>142</v>
      </c>
      <c r="M461">
        <v>100000</v>
      </c>
      <c r="N461" t="s">
        <v>209</v>
      </c>
      <c r="O461" t="s">
        <v>152</v>
      </c>
      <c r="P461">
        <v>90</v>
      </c>
      <c r="Q461" t="s">
        <v>155</v>
      </c>
    </row>
    <row r="462" spans="1:17" x14ac:dyDescent="0.2">
      <c r="A462">
        <v>327268</v>
      </c>
      <c r="B462">
        <v>1038</v>
      </c>
      <c r="C462" s="1" t="s">
        <v>100</v>
      </c>
      <c r="D462" s="10">
        <v>45236.051388888889</v>
      </c>
      <c r="E462" t="s">
        <v>98</v>
      </c>
      <c r="F462" t="s">
        <v>26</v>
      </c>
      <c r="G462">
        <v>6977</v>
      </c>
      <c r="H462" s="5" t="s">
        <v>100</v>
      </c>
      <c r="I462" s="15">
        <v>45236</v>
      </c>
      <c r="J462" s="15" t="s">
        <v>295</v>
      </c>
      <c r="K462" s="6">
        <v>5.1388888888888887E-2</v>
      </c>
      <c r="L462" t="s">
        <v>145</v>
      </c>
      <c r="M462">
        <v>100000</v>
      </c>
      <c r="N462" t="s">
        <v>210</v>
      </c>
      <c r="O462" t="s">
        <v>151</v>
      </c>
      <c r="P462">
        <v>32</v>
      </c>
      <c r="Q462" t="s">
        <v>156</v>
      </c>
    </row>
    <row r="463" spans="1:17" x14ac:dyDescent="0.2">
      <c r="A463">
        <v>328597</v>
      </c>
      <c r="B463">
        <v>221</v>
      </c>
      <c r="C463" s="1" t="s">
        <v>101</v>
      </c>
      <c r="D463" s="10">
        <v>45205.073611111111</v>
      </c>
      <c r="E463" t="s">
        <v>191</v>
      </c>
      <c r="F463" t="s">
        <v>74</v>
      </c>
      <c r="G463">
        <v>5537</v>
      </c>
      <c r="H463" s="5" t="s">
        <v>101</v>
      </c>
      <c r="I463" s="15">
        <v>45205</v>
      </c>
      <c r="J463" s="15" t="s">
        <v>295</v>
      </c>
      <c r="K463" s="6">
        <v>7.3611111111111113E-2</v>
      </c>
      <c r="L463" t="s">
        <v>145</v>
      </c>
      <c r="M463">
        <v>150000</v>
      </c>
      <c r="N463" t="s">
        <v>226</v>
      </c>
      <c r="O463" t="s">
        <v>151</v>
      </c>
      <c r="P463">
        <v>64</v>
      </c>
      <c r="Q463" t="s">
        <v>154</v>
      </c>
    </row>
    <row r="464" spans="1:17" x14ac:dyDescent="0.2">
      <c r="A464">
        <v>329474</v>
      </c>
      <c r="B464">
        <v>1133</v>
      </c>
      <c r="C464" s="1" t="s">
        <v>113</v>
      </c>
      <c r="D464" s="10">
        <v>45268.022222222222</v>
      </c>
      <c r="E464" t="s">
        <v>98</v>
      </c>
      <c r="F464" t="s">
        <v>88</v>
      </c>
      <c r="G464">
        <v>7243</v>
      </c>
      <c r="H464" s="5" t="s">
        <v>113</v>
      </c>
      <c r="I464" s="15">
        <v>45268</v>
      </c>
      <c r="J464" s="15" t="s">
        <v>295</v>
      </c>
      <c r="K464" s="6">
        <v>0.52222222222222225</v>
      </c>
      <c r="L464" t="s">
        <v>144</v>
      </c>
      <c r="M464">
        <v>100000</v>
      </c>
      <c r="N464" t="s">
        <v>200</v>
      </c>
      <c r="O464" t="s">
        <v>152</v>
      </c>
      <c r="P464">
        <v>59</v>
      </c>
      <c r="Q464" t="s">
        <v>156</v>
      </c>
    </row>
    <row r="465" spans="1:17" x14ac:dyDescent="0.2">
      <c r="A465">
        <v>331297</v>
      </c>
      <c r="B465">
        <v>1595</v>
      </c>
      <c r="C465" s="1" t="s">
        <v>99</v>
      </c>
      <c r="D465" s="10">
        <v>45002.011111111111</v>
      </c>
      <c r="E465" t="s">
        <v>97</v>
      </c>
      <c r="F465" t="s">
        <v>73</v>
      </c>
      <c r="G465">
        <v>7756</v>
      </c>
      <c r="H465" s="5" t="s">
        <v>99</v>
      </c>
      <c r="I465" s="15">
        <v>45002</v>
      </c>
      <c r="J465" s="15" t="s">
        <v>232</v>
      </c>
      <c r="K465" s="6">
        <v>0.51111111111111107</v>
      </c>
      <c r="L465" t="s">
        <v>146</v>
      </c>
      <c r="M465">
        <v>150000</v>
      </c>
      <c r="N465" t="s">
        <v>222</v>
      </c>
      <c r="O465" t="s">
        <v>152</v>
      </c>
      <c r="P465">
        <v>67</v>
      </c>
      <c r="Q465" t="s">
        <v>157</v>
      </c>
    </row>
    <row r="466" spans="1:17" x14ac:dyDescent="0.2">
      <c r="A466">
        <v>331797</v>
      </c>
      <c r="B466">
        <v>1190</v>
      </c>
      <c r="C466" s="1" t="s">
        <v>103</v>
      </c>
      <c r="D466" s="10">
        <v>45214.073611111111</v>
      </c>
      <c r="E466" t="s">
        <v>191</v>
      </c>
      <c r="F466" t="s">
        <v>89</v>
      </c>
      <c r="G466">
        <v>5185</v>
      </c>
      <c r="H466" s="5" t="s">
        <v>103</v>
      </c>
      <c r="I466" s="15">
        <v>45214</v>
      </c>
      <c r="J466" s="15" t="s">
        <v>295</v>
      </c>
      <c r="K466" s="6">
        <v>7.3611111111111113E-2</v>
      </c>
      <c r="L466" t="s">
        <v>144</v>
      </c>
      <c r="M466">
        <v>150000</v>
      </c>
      <c r="N466" t="s">
        <v>218</v>
      </c>
      <c r="O466" t="s">
        <v>151</v>
      </c>
      <c r="P466">
        <v>50</v>
      </c>
      <c r="Q466" t="s">
        <v>156</v>
      </c>
    </row>
    <row r="467" spans="1:17" x14ac:dyDescent="0.2">
      <c r="A467">
        <v>332513</v>
      </c>
      <c r="B467">
        <v>164</v>
      </c>
      <c r="C467" s="1" t="s">
        <v>99</v>
      </c>
      <c r="D467" s="10">
        <v>45002.052777777775</v>
      </c>
      <c r="E467" t="s">
        <v>97</v>
      </c>
      <c r="F467" t="s">
        <v>72</v>
      </c>
      <c r="G467">
        <v>9265</v>
      </c>
      <c r="H467" s="5" t="s">
        <v>99</v>
      </c>
      <c r="I467" s="15">
        <v>45002</v>
      </c>
      <c r="J467" s="15" t="s">
        <v>232</v>
      </c>
      <c r="K467" s="6">
        <v>5.2777777777777778E-2</v>
      </c>
      <c r="L467" t="s">
        <v>143</v>
      </c>
      <c r="M467">
        <v>150000</v>
      </c>
      <c r="N467" t="s">
        <v>223</v>
      </c>
      <c r="O467" t="s">
        <v>151</v>
      </c>
      <c r="P467">
        <v>36</v>
      </c>
      <c r="Q467" t="s">
        <v>154</v>
      </c>
    </row>
    <row r="468" spans="1:17" x14ac:dyDescent="0.2">
      <c r="A468">
        <v>333900</v>
      </c>
      <c r="B468">
        <v>629</v>
      </c>
      <c r="C468" s="1" t="s">
        <v>99</v>
      </c>
      <c r="D468" s="10">
        <v>45242.047222222223</v>
      </c>
      <c r="E468" t="s">
        <v>96</v>
      </c>
      <c r="F468" t="s">
        <v>25</v>
      </c>
      <c r="G468">
        <v>8694</v>
      </c>
      <c r="H468" s="5" t="s">
        <v>99</v>
      </c>
      <c r="I468" s="15">
        <v>45242</v>
      </c>
      <c r="J468" s="15" t="s">
        <v>295</v>
      </c>
      <c r="K468" s="6">
        <v>4.7222222222222221E-2</v>
      </c>
      <c r="L468" t="s">
        <v>142</v>
      </c>
      <c r="M468">
        <v>100000</v>
      </c>
      <c r="N468" t="s">
        <v>201</v>
      </c>
      <c r="O468" t="s">
        <v>151</v>
      </c>
      <c r="P468">
        <v>82</v>
      </c>
      <c r="Q468" t="s">
        <v>155</v>
      </c>
    </row>
    <row r="469" spans="1:17" x14ac:dyDescent="0.2">
      <c r="A469">
        <v>334028</v>
      </c>
      <c r="B469">
        <v>323</v>
      </c>
      <c r="C469" s="1" t="s">
        <v>100</v>
      </c>
      <c r="D469" s="10">
        <v>45114.056250000001</v>
      </c>
      <c r="E469" t="s">
        <v>97</v>
      </c>
      <c r="F469" t="s">
        <v>49</v>
      </c>
      <c r="G469">
        <v>9365</v>
      </c>
      <c r="H469" s="5" t="s">
        <v>100</v>
      </c>
      <c r="I469" s="15">
        <v>45114</v>
      </c>
      <c r="J469" s="15" t="s">
        <v>234</v>
      </c>
      <c r="K469" s="6">
        <v>5.6250000000000001E-2</v>
      </c>
      <c r="L469" t="s">
        <v>146</v>
      </c>
      <c r="M469">
        <v>100000</v>
      </c>
      <c r="N469" t="s">
        <v>222</v>
      </c>
      <c r="O469" t="s">
        <v>151</v>
      </c>
      <c r="P469">
        <v>49</v>
      </c>
      <c r="Q469" t="s">
        <v>154</v>
      </c>
    </row>
    <row r="470" spans="1:17" x14ac:dyDescent="0.2">
      <c r="A470">
        <v>335011</v>
      </c>
      <c r="B470">
        <v>1188</v>
      </c>
      <c r="C470" s="1" t="s">
        <v>99</v>
      </c>
      <c r="D470" s="10">
        <v>45257.988194444442</v>
      </c>
      <c r="E470" t="s">
        <v>97</v>
      </c>
      <c r="F470" t="s">
        <v>14</v>
      </c>
      <c r="G470">
        <v>4882</v>
      </c>
      <c r="H470" s="5" t="s">
        <v>99</v>
      </c>
      <c r="I470" s="15">
        <v>45257</v>
      </c>
      <c r="J470" s="15" t="s">
        <v>295</v>
      </c>
      <c r="K470" s="6">
        <v>0.48819444444444443</v>
      </c>
      <c r="L470" t="s">
        <v>142</v>
      </c>
      <c r="M470">
        <v>250000</v>
      </c>
      <c r="N470" t="s">
        <v>207</v>
      </c>
      <c r="O470" t="s">
        <v>151</v>
      </c>
      <c r="P470">
        <v>89</v>
      </c>
      <c r="Q470" t="s">
        <v>156</v>
      </c>
    </row>
    <row r="471" spans="1:17" x14ac:dyDescent="0.2">
      <c r="A471">
        <v>336670</v>
      </c>
      <c r="B471">
        <v>1963</v>
      </c>
      <c r="C471" s="1" t="s">
        <v>101</v>
      </c>
      <c r="D471" s="10">
        <v>45116.055555555555</v>
      </c>
      <c r="E471" t="s">
        <v>98</v>
      </c>
      <c r="F471" t="s">
        <v>6</v>
      </c>
      <c r="G471">
        <v>7178</v>
      </c>
      <c r="H471" s="5" t="s">
        <v>101</v>
      </c>
      <c r="I471" s="15">
        <v>45116</v>
      </c>
      <c r="J471" s="15" t="s">
        <v>234</v>
      </c>
      <c r="K471" s="6">
        <v>5.5555555555555552E-2</v>
      </c>
      <c r="L471" t="s">
        <v>144</v>
      </c>
      <c r="M471">
        <v>100000</v>
      </c>
      <c r="N471" t="s">
        <v>199</v>
      </c>
      <c r="O471" t="s">
        <v>152</v>
      </c>
      <c r="P471">
        <v>25</v>
      </c>
      <c r="Q471" t="s">
        <v>157</v>
      </c>
    </row>
    <row r="472" spans="1:17" x14ac:dyDescent="0.2">
      <c r="A472">
        <v>337678</v>
      </c>
      <c r="B472">
        <v>231</v>
      </c>
      <c r="C472" s="1" t="s">
        <v>99</v>
      </c>
      <c r="D472" s="10">
        <v>45102.007638888892</v>
      </c>
      <c r="E472" t="s">
        <v>98</v>
      </c>
      <c r="F472" t="s">
        <v>54</v>
      </c>
      <c r="G472">
        <v>6888</v>
      </c>
      <c r="H472" s="5" t="s">
        <v>99</v>
      </c>
      <c r="I472" s="15">
        <v>45102</v>
      </c>
      <c r="J472" s="15" t="s">
        <v>233</v>
      </c>
      <c r="K472" s="6">
        <v>0.50763888888888886</v>
      </c>
      <c r="L472" t="s">
        <v>144</v>
      </c>
      <c r="M472">
        <v>100000</v>
      </c>
      <c r="N472" t="s">
        <v>224</v>
      </c>
      <c r="O472" t="s">
        <v>151</v>
      </c>
      <c r="P472">
        <v>41</v>
      </c>
      <c r="Q472" t="s">
        <v>154</v>
      </c>
    </row>
    <row r="473" spans="1:17" x14ac:dyDescent="0.2">
      <c r="A473">
        <v>338433</v>
      </c>
      <c r="B473">
        <v>1583</v>
      </c>
      <c r="C473" s="1" t="s">
        <v>106</v>
      </c>
      <c r="D473" s="10">
        <v>45066.979861111111</v>
      </c>
      <c r="E473" t="s">
        <v>191</v>
      </c>
      <c r="F473" t="s">
        <v>20</v>
      </c>
      <c r="G473">
        <v>2588</v>
      </c>
      <c r="H473" s="5" t="s">
        <v>106</v>
      </c>
      <c r="I473" s="15">
        <v>45066</v>
      </c>
      <c r="J473" s="15" t="s">
        <v>233</v>
      </c>
      <c r="K473" s="6">
        <v>0.47986111111111113</v>
      </c>
      <c r="L473" t="s">
        <v>146</v>
      </c>
      <c r="M473">
        <v>150000</v>
      </c>
      <c r="N473" t="s">
        <v>212</v>
      </c>
      <c r="O473" t="s">
        <v>152</v>
      </c>
      <c r="P473">
        <v>73</v>
      </c>
      <c r="Q473" t="s">
        <v>157</v>
      </c>
    </row>
    <row r="474" spans="1:17" x14ac:dyDescent="0.2">
      <c r="A474">
        <v>338722</v>
      </c>
      <c r="B474">
        <v>1401</v>
      </c>
      <c r="C474" s="1" t="s">
        <v>102</v>
      </c>
      <c r="D474" s="10">
        <v>45109.044444444444</v>
      </c>
      <c r="E474" t="s">
        <v>96</v>
      </c>
      <c r="F474" t="s">
        <v>43</v>
      </c>
      <c r="G474">
        <v>8554</v>
      </c>
      <c r="H474" s="5" t="s">
        <v>102</v>
      </c>
      <c r="I474" s="15">
        <v>45109</v>
      </c>
      <c r="J474" s="15" t="s">
        <v>234</v>
      </c>
      <c r="K474" s="6">
        <v>4.4444444444444446E-2</v>
      </c>
      <c r="L474" t="s">
        <v>145</v>
      </c>
      <c r="M474">
        <v>1000000</v>
      </c>
      <c r="N474" t="s">
        <v>203</v>
      </c>
      <c r="O474" t="s">
        <v>151</v>
      </c>
      <c r="P474">
        <v>53</v>
      </c>
      <c r="Q474" t="s">
        <v>156</v>
      </c>
    </row>
    <row r="475" spans="1:17" x14ac:dyDescent="0.2">
      <c r="A475">
        <v>339088</v>
      </c>
      <c r="B475">
        <v>904</v>
      </c>
      <c r="C475" s="1" t="s">
        <v>113</v>
      </c>
      <c r="D475" s="10">
        <v>45138.03402777778</v>
      </c>
      <c r="E475" t="s">
        <v>97</v>
      </c>
      <c r="F475" t="s">
        <v>52</v>
      </c>
      <c r="G475">
        <v>4909</v>
      </c>
      <c r="H475" s="5" t="s">
        <v>113</v>
      </c>
      <c r="I475" s="15">
        <v>45138</v>
      </c>
      <c r="J475" s="15" t="s">
        <v>234</v>
      </c>
      <c r="K475" s="6">
        <v>0.53402777777777777</v>
      </c>
      <c r="L475" t="s">
        <v>143</v>
      </c>
      <c r="M475">
        <v>100000</v>
      </c>
      <c r="N475" t="s">
        <v>206</v>
      </c>
      <c r="O475" t="s">
        <v>152</v>
      </c>
      <c r="P475">
        <v>34</v>
      </c>
      <c r="Q475" t="s">
        <v>155</v>
      </c>
    </row>
    <row r="476" spans="1:17" x14ac:dyDescent="0.2">
      <c r="A476">
        <v>340986</v>
      </c>
      <c r="B476">
        <v>1570</v>
      </c>
      <c r="C476" s="1" t="s">
        <v>99</v>
      </c>
      <c r="D476" s="10">
        <v>45191.98333333333</v>
      </c>
      <c r="E476" t="s">
        <v>191</v>
      </c>
      <c r="F476" t="s">
        <v>23</v>
      </c>
      <c r="G476">
        <v>3502</v>
      </c>
      <c r="H476" s="5" t="s">
        <v>99</v>
      </c>
      <c r="I476" s="15">
        <v>45191</v>
      </c>
      <c r="J476" s="15" t="s">
        <v>234</v>
      </c>
      <c r="K476" s="6">
        <v>0.48333333333333334</v>
      </c>
      <c r="L476" t="s">
        <v>142</v>
      </c>
      <c r="M476">
        <v>150000</v>
      </c>
      <c r="N476" t="s">
        <v>213</v>
      </c>
      <c r="O476" t="s">
        <v>151</v>
      </c>
      <c r="P476">
        <v>46</v>
      </c>
      <c r="Q476" t="s">
        <v>157</v>
      </c>
    </row>
    <row r="477" spans="1:17" x14ac:dyDescent="0.2">
      <c r="A477">
        <v>341171</v>
      </c>
      <c r="B477">
        <v>1438</v>
      </c>
      <c r="C477" s="1" t="s">
        <v>106</v>
      </c>
      <c r="D477" s="10">
        <v>45231.077777777777</v>
      </c>
      <c r="E477" t="s">
        <v>97</v>
      </c>
      <c r="F477" t="s">
        <v>15</v>
      </c>
      <c r="G477">
        <v>1596</v>
      </c>
      <c r="H477" s="5" t="s">
        <v>106</v>
      </c>
      <c r="I477" s="15">
        <v>45231</v>
      </c>
      <c r="J477" s="15" t="s">
        <v>295</v>
      </c>
      <c r="K477" s="6">
        <v>7.7777777777777779E-2</v>
      </c>
      <c r="L477" t="s">
        <v>143</v>
      </c>
      <c r="M477">
        <v>150000</v>
      </c>
      <c r="N477" t="s">
        <v>198</v>
      </c>
      <c r="O477" t="s">
        <v>151</v>
      </c>
      <c r="P477">
        <v>35</v>
      </c>
      <c r="Q477" t="s">
        <v>156</v>
      </c>
    </row>
    <row r="478" spans="1:17" x14ac:dyDescent="0.2">
      <c r="A478">
        <v>341522</v>
      </c>
      <c r="B478">
        <v>1268</v>
      </c>
      <c r="C478" s="1" t="s">
        <v>99</v>
      </c>
      <c r="D478" s="10">
        <v>45150.023611111108</v>
      </c>
      <c r="E478" t="s">
        <v>191</v>
      </c>
      <c r="F478" t="s">
        <v>12</v>
      </c>
      <c r="G478">
        <v>1649</v>
      </c>
      <c r="H478" s="5" t="s">
        <v>99</v>
      </c>
      <c r="I478" s="15">
        <v>45150</v>
      </c>
      <c r="J478" s="15" t="s">
        <v>234</v>
      </c>
      <c r="K478" s="6">
        <v>0.52361111111111114</v>
      </c>
      <c r="L478" t="s">
        <v>143</v>
      </c>
      <c r="M478">
        <v>150000</v>
      </c>
      <c r="N478" t="s">
        <v>205</v>
      </c>
      <c r="O478" t="s">
        <v>151</v>
      </c>
      <c r="P478">
        <v>48</v>
      </c>
      <c r="Q478" t="s">
        <v>156</v>
      </c>
    </row>
    <row r="479" spans="1:17" x14ac:dyDescent="0.2">
      <c r="A479">
        <v>341838</v>
      </c>
      <c r="B479">
        <v>1367</v>
      </c>
      <c r="C479" s="1" t="s">
        <v>107</v>
      </c>
      <c r="D479" s="10">
        <v>45248.067361111112</v>
      </c>
      <c r="E479" t="s">
        <v>98</v>
      </c>
      <c r="F479" t="s">
        <v>14</v>
      </c>
      <c r="G479">
        <v>7477</v>
      </c>
      <c r="H479" s="5" t="s">
        <v>107</v>
      </c>
      <c r="I479" s="15">
        <v>45248</v>
      </c>
      <c r="J479" s="15" t="s">
        <v>295</v>
      </c>
      <c r="K479" s="6">
        <v>6.7361111111111108E-2</v>
      </c>
      <c r="L479" t="s">
        <v>142</v>
      </c>
      <c r="M479">
        <v>250000</v>
      </c>
      <c r="N479" t="s">
        <v>207</v>
      </c>
      <c r="O479" t="s">
        <v>152</v>
      </c>
      <c r="P479">
        <v>25</v>
      </c>
      <c r="Q479" t="s">
        <v>156</v>
      </c>
    </row>
    <row r="480" spans="1:17" x14ac:dyDescent="0.2">
      <c r="A480">
        <v>341843</v>
      </c>
      <c r="B480">
        <v>1121</v>
      </c>
      <c r="C480" s="1" t="s">
        <v>113</v>
      </c>
      <c r="D480" s="10">
        <v>45075.005555555559</v>
      </c>
      <c r="E480" t="s">
        <v>96</v>
      </c>
      <c r="F480" t="s">
        <v>24</v>
      </c>
      <c r="G480">
        <v>863</v>
      </c>
      <c r="H480" s="5" t="s">
        <v>113</v>
      </c>
      <c r="I480" s="15">
        <v>45075</v>
      </c>
      <c r="J480" s="15" t="s">
        <v>233</v>
      </c>
      <c r="K480" s="6">
        <v>0.50555555555555554</v>
      </c>
      <c r="L480" t="s">
        <v>143</v>
      </c>
      <c r="M480">
        <v>200000</v>
      </c>
      <c r="N480" t="s">
        <v>214</v>
      </c>
      <c r="O480" t="s">
        <v>152</v>
      </c>
      <c r="P480">
        <v>51</v>
      </c>
      <c r="Q480" t="s">
        <v>156</v>
      </c>
    </row>
    <row r="481" spans="1:17" x14ac:dyDescent="0.2">
      <c r="A481">
        <v>342057</v>
      </c>
      <c r="B481">
        <v>1152</v>
      </c>
      <c r="C481" s="1" t="s">
        <v>105</v>
      </c>
      <c r="D481" s="10">
        <v>45081.036805555559</v>
      </c>
      <c r="E481" t="s">
        <v>96</v>
      </c>
      <c r="F481" t="s">
        <v>86</v>
      </c>
      <c r="G481">
        <v>9941</v>
      </c>
      <c r="H481" s="5" t="s">
        <v>105</v>
      </c>
      <c r="I481" s="15">
        <v>45081</v>
      </c>
      <c r="J481" s="15" t="s">
        <v>233</v>
      </c>
      <c r="K481" s="6">
        <v>0.53680555555555554</v>
      </c>
      <c r="L481" t="s">
        <v>144</v>
      </c>
      <c r="M481">
        <v>100000</v>
      </c>
      <c r="N481" t="s">
        <v>216</v>
      </c>
      <c r="O481" t="s">
        <v>151</v>
      </c>
      <c r="P481">
        <v>67</v>
      </c>
      <c r="Q481" t="s">
        <v>156</v>
      </c>
    </row>
    <row r="482" spans="1:17" x14ac:dyDescent="0.2">
      <c r="A482">
        <v>342826</v>
      </c>
      <c r="B482">
        <v>1486</v>
      </c>
      <c r="C482" s="1" t="s">
        <v>99</v>
      </c>
      <c r="D482" s="10">
        <v>45097.939583333333</v>
      </c>
      <c r="E482" t="s">
        <v>96</v>
      </c>
      <c r="F482" t="s">
        <v>8</v>
      </c>
      <c r="G482">
        <v>3861</v>
      </c>
      <c r="H482" s="5" t="s">
        <v>99</v>
      </c>
      <c r="I482" s="15">
        <v>45097</v>
      </c>
      <c r="J482" s="15" t="s">
        <v>233</v>
      </c>
      <c r="K482" s="6">
        <v>0.43958333333333333</v>
      </c>
      <c r="L482" t="s">
        <v>142</v>
      </c>
      <c r="M482">
        <v>200000</v>
      </c>
      <c r="N482" t="s">
        <v>201</v>
      </c>
      <c r="O482" t="s">
        <v>152</v>
      </c>
      <c r="P482">
        <v>30</v>
      </c>
      <c r="Q482" t="s">
        <v>156</v>
      </c>
    </row>
    <row r="483" spans="1:17" x14ac:dyDescent="0.2">
      <c r="A483">
        <v>343003</v>
      </c>
      <c r="B483">
        <v>1880</v>
      </c>
      <c r="C483" s="1" t="s">
        <v>105</v>
      </c>
      <c r="D483" s="10">
        <v>44976.052777777775</v>
      </c>
      <c r="E483" t="s">
        <v>98</v>
      </c>
      <c r="F483" t="s">
        <v>90</v>
      </c>
      <c r="G483">
        <v>7628</v>
      </c>
      <c r="H483" s="5" t="s">
        <v>105</v>
      </c>
      <c r="I483" s="15">
        <v>44976</v>
      </c>
      <c r="J483" s="15" t="s">
        <v>232</v>
      </c>
      <c r="K483" s="6">
        <v>5.2777777777777778E-2</v>
      </c>
      <c r="L483" t="s">
        <v>142</v>
      </c>
      <c r="M483">
        <v>150000</v>
      </c>
      <c r="N483" t="s">
        <v>208</v>
      </c>
      <c r="O483" t="s">
        <v>152</v>
      </c>
      <c r="P483">
        <v>73</v>
      </c>
      <c r="Q483" t="s">
        <v>157</v>
      </c>
    </row>
    <row r="484" spans="1:17" x14ac:dyDescent="0.2">
      <c r="A484">
        <v>344182</v>
      </c>
      <c r="B484">
        <v>519</v>
      </c>
      <c r="C484" s="1" t="s">
        <v>100</v>
      </c>
      <c r="D484" s="10">
        <v>45127.04791666667</v>
      </c>
      <c r="E484" t="s">
        <v>96</v>
      </c>
      <c r="F484" t="s">
        <v>43</v>
      </c>
      <c r="G484">
        <v>9637</v>
      </c>
      <c r="H484" s="5" t="s">
        <v>100</v>
      </c>
      <c r="I484" s="15">
        <v>45127</v>
      </c>
      <c r="J484" s="15" t="s">
        <v>234</v>
      </c>
      <c r="K484" s="6">
        <v>4.791666666666667E-2</v>
      </c>
      <c r="L484" t="s">
        <v>145</v>
      </c>
      <c r="M484">
        <v>1000000</v>
      </c>
      <c r="N484" t="s">
        <v>203</v>
      </c>
      <c r="O484" t="s">
        <v>151</v>
      </c>
      <c r="P484">
        <v>70</v>
      </c>
      <c r="Q484" t="s">
        <v>155</v>
      </c>
    </row>
    <row r="485" spans="1:17" x14ac:dyDescent="0.2">
      <c r="A485">
        <v>347036</v>
      </c>
      <c r="B485">
        <v>1424</v>
      </c>
      <c r="C485" s="1" t="s">
        <v>105</v>
      </c>
      <c r="D485" s="10">
        <v>44971.949305555558</v>
      </c>
      <c r="E485" t="s">
        <v>98</v>
      </c>
      <c r="F485" t="s">
        <v>91</v>
      </c>
      <c r="G485">
        <v>1632</v>
      </c>
      <c r="H485" s="5" t="s">
        <v>105</v>
      </c>
      <c r="I485" s="15">
        <v>44971</v>
      </c>
      <c r="J485" s="15" t="s">
        <v>232</v>
      </c>
      <c r="K485" s="6">
        <v>0.44930555555555557</v>
      </c>
      <c r="L485" t="s">
        <v>142</v>
      </c>
      <c r="M485">
        <v>100000</v>
      </c>
      <c r="N485" t="s">
        <v>213</v>
      </c>
      <c r="O485" t="s">
        <v>151</v>
      </c>
      <c r="P485">
        <v>39</v>
      </c>
      <c r="Q485" t="s">
        <v>156</v>
      </c>
    </row>
    <row r="486" spans="1:17" x14ac:dyDescent="0.2">
      <c r="A486">
        <v>347243</v>
      </c>
      <c r="B486">
        <v>470</v>
      </c>
      <c r="C486" s="1" t="s">
        <v>99</v>
      </c>
      <c r="D486" s="10">
        <v>45079.990972222222</v>
      </c>
      <c r="E486" t="s">
        <v>98</v>
      </c>
      <c r="F486" t="s">
        <v>27</v>
      </c>
      <c r="G486">
        <v>5127</v>
      </c>
      <c r="H486" s="5" t="s">
        <v>99</v>
      </c>
      <c r="I486" s="15">
        <v>45079</v>
      </c>
      <c r="J486" s="15" t="s">
        <v>233</v>
      </c>
      <c r="K486" s="6">
        <v>0.4909722222222222</v>
      </c>
      <c r="L486" t="s">
        <v>142</v>
      </c>
      <c r="M486">
        <v>1000000</v>
      </c>
      <c r="N486" t="s">
        <v>209</v>
      </c>
      <c r="O486" t="s">
        <v>152</v>
      </c>
      <c r="P486">
        <v>32</v>
      </c>
      <c r="Q486" t="s">
        <v>154</v>
      </c>
    </row>
    <row r="487" spans="1:17" x14ac:dyDescent="0.2">
      <c r="A487">
        <v>347273</v>
      </c>
      <c r="B487">
        <v>654</v>
      </c>
      <c r="C487" s="1" t="s">
        <v>100</v>
      </c>
      <c r="D487" s="10">
        <v>45085.012499999997</v>
      </c>
      <c r="E487" t="s">
        <v>96</v>
      </c>
      <c r="F487" t="s">
        <v>36</v>
      </c>
      <c r="G487">
        <v>9105</v>
      </c>
      <c r="H487" s="5" t="s">
        <v>100</v>
      </c>
      <c r="I487" s="15">
        <v>45085</v>
      </c>
      <c r="J487" s="15" t="s">
        <v>233</v>
      </c>
      <c r="K487" s="6">
        <v>0.51249999999999996</v>
      </c>
      <c r="L487" t="s">
        <v>146</v>
      </c>
      <c r="M487">
        <v>100000</v>
      </c>
      <c r="N487" t="s">
        <v>220</v>
      </c>
      <c r="O487" t="s">
        <v>151</v>
      </c>
      <c r="P487">
        <v>51</v>
      </c>
      <c r="Q487" t="s">
        <v>155</v>
      </c>
    </row>
    <row r="488" spans="1:17" x14ac:dyDescent="0.2">
      <c r="A488">
        <v>347302</v>
      </c>
      <c r="B488">
        <v>1997</v>
      </c>
      <c r="C488" s="1" t="s">
        <v>105</v>
      </c>
      <c r="D488" s="10">
        <v>44962.008333333331</v>
      </c>
      <c r="E488" t="s">
        <v>191</v>
      </c>
      <c r="F488" t="s">
        <v>34</v>
      </c>
      <c r="G488">
        <v>4850</v>
      </c>
      <c r="H488" s="5" t="s">
        <v>105</v>
      </c>
      <c r="I488" s="15">
        <v>44962</v>
      </c>
      <c r="J488" s="15" t="s">
        <v>232</v>
      </c>
      <c r="K488" s="6">
        <v>0.5083333333333333</v>
      </c>
      <c r="L488" t="s">
        <v>144</v>
      </c>
      <c r="M488">
        <v>150000</v>
      </c>
      <c r="N488" t="s">
        <v>218</v>
      </c>
      <c r="O488" t="s">
        <v>152</v>
      </c>
      <c r="P488">
        <v>79</v>
      </c>
      <c r="Q488" t="s">
        <v>157</v>
      </c>
    </row>
    <row r="489" spans="1:17" x14ac:dyDescent="0.2">
      <c r="A489">
        <v>347767</v>
      </c>
      <c r="B489">
        <v>299</v>
      </c>
      <c r="C489" s="1" t="s">
        <v>113</v>
      </c>
      <c r="D489" s="10">
        <v>45182.986805555556</v>
      </c>
      <c r="E489" t="s">
        <v>97</v>
      </c>
      <c r="F489" t="s">
        <v>27</v>
      </c>
      <c r="G489">
        <v>6931</v>
      </c>
      <c r="H489" s="5" t="s">
        <v>113</v>
      </c>
      <c r="I489" s="15">
        <v>45182</v>
      </c>
      <c r="J489" s="15" t="s">
        <v>234</v>
      </c>
      <c r="K489" s="6">
        <v>0.48680555555555555</v>
      </c>
      <c r="L489" t="s">
        <v>142</v>
      </c>
      <c r="M489">
        <v>1000000</v>
      </c>
      <c r="N489" t="s">
        <v>209</v>
      </c>
      <c r="O489" t="s">
        <v>151</v>
      </c>
      <c r="P489">
        <v>58</v>
      </c>
      <c r="Q489" t="s">
        <v>154</v>
      </c>
    </row>
    <row r="490" spans="1:17" x14ac:dyDescent="0.2">
      <c r="A490">
        <v>348694</v>
      </c>
      <c r="B490">
        <v>1726</v>
      </c>
      <c r="C490" s="1" t="s">
        <v>105</v>
      </c>
      <c r="D490" s="10">
        <v>45071.103472222225</v>
      </c>
      <c r="E490" t="s">
        <v>191</v>
      </c>
      <c r="F490" t="s">
        <v>52</v>
      </c>
      <c r="G490">
        <v>4572</v>
      </c>
      <c r="H490" s="5" t="s">
        <v>105</v>
      </c>
      <c r="I490" s="15">
        <v>45071</v>
      </c>
      <c r="J490" s="15" t="s">
        <v>233</v>
      </c>
      <c r="K490" s="6">
        <v>0.10347222222222222</v>
      </c>
      <c r="L490" t="s">
        <v>143</v>
      </c>
      <c r="M490">
        <v>100000</v>
      </c>
      <c r="N490" t="s">
        <v>206</v>
      </c>
      <c r="O490" t="s">
        <v>152</v>
      </c>
      <c r="P490">
        <v>36</v>
      </c>
      <c r="Q490" t="s">
        <v>157</v>
      </c>
    </row>
    <row r="491" spans="1:17" x14ac:dyDescent="0.2">
      <c r="A491">
        <v>349131</v>
      </c>
      <c r="B491">
        <v>1664</v>
      </c>
      <c r="C491" s="1" t="s">
        <v>99</v>
      </c>
      <c r="D491" s="10">
        <v>45115.997916666667</v>
      </c>
      <c r="E491" t="s">
        <v>96</v>
      </c>
      <c r="F491" t="s">
        <v>40</v>
      </c>
      <c r="G491">
        <v>7000</v>
      </c>
      <c r="H491" s="5" t="s">
        <v>99</v>
      </c>
      <c r="I491" s="15">
        <v>45115</v>
      </c>
      <c r="J491" s="15" t="s">
        <v>234</v>
      </c>
      <c r="K491" s="6">
        <v>0.49791666666666667</v>
      </c>
      <c r="L491" t="s">
        <v>142</v>
      </c>
      <c r="M491">
        <v>150000</v>
      </c>
      <c r="N491" t="s">
        <v>207</v>
      </c>
      <c r="O491" t="s">
        <v>151</v>
      </c>
      <c r="P491">
        <v>27</v>
      </c>
      <c r="Q491" t="s">
        <v>157</v>
      </c>
    </row>
    <row r="492" spans="1:17" x14ac:dyDescent="0.2">
      <c r="A492">
        <v>350253</v>
      </c>
      <c r="B492">
        <v>1752</v>
      </c>
      <c r="C492" s="1" t="s">
        <v>101</v>
      </c>
      <c r="D492" s="10">
        <v>45156.954861111109</v>
      </c>
      <c r="E492" t="s">
        <v>96</v>
      </c>
      <c r="F492" t="s">
        <v>11</v>
      </c>
      <c r="G492">
        <v>9824</v>
      </c>
      <c r="H492" s="5" t="s">
        <v>101</v>
      </c>
      <c r="I492" s="15">
        <v>45156</v>
      </c>
      <c r="J492" s="15" t="s">
        <v>234</v>
      </c>
      <c r="K492" s="6">
        <v>0.4548611111111111</v>
      </c>
      <c r="L492" t="s">
        <v>143</v>
      </c>
      <c r="M492">
        <v>150000</v>
      </c>
      <c r="N492" t="s">
        <v>204</v>
      </c>
      <c r="O492" t="s">
        <v>152</v>
      </c>
      <c r="P492">
        <v>50</v>
      </c>
      <c r="Q492" t="s">
        <v>157</v>
      </c>
    </row>
    <row r="493" spans="1:17" x14ac:dyDescent="0.2">
      <c r="A493">
        <v>352076</v>
      </c>
      <c r="B493">
        <v>393</v>
      </c>
      <c r="C493" s="1" t="s">
        <v>113</v>
      </c>
      <c r="D493" s="10">
        <v>45011.99722222222</v>
      </c>
      <c r="E493" t="s">
        <v>97</v>
      </c>
      <c r="F493" t="s">
        <v>42</v>
      </c>
      <c r="G493">
        <v>4290</v>
      </c>
      <c r="H493" s="5" t="s">
        <v>113</v>
      </c>
      <c r="I493" s="15">
        <v>45011</v>
      </c>
      <c r="J493" s="15" t="s">
        <v>232</v>
      </c>
      <c r="K493" s="6">
        <v>0.49722222222222223</v>
      </c>
      <c r="L493" t="s">
        <v>144</v>
      </c>
      <c r="M493">
        <v>100000</v>
      </c>
      <c r="N493" t="s">
        <v>219</v>
      </c>
      <c r="O493" t="s">
        <v>152</v>
      </c>
      <c r="P493">
        <v>19</v>
      </c>
      <c r="Q493" t="s">
        <v>154</v>
      </c>
    </row>
    <row r="494" spans="1:17" x14ac:dyDescent="0.2">
      <c r="A494">
        <v>353096</v>
      </c>
      <c r="B494">
        <v>1590</v>
      </c>
      <c r="C494" s="1" t="s">
        <v>106</v>
      </c>
      <c r="D494" s="10">
        <v>45124.031944444447</v>
      </c>
      <c r="E494" t="s">
        <v>98</v>
      </c>
      <c r="F494" t="s">
        <v>43</v>
      </c>
      <c r="G494">
        <v>8163</v>
      </c>
      <c r="H494" s="5" t="s">
        <v>106</v>
      </c>
      <c r="I494" s="15">
        <v>45124</v>
      </c>
      <c r="J494" s="15" t="s">
        <v>234</v>
      </c>
      <c r="K494" s="6">
        <v>0.53194444444444444</v>
      </c>
      <c r="L494" t="s">
        <v>145</v>
      </c>
      <c r="M494">
        <v>1000000</v>
      </c>
      <c r="N494" t="s">
        <v>203</v>
      </c>
      <c r="O494" t="s">
        <v>151</v>
      </c>
      <c r="P494">
        <v>69</v>
      </c>
      <c r="Q494" t="s">
        <v>157</v>
      </c>
    </row>
    <row r="495" spans="1:17" x14ac:dyDescent="0.2">
      <c r="A495">
        <v>353572</v>
      </c>
      <c r="B495">
        <v>1346</v>
      </c>
      <c r="C495" s="1" t="s">
        <v>99</v>
      </c>
      <c r="D495" s="10">
        <v>44981.98333333333</v>
      </c>
      <c r="E495" t="s">
        <v>191</v>
      </c>
      <c r="F495" t="s">
        <v>44</v>
      </c>
      <c r="G495">
        <v>4976</v>
      </c>
      <c r="H495" s="5" t="s">
        <v>99</v>
      </c>
      <c r="I495" s="15">
        <v>44981</v>
      </c>
      <c r="J495" s="15" t="s">
        <v>232</v>
      </c>
      <c r="K495" s="6">
        <v>0.48333333333333334</v>
      </c>
      <c r="L495" t="s">
        <v>144</v>
      </c>
      <c r="M495">
        <v>150000</v>
      </c>
      <c r="N495" t="s">
        <v>199</v>
      </c>
      <c r="O495" t="s">
        <v>151</v>
      </c>
      <c r="P495">
        <v>81</v>
      </c>
      <c r="Q495" t="s">
        <v>156</v>
      </c>
    </row>
    <row r="496" spans="1:17" x14ac:dyDescent="0.2">
      <c r="A496">
        <v>353582</v>
      </c>
      <c r="B496">
        <v>1948</v>
      </c>
      <c r="C496" s="1" t="s">
        <v>99</v>
      </c>
      <c r="D496" s="10">
        <v>45269.999305555553</v>
      </c>
      <c r="E496" t="s">
        <v>96</v>
      </c>
      <c r="F496" t="s">
        <v>81</v>
      </c>
      <c r="G496">
        <v>5138</v>
      </c>
      <c r="H496" s="5" t="s">
        <v>99</v>
      </c>
      <c r="I496" s="15">
        <v>45269</v>
      </c>
      <c r="J496" s="15" t="s">
        <v>295</v>
      </c>
      <c r="K496" s="6">
        <v>0.49930555555555556</v>
      </c>
      <c r="L496" t="s">
        <v>143</v>
      </c>
      <c r="M496">
        <v>250000</v>
      </c>
      <c r="N496" t="s">
        <v>221</v>
      </c>
      <c r="O496" t="s">
        <v>152</v>
      </c>
      <c r="P496">
        <v>79</v>
      </c>
      <c r="Q496" t="s">
        <v>157</v>
      </c>
    </row>
    <row r="497" spans="1:17" x14ac:dyDescent="0.2">
      <c r="A497">
        <v>354439</v>
      </c>
      <c r="B497">
        <v>1014</v>
      </c>
      <c r="C497" s="1" t="s">
        <v>113</v>
      </c>
      <c r="D497" s="10">
        <v>44930.020138888889</v>
      </c>
      <c r="E497" t="s">
        <v>96</v>
      </c>
      <c r="F497" t="s">
        <v>88</v>
      </c>
      <c r="G497">
        <v>2885</v>
      </c>
      <c r="H497" s="5" t="s">
        <v>113</v>
      </c>
      <c r="I497" s="15">
        <v>44930</v>
      </c>
      <c r="J497" s="15" t="s">
        <v>232</v>
      </c>
      <c r="K497" s="6">
        <v>0.52013888888888893</v>
      </c>
      <c r="L497" t="s">
        <v>144</v>
      </c>
      <c r="M497">
        <v>100000</v>
      </c>
      <c r="N497" t="s">
        <v>200</v>
      </c>
      <c r="O497" t="s">
        <v>152</v>
      </c>
      <c r="P497">
        <v>69</v>
      </c>
      <c r="Q497" t="s">
        <v>156</v>
      </c>
    </row>
    <row r="498" spans="1:17" x14ac:dyDescent="0.2">
      <c r="A498">
        <v>354532</v>
      </c>
      <c r="B498">
        <v>419</v>
      </c>
      <c r="C498" s="1" t="s">
        <v>100</v>
      </c>
      <c r="D498" s="10">
        <v>45251.041666666664</v>
      </c>
      <c r="E498" t="s">
        <v>97</v>
      </c>
      <c r="F498" t="s">
        <v>6</v>
      </c>
      <c r="G498">
        <v>1673</v>
      </c>
      <c r="H498" s="5" t="s">
        <v>100</v>
      </c>
      <c r="I498" s="15">
        <v>45251</v>
      </c>
      <c r="J498" s="15" t="s">
        <v>295</v>
      </c>
      <c r="K498" s="6">
        <v>4.1666666666666664E-2</v>
      </c>
      <c r="L498" t="s">
        <v>144</v>
      </c>
      <c r="M498">
        <v>100000</v>
      </c>
      <c r="N498" t="s">
        <v>199</v>
      </c>
      <c r="O498" t="s">
        <v>151</v>
      </c>
      <c r="P498">
        <v>66</v>
      </c>
      <c r="Q498" t="s">
        <v>154</v>
      </c>
    </row>
    <row r="499" spans="1:17" x14ac:dyDescent="0.2">
      <c r="A499">
        <v>356612</v>
      </c>
      <c r="B499">
        <v>1636</v>
      </c>
      <c r="C499" s="1" t="s">
        <v>104</v>
      </c>
      <c r="D499" s="10">
        <v>45260.01666666667</v>
      </c>
      <c r="E499" t="s">
        <v>191</v>
      </c>
      <c r="F499" t="s">
        <v>45</v>
      </c>
      <c r="G499">
        <v>4576</v>
      </c>
      <c r="H499" s="5" t="s">
        <v>104</v>
      </c>
      <c r="I499" s="15">
        <v>45260</v>
      </c>
      <c r="J499" s="15" t="s">
        <v>295</v>
      </c>
      <c r="K499" s="6">
        <v>0.51666666666666672</v>
      </c>
      <c r="L499" t="s">
        <v>142</v>
      </c>
      <c r="M499">
        <v>100000</v>
      </c>
      <c r="N499" t="s">
        <v>197</v>
      </c>
      <c r="O499" t="s">
        <v>152</v>
      </c>
      <c r="P499">
        <v>20</v>
      </c>
      <c r="Q499" t="s">
        <v>157</v>
      </c>
    </row>
    <row r="500" spans="1:17" x14ac:dyDescent="0.2">
      <c r="A500">
        <v>360154</v>
      </c>
      <c r="B500">
        <v>638</v>
      </c>
      <c r="C500" s="1" t="s">
        <v>100</v>
      </c>
      <c r="D500" s="10">
        <v>45070.034722222219</v>
      </c>
      <c r="E500" t="s">
        <v>96</v>
      </c>
      <c r="F500" t="s">
        <v>27</v>
      </c>
      <c r="G500">
        <v>9618</v>
      </c>
      <c r="H500" s="5" t="s">
        <v>100</v>
      </c>
      <c r="I500" s="15">
        <v>45070</v>
      </c>
      <c r="J500" s="15" t="s">
        <v>233</v>
      </c>
      <c r="K500" s="6">
        <v>0.53472222222222221</v>
      </c>
      <c r="L500" t="s">
        <v>142</v>
      </c>
      <c r="M500">
        <v>1000000</v>
      </c>
      <c r="N500" t="s">
        <v>209</v>
      </c>
      <c r="O500" t="s">
        <v>151</v>
      </c>
      <c r="P500">
        <v>65</v>
      </c>
      <c r="Q500" t="s">
        <v>155</v>
      </c>
    </row>
    <row r="501" spans="1:17" x14ac:dyDescent="0.2">
      <c r="A501">
        <v>361590</v>
      </c>
      <c r="B501">
        <v>1452</v>
      </c>
      <c r="C501" s="1" t="s">
        <v>100</v>
      </c>
      <c r="D501" s="10">
        <v>45223.97152777778</v>
      </c>
      <c r="E501" t="s">
        <v>191</v>
      </c>
      <c r="F501" t="s">
        <v>46</v>
      </c>
      <c r="G501">
        <v>2425</v>
      </c>
      <c r="H501" s="5" t="s">
        <v>100</v>
      </c>
      <c r="I501" s="15">
        <v>45223</v>
      </c>
      <c r="J501" s="15" t="s">
        <v>295</v>
      </c>
      <c r="K501" s="6">
        <v>0.47152777777777777</v>
      </c>
      <c r="L501" t="s">
        <v>142</v>
      </c>
      <c r="M501">
        <v>200000</v>
      </c>
      <c r="N501" t="s">
        <v>211</v>
      </c>
      <c r="O501" t="s">
        <v>152</v>
      </c>
      <c r="P501">
        <v>22</v>
      </c>
      <c r="Q501" t="s">
        <v>156</v>
      </c>
    </row>
    <row r="502" spans="1:17" x14ac:dyDescent="0.2">
      <c r="A502">
        <v>361964</v>
      </c>
      <c r="B502">
        <v>147</v>
      </c>
      <c r="C502" s="1" t="s">
        <v>99</v>
      </c>
      <c r="D502" s="10">
        <v>44977.025000000001</v>
      </c>
      <c r="E502" t="s">
        <v>97</v>
      </c>
      <c r="F502" t="s">
        <v>22</v>
      </c>
      <c r="G502">
        <v>2602</v>
      </c>
      <c r="H502" s="5" t="s">
        <v>99</v>
      </c>
      <c r="I502" s="15">
        <v>44977</v>
      </c>
      <c r="J502" s="15" t="s">
        <v>232</v>
      </c>
      <c r="K502" s="6">
        <v>0.52500000000000002</v>
      </c>
      <c r="L502" t="s">
        <v>144</v>
      </c>
      <c r="M502">
        <v>100000</v>
      </c>
      <c r="N502" t="s">
        <v>202</v>
      </c>
      <c r="O502" t="s">
        <v>152</v>
      </c>
      <c r="P502">
        <v>29</v>
      </c>
      <c r="Q502" t="s">
        <v>154</v>
      </c>
    </row>
    <row r="503" spans="1:17" x14ac:dyDescent="0.2">
      <c r="A503">
        <v>362049</v>
      </c>
      <c r="B503">
        <v>1594</v>
      </c>
      <c r="C503" s="1" t="s">
        <v>101</v>
      </c>
      <c r="D503" s="10">
        <v>44983.061805555553</v>
      </c>
      <c r="E503" t="s">
        <v>96</v>
      </c>
      <c r="F503" t="s">
        <v>15</v>
      </c>
      <c r="G503">
        <v>4382</v>
      </c>
      <c r="H503" s="5" t="s">
        <v>101</v>
      </c>
      <c r="I503" s="15">
        <v>44983</v>
      </c>
      <c r="J503" s="15" t="s">
        <v>232</v>
      </c>
      <c r="K503" s="6">
        <v>6.1805555555555558E-2</v>
      </c>
      <c r="L503" t="s">
        <v>143</v>
      </c>
      <c r="M503">
        <v>150000</v>
      </c>
      <c r="N503" t="s">
        <v>198</v>
      </c>
      <c r="O503" t="s">
        <v>151</v>
      </c>
      <c r="P503">
        <v>27</v>
      </c>
      <c r="Q503" t="s">
        <v>157</v>
      </c>
    </row>
    <row r="504" spans="1:17" x14ac:dyDescent="0.2">
      <c r="A504">
        <v>363155</v>
      </c>
      <c r="B504">
        <v>416</v>
      </c>
      <c r="C504" s="1" t="s">
        <v>113</v>
      </c>
      <c r="D504" s="10">
        <v>44945.038888888892</v>
      </c>
      <c r="E504" t="s">
        <v>191</v>
      </c>
      <c r="F504" t="s">
        <v>12</v>
      </c>
      <c r="G504">
        <v>3033</v>
      </c>
      <c r="H504" s="5" t="s">
        <v>113</v>
      </c>
      <c r="I504" s="15">
        <v>44945</v>
      </c>
      <c r="J504" s="15" t="s">
        <v>232</v>
      </c>
      <c r="K504" s="6">
        <v>0.53888888888888886</v>
      </c>
      <c r="L504" t="s">
        <v>143</v>
      </c>
      <c r="M504">
        <v>150000</v>
      </c>
      <c r="N504" t="s">
        <v>205</v>
      </c>
      <c r="O504" t="s">
        <v>152</v>
      </c>
      <c r="P504">
        <v>64</v>
      </c>
      <c r="Q504" t="s">
        <v>154</v>
      </c>
    </row>
    <row r="505" spans="1:17" x14ac:dyDescent="0.2">
      <c r="A505">
        <v>363439</v>
      </c>
      <c r="B505">
        <v>1150</v>
      </c>
      <c r="C505" s="1" t="s">
        <v>99</v>
      </c>
      <c r="D505" s="10">
        <v>45120.991666666669</v>
      </c>
      <c r="E505" t="s">
        <v>98</v>
      </c>
      <c r="F505" t="s">
        <v>29</v>
      </c>
      <c r="G505">
        <v>8067</v>
      </c>
      <c r="H505" s="5" t="s">
        <v>99</v>
      </c>
      <c r="I505" s="15">
        <v>45120</v>
      </c>
      <c r="J505" s="15" t="s">
        <v>234</v>
      </c>
      <c r="K505" s="6">
        <v>0.49166666666666664</v>
      </c>
      <c r="L505" t="s">
        <v>143</v>
      </c>
      <c r="M505">
        <v>150000</v>
      </c>
      <c r="N505" t="s">
        <v>214</v>
      </c>
      <c r="O505" t="s">
        <v>151</v>
      </c>
      <c r="P505">
        <v>77</v>
      </c>
      <c r="Q505" t="s">
        <v>156</v>
      </c>
    </row>
    <row r="506" spans="1:17" x14ac:dyDescent="0.2">
      <c r="A506">
        <v>363764</v>
      </c>
      <c r="B506">
        <v>927</v>
      </c>
      <c r="C506" s="1" t="s">
        <v>113</v>
      </c>
      <c r="D506" s="10">
        <v>45097.015972222223</v>
      </c>
      <c r="E506" t="s">
        <v>98</v>
      </c>
      <c r="F506" t="s">
        <v>24</v>
      </c>
      <c r="G506">
        <v>6014</v>
      </c>
      <c r="H506" s="5" t="s">
        <v>113</v>
      </c>
      <c r="I506" s="15">
        <v>45097</v>
      </c>
      <c r="J506" s="15" t="s">
        <v>233</v>
      </c>
      <c r="K506" s="6">
        <v>0.51597222222222228</v>
      </c>
      <c r="L506" t="s">
        <v>143</v>
      </c>
      <c r="M506">
        <v>200000</v>
      </c>
      <c r="N506" t="s">
        <v>214</v>
      </c>
      <c r="O506" t="s">
        <v>151</v>
      </c>
      <c r="P506">
        <v>77</v>
      </c>
      <c r="Q506" t="s">
        <v>155</v>
      </c>
    </row>
    <row r="507" spans="1:17" x14ac:dyDescent="0.2">
      <c r="A507">
        <v>364332</v>
      </c>
      <c r="B507">
        <v>1169</v>
      </c>
      <c r="C507" s="1" t="s">
        <v>100</v>
      </c>
      <c r="D507" s="10">
        <v>44981.041666666664</v>
      </c>
      <c r="E507" t="s">
        <v>96</v>
      </c>
      <c r="F507" t="s">
        <v>86</v>
      </c>
      <c r="G507">
        <v>6539</v>
      </c>
      <c r="H507" s="5" t="s">
        <v>100</v>
      </c>
      <c r="I507" s="15">
        <v>44981</v>
      </c>
      <c r="J507" s="15" t="s">
        <v>232</v>
      </c>
      <c r="K507" s="6">
        <v>4.1666666666666664E-2</v>
      </c>
      <c r="L507" t="s">
        <v>144</v>
      </c>
      <c r="M507">
        <v>100000</v>
      </c>
      <c r="N507" t="s">
        <v>216</v>
      </c>
      <c r="O507" t="s">
        <v>151</v>
      </c>
      <c r="P507">
        <v>26</v>
      </c>
      <c r="Q507" t="s">
        <v>156</v>
      </c>
    </row>
    <row r="508" spans="1:17" x14ac:dyDescent="0.2">
      <c r="A508">
        <v>365101</v>
      </c>
      <c r="B508">
        <v>1475</v>
      </c>
      <c r="C508" s="1" t="s">
        <v>105</v>
      </c>
      <c r="D508" s="10">
        <v>44971.961111111108</v>
      </c>
      <c r="E508" t="s">
        <v>97</v>
      </c>
      <c r="F508" t="s">
        <v>8</v>
      </c>
      <c r="G508">
        <v>433</v>
      </c>
      <c r="H508" s="5" t="s">
        <v>105</v>
      </c>
      <c r="I508" s="15">
        <v>44971</v>
      </c>
      <c r="J508" s="15" t="s">
        <v>232</v>
      </c>
      <c r="K508" s="6">
        <v>0.46111111111111114</v>
      </c>
      <c r="L508" t="s">
        <v>142</v>
      </c>
      <c r="M508">
        <v>200000</v>
      </c>
      <c r="N508" t="s">
        <v>201</v>
      </c>
      <c r="O508" t="s">
        <v>152</v>
      </c>
      <c r="P508">
        <v>25</v>
      </c>
      <c r="Q508" t="s">
        <v>156</v>
      </c>
    </row>
    <row r="509" spans="1:17" x14ac:dyDescent="0.2">
      <c r="A509">
        <v>365117</v>
      </c>
      <c r="B509">
        <v>1415</v>
      </c>
      <c r="C509" s="1" t="s">
        <v>100</v>
      </c>
      <c r="D509" s="10">
        <v>45063.980555555558</v>
      </c>
      <c r="E509" t="s">
        <v>97</v>
      </c>
      <c r="F509" t="s">
        <v>90</v>
      </c>
      <c r="G509">
        <v>5905</v>
      </c>
      <c r="H509" s="5" t="s">
        <v>100</v>
      </c>
      <c r="I509" s="15">
        <v>45063</v>
      </c>
      <c r="J509" s="15" t="s">
        <v>233</v>
      </c>
      <c r="K509" s="6">
        <v>0.48055555555555557</v>
      </c>
      <c r="L509" t="s">
        <v>142</v>
      </c>
      <c r="M509">
        <v>150000</v>
      </c>
      <c r="N509" t="s">
        <v>208</v>
      </c>
      <c r="O509" t="s">
        <v>152</v>
      </c>
      <c r="P509">
        <v>71</v>
      </c>
      <c r="Q509" t="s">
        <v>156</v>
      </c>
    </row>
    <row r="510" spans="1:17" x14ac:dyDescent="0.2">
      <c r="A510">
        <v>365718</v>
      </c>
      <c r="B510">
        <v>1080</v>
      </c>
      <c r="C510" s="1" t="s">
        <v>113</v>
      </c>
      <c r="D510" s="10">
        <v>45197.949305555558</v>
      </c>
      <c r="E510" t="s">
        <v>98</v>
      </c>
      <c r="F510" t="s">
        <v>43</v>
      </c>
      <c r="G510">
        <v>5697</v>
      </c>
      <c r="H510" s="5" t="s">
        <v>113</v>
      </c>
      <c r="I510" s="15">
        <v>45197</v>
      </c>
      <c r="J510" s="15" t="s">
        <v>234</v>
      </c>
      <c r="K510" s="6">
        <v>0.44930555555555557</v>
      </c>
      <c r="L510" t="s">
        <v>145</v>
      </c>
      <c r="M510">
        <v>1000000</v>
      </c>
      <c r="N510" t="s">
        <v>203</v>
      </c>
      <c r="O510" t="s">
        <v>151</v>
      </c>
      <c r="P510">
        <v>78</v>
      </c>
      <c r="Q510" t="s">
        <v>156</v>
      </c>
    </row>
    <row r="511" spans="1:17" x14ac:dyDescent="0.2">
      <c r="A511">
        <v>366083</v>
      </c>
      <c r="B511">
        <v>1680</v>
      </c>
      <c r="C511" s="1" t="s">
        <v>99</v>
      </c>
      <c r="D511" s="10">
        <v>44972.05</v>
      </c>
      <c r="E511" t="s">
        <v>96</v>
      </c>
      <c r="F511" t="s">
        <v>91</v>
      </c>
      <c r="G511">
        <v>8672</v>
      </c>
      <c r="H511" s="5" t="s">
        <v>99</v>
      </c>
      <c r="I511" s="15">
        <v>44972</v>
      </c>
      <c r="J511" s="15" t="s">
        <v>232</v>
      </c>
      <c r="K511" s="6">
        <v>0.05</v>
      </c>
      <c r="L511" t="s">
        <v>142</v>
      </c>
      <c r="M511">
        <v>100000</v>
      </c>
      <c r="N511" t="s">
        <v>213</v>
      </c>
      <c r="O511" t="s">
        <v>151</v>
      </c>
      <c r="P511">
        <v>41</v>
      </c>
      <c r="Q511" t="s">
        <v>157</v>
      </c>
    </row>
    <row r="512" spans="1:17" x14ac:dyDescent="0.2">
      <c r="A512">
        <v>366394</v>
      </c>
      <c r="B512">
        <v>1048</v>
      </c>
      <c r="C512" s="1" t="s">
        <v>113</v>
      </c>
      <c r="D512" s="10">
        <v>45170.03125</v>
      </c>
      <c r="E512" t="s">
        <v>96</v>
      </c>
      <c r="F512" t="s">
        <v>27</v>
      </c>
      <c r="G512">
        <v>3380</v>
      </c>
      <c r="H512" s="5" t="s">
        <v>113</v>
      </c>
      <c r="I512" s="15">
        <v>45170</v>
      </c>
      <c r="J512" s="15" t="s">
        <v>234</v>
      </c>
      <c r="K512" s="6">
        <v>0.53125</v>
      </c>
      <c r="L512" t="s">
        <v>142</v>
      </c>
      <c r="M512">
        <v>1000000</v>
      </c>
      <c r="N512" t="s">
        <v>209</v>
      </c>
      <c r="O512" t="s">
        <v>152</v>
      </c>
      <c r="P512">
        <v>26</v>
      </c>
      <c r="Q512" t="s">
        <v>156</v>
      </c>
    </row>
    <row r="513" spans="1:17" x14ac:dyDescent="0.2">
      <c r="A513">
        <v>366719</v>
      </c>
      <c r="B513">
        <v>1505</v>
      </c>
      <c r="C513" s="1" t="s">
        <v>99</v>
      </c>
      <c r="D513" s="10">
        <v>44989.960416666669</v>
      </c>
      <c r="E513" t="s">
        <v>96</v>
      </c>
      <c r="F513" t="s">
        <v>36</v>
      </c>
      <c r="G513">
        <v>7878</v>
      </c>
      <c r="H513" s="5" t="s">
        <v>99</v>
      </c>
      <c r="I513" s="15">
        <v>44989</v>
      </c>
      <c r="J513" s="15" t="s">
        <v>232</v>
      </c>
      <c r="K513" s="6">
        <v>0.46041666666666664</v>
      </c>
      <c r="L513" t="s">
        <v>146</v>
      </c>
      <c r="M513">
        <v>100000</v>
      </c>
      <c r="N513" t="s">
        <v>220</v>
      </c>
      <c r="O513" t="s">
        <v>151</v>
      </c>
      <c r="P513">
        <v>48</v>
      </c>
      <c r="Q513" t="s">
        <v>157</v>
      </c>
    </row>
    <row r="514" spans="1:17" x14ac:dyDescent="0.2">
      <c r="A514">
        <v>367308</v>
      </c>
      <c r="B514">
        <v>1355</v>
      </c>
      <c r="C514" s="1" t="s">
        <v>105</v>
      </c>
      <c r="D514" s="10">
        <v>44941.098611111112</v>
      </c>
      <c r="E514" t="s">
        <v>96</v>
      </c>
      <c r="F514" t="s">
        <v>34</v>
      </c>
      <c r="G514">
        <v>6648</v>
      </c>
      <c r="H514" s="5" t="s">
        <v>105</v>
      </c>
      <c r="I514" s="15">
        <v>44941</v>
      </c>
      <c r="J514" s="15" t="s">
        <v>232</v>
      </c>
      <c r="K514" s="6">
        <v>9.8611111111111108E-2</v>
      </c>
      <c r="L514" t="s">
        <v>144</v>
      </c>
      <c r="M514">
        <v>150000</v>
      </c>
      <c r="N514" t="s">
        <v>218</v>
      </c>
      <c r="O514" t="s">
        <v>151</v>
      </c>
      <c r="P514">
        <v>83</v>
      </c>
      <c r="Q514" t="s">
        <v>156</v>
      </c>
    </row>
    <row r="515" spans="1:17" x14ac:dyDescent="0.2">
      <c r="A515">
        <v>368229</v>
      </c>
      <c r="B515">
        <v>1318</v>
      </c>
      <c r="C515" s="1" t="s">
        <v>99</v>
      </c>
      <c r="D515" s="10">
        <v>45249.984027777777</v>
      </c>
      <c r="E515" t="s">
        <v>97</v>
      </c>
      <c r="F515" t="s">
        <v>27</v>
      </c>
      <c r="G515">
        <v>4702</v>
      </c>
      <c r="H515" s="5" t="s">
        <v>99</v>
      </c>
      <c r="I515" s="15">
        <v>45249</v>
      </c>
      <c r="J515" s="15" t="s">
        <v>295</v>
      </c>
      <c r="K515" s="6">
        <v>0.48402777777777778</v>
      </c>
      <c r="L515" t="s">
        <v>142</v>
      </c>
      <c r="M515">
        <v>1000000</v>
      </c>
      <c r="N515" t="s">
        <v>209</v>
      </c>
      <c r="O515" t="s">
        <v>151</v>
      </c>
      <c r="P515">
        <v>24</v>
      </c>
      <c r="Q515" t="s">
        <v>156</v>
      </c>
    </row>
    <row r="516" spans="1:17" x14ac:dyDescent="0.2">
      <c r="A516">
        <v>368675</v>
      </c>
      <c r="B516">
        <v>1109</v>
      </c>
      <c r="C516" s="1" t="s">
        <v>113</v>
      </c>
      <c r="D516" s="10">
        <v>45216.988888888889</v>
      </c>
      <c r="E516" t="s">
        <v>98</v>
      </c>
      <c r="F516" t="s">
        <v>52</v>
      </c>
      <c r="G516">
        <v>6922</v>
      </c>
      <c r="H516" s="5" t="s">
        <v>113</v>
      </c>
      <c r="I516" s="15">
        <v>45216</v>
      </c>
      <c r="J516" s="15" t="s">
        <v>295</v>
      </c>
      <c r="K516" s="6">
        <v>0.48888888888888887</v>
      </c>
      <c r="L516" t="s">
        <v>143</v>
      </c>
      <c r="M516">
        <v>100000</v>
      </c>
      <c r="N516" t="s">
        <v>206</v>
      </c>
      <c r="O516" t="s">
        <v>152</v>
      </c>
      <c r="P516">
        <v>86</v>
      </c>
      <c r="Q516" t="s">
        <v>156</v>
      </c>
    </row>
    <row r="517" spans="1:17" x14ac:dyDescent="0.2">
      <c r="A517">
        <v>369020</v>
      </c>
      <c r="B517">
        <v>1740</v>
      </c>
      <c r="C517" s="1" t="s">
        <v>99</v>
      </c>
      <c r="D517" s="10">
        <v>45189.043749999997</v>
      </c>
      <c r="E517" t="s">
        <v>98</v>
      </c>
      <c r="F517" t="s">
        <v>40</v>
      </c>
      <c r="G517">
        <v>8651</v>
      </c>
      <c r="H517" s="5" t="s">
        <v>99</v>
      </c>
      <c r="I517" s="15">
        <v>45189</v>
      </c>
      <c r="J517" s="15" t="s">
        <v>234</v>
      </c>
      <c r="K517" s="6">
        <v>4.3749999999999997E-2</v>
      </c>
      <c r="L517" t="s">
        <v>142</v>
      </c>
      <c r="M517">
        <v>150000</v>
      </c>
      <c r="N517" t="s">
        <v>207</v>
      </c>
      <c r="O517" t="s">
        <v>152</v>
      </c>
      <c r="P517">
        <v>25</v>
      </c>
      <c r="Q517" t="s">
        <v>157</v>
      </c>
    </row>
    <row r="518" spans="1:17" x14ac:dyDescent="0.2">
      <c r="A518">
        <v>369311</v>
      </c>
      <c r="B518">
        <v>1985</v>
      </c>
      <c r="C518" s="1" t="s">
        <v>100</v>
      </c>
      <c r="D518" s="10">
        <v>45259.056250000001</v>
      </c>
      <c r="E518" t="s">
        <v>191</v>
      </c>
      <c r="F518" t="s">
        <v>11</v>
      </c>
      <c r="G518">
        <v>5332</v>
      </c>
      <c r="H518" s="5" t="s">
        <v>100</v>
      </c>
      <c r="I518" s="15">
        <v>45259</v>
      </c>
      <c r="J518" s="15" t="s">
        <v>295</v>
      </c>
      <c r="K518" s="6">
        <v>5.6250000000000001E-2</v>
      </c>
      <c r="L518" t="s">
        <v>143</v>
      </c>
      <c r="M518">
        <v>150000</v>
      </c>
      <c r="N518" t="s">
        <v>204</v>
      </c>
      <c r="O518" t="s">
        <v>151</v>
      </c>
      <c r="P518">
        <v>49</v>
      </c>
      <c r="Q518" t="s">
        <v>157</v>
      </c>
    </row>
    <row r="519" spans="1:17" x14ac:dyDescent="0.2">
      <c r="A519">
        <v>370729</v>
      </c>
      <c r="B519">
        <v>1170</v>
      </c>
      <c r="C519" s="1" t="s">
        <v>109</v>
      </c>
      <c r="D519" s="10">
        <v>44982.083333333336</v>
      </c>
      <c r="E519" t="s">
        <v>97</v>
      </c>
      <c r="F519" t="s">
        <v>42</v>
      </c>
      <c r="G519">
        <v>2725</v>
      </c>
      <c r="H519" s="5" t="s">
        <v>109</v>
      </c>
      <c r="I519" s="15">
        <v>44982</v>
      </c>
      <c r="J519" s="15" t="s">
        <v>232</v>
      </c>
      <c r="K519" s="6">
        <v>8.3333333333333329E-2</v>
      </c>
      <c r="L519" t="s">
        <v>144</v>
      </c>
      <c r="M519">
        <v>100000</v>
      </c>
      <c r="N519" t="s">
        <v>219</v>
      </c>
      <c r="O519" t="s">
        <v>152</v>
      </c>
      <c r="P519">
        <v>65</v>
      </c>
      <c r="Q519" t="s">
        <v>156</v>
      </c>
    </row>
    <row r="520" spans="1:17" x14ac:dyDescent="0.2">
      <c r="A520">
        <v>372217</v>
      </c>
      <c r="B520">
        <v>43</v>
      </c>
      <c r="C520" s="1" t="s">
        <v>106</v>
      </c>
      <c r="D520" s="10">
        <v>45188.97152777778</v>
      </c>
      <c r="E520" t="s">
        <v>96</v>
      </c>
      <c r="F520" t="s">
        <v>43</v>
      </c>
      <c r="G520">
        <v>6713</v>
      </c>
      <c r="H520" s="5" t="s">
        <v>106</v>
      </c>
      <c r="I520" s="15">
        <v>45188</v>
      </c>
      <c r="J520" s="15" t="s">
        <v>234</v>
      </c>
      <c r="K520" s="6">
        <v>0.47152777777777777</v>
      </c>
      <c r="L520" t="s">
        <v>145</v>
      </c>
      <c r="M520">
        <v>1000000</v>
      </c>
      <c r="N520" t="s">
        <v>203</v>
      </c>
      <c r="O520" t="s">
        <v>152</v>
      </c>
      <c r="P520">
        <v>55</v>
      </c>
      <c r="Q520" t="s">
        <v>154</v>
      </c>
    </row>
    <row r="521" spans="1:17" x14ac:dyDescent="0.2">
      <c r="A521">
        <v>373284</v>
      </c>
      <c r="B521">
        <v>879</v>
      </c>
      <c r="C521" s="1" t="s">
        <v>99</v>
      </c>
      <c r="D521" s="10">
        <v>44950.95208333333</v>
      </c>
      <c r="E521" t="s">
        <v>98</v>
      </c>
      <c r="F521" t="s">
        <v>44</v>
      </c>
      <c r="G521">
        <v>4368</v>
      </c>
      <c r="H521" s="5" t="s">
        <v>99</v>
      </c>
      <c r="I521" s="15">
        <v>44950</v>
      </c>
      <c r="J521" s="15" t="s">
        <v>232</v>
      </c>
      <c r="K521" s="6">
        <v>0.45208333333333334</v>
      </c>
      <c r="L521" t="s">
        <v>144</v>
      </c>
      <c r="M521">
        <v>150000</v>
      </c>
      <c r="N521" t="s">
        <v>199</v>
      </c>
      <c r="O521" t="s">
        <v>152</v>
      </c>
      <c r="P521">
        <v>70</v>
      </c>
      <c r="Q521" t="s">
        <v>155</v>
      </c>
    </row>
    <row r="522" spans="1:17" x14ac:dyDescent="0.2">
      <c r="A522">
        <v>373452</v>
      </c>
      <c r="B522">
        <v>1209</v>
      </c>
      <c r="C522" s="1" t="s">
        <v>102</v>
      </c>
      <c r="D522" s="10">
        <v>45135.925000000003</v>
      </c>
      <c r="E522" t="s">
        <v>192</v>
      </c>
      <c r="F522" t="s">
        <v>81</v>
      </c>
      <c r="G522">
        <v>8190</v>
      </c>
      <c r="H522" s="5" t="s">
        <v>102</v>
      </c>
      <c r="I522" s="15">
        <v>45135</v>
      </c>
      <c r="J522" s="15" t="s">
        <v>234</v>
      </c>
      <c r="K522" s="6">
        <v>0.42499999999999999</v>
      </c>
      <c r="L522" t="s">
        <v>143</v>
      </c>
      <c r="M522">
        <v>250000</v>
      </c>
      <c r="N522" t="s">
        <v>221</v>
      </c>
      <c r="O522" t="s">
        <v>151</v>
      </c>
      <c r="P522">
        <v>38</v>
      </c>
      <c r="Q522" t="s">
        <v>156</v>
      </c>
    </row>
    <row r="523" spans="1:17" x14ac:dyDescent="0.2">
      <c r="A523">
        <v>373612</v>
      </c>
      <c r="B523">
        <v>1567</v>
      </c>
      <c r="C523" s="1" t="s">
        <v>99</v>
      </c>
      <c r="D523" s="10">
        <v>45066.981944444444</v>
      </c>
      <c r="E523" t="s">
        <v>97</v>
      </c>
      <c r="F523" t="s">
        <v>14</v>
      </c>
      <c r="G523">
        <v>9653</v>
      </c>
      <c r="H523" s="5" t="s">
        <v>99</v>
      </c>
      <c r="I523" s="15">
        <v>45066</v>
      </c>
      <c r="J523" s="15" t="s">
        <v>233</v>
      </c>
      <c r="K523" s="6">
        <v>0.48194444444444445</v>
      </c>
      <c r="L523" t="s">
        <v>142</v>
      </c>
      <c r="M523">
        <v>250000</v>
      </c>
      <c r="N523" t="s">
        <v>207</v>
      </c>
      <c r="O523" t="s">
        <v>151</v>
      </c>
      <c r="P523">
        <v>25</v>
      </c>
      <c r="Q523" t="s">
        <v>157</v>
      </c>
    </row>
    <row r="524" spans="1:17" x14ac:dyDescent="0.2">
      <c r="A524">
        <v>374946</v>
      </c>
      <c r="B524">
        <v>931</v>
      </c>
      <c r="C524" s="1" t="s">
        <v>99</v>
      </c>
      <c r="D524" s="10">
        <v>45186.026388888888</v>
      </c>
      <c r="E524" t="s">
        <v>191</v>
      </c>
      <c r="F524" t="s">
        <v>6</v>
      </c>
      <c r="G524">
        <v>8553</v>
      </c>
      <c r="H524" s="5" t="s">
        <v>99</v>
      </c>
      <c r="I524" s="15">
        <v>45186</v>
      </c>
      <c r="J524" s="15" t="s">
        <v>234</v>
      </c>
      <c r="K524" s="6">
        <v>0.52638888888888891</v>
      </c>
      <c r="L524" t="s">
        <v>144</v>
      </c>
      <c r="M524">
        <v>100000</v>
      </c>
      <c r="N524" t="s">
        <v>199</v>
      </c>
      <c r="O524" t="s">
        <v>152</v>
      </c>
      <c r="P524">
        <v>58</v>
      </c>
      <c r="Q524" t="s">
        <v>155</v>
      </c>
    </row>
    <row r="525" spans="1:17" x14ac:dyDescent="0.2">
      <c r="A525">
        <v>375276</v>
      </c>
      <c r="B525">
        <v>1524</v>
      </c>
      <c r="C525" s="1" t="s">
        <v>100</v>
      </c>
      <c r="D525" s="10">
        <v>45037.052777777775</v>
      </c>
      <c r="E525" t="s">
        <v>97</v>
      </c>
      <c r="F525" t="s">
        <v>45</v>
      </c>
      <c r="G525">
        <v>4766</v>
      </c>
      <c r="H525" s="5" t="s">
        <v>100</v>
      </c>
      <c r="I525" s="15">
        <v>45037</v>
      </c>
      <c r="J525" s="15" t="s">
        <v>233</v>
      </c>
      <c r="K525" s="6">
        <v>5.2777777777777778E-2</v>
      </c>
      <c r="L525" t="s">
        <v>142</v>
      </c>
      <c r="M525">
        <v>100000</v>
      </c>
      <c r="N525" t="s">
        <v>197</v>
      </c>
      <c r="O525" t="s">
        <v>152</v>
      </c>
      <c r="P525">
        <v>75</v>
      </c>
      <c r="Q525" t="s">
        <v>157</v>
      </c>
    </row>
    <row r="526" spans="1:17" x14ac:dyDescent="0.2">
      <c r="A526">
        <v>375561</v>
      </c>
      <c r="B526">
        <v>599</v>
      </c>
      <c r="C526" s="1" t="s">
        <v>101</v>
      </c>
      <c r="D526" s="10">
        <v>45289.01666666667</v>
      </c>
      <c r="E526" t="s">
        <v>97</v>
      </c>
      <c r="F526" t="s">
        <v>8</v>
      </c>
      <c r="G526">
        <v>3609</v>
      </c>
      <c r="H526" s="5" t="s">
        <v>101</v>
      </c>
      <c r="I526" s="15">
        <v>45289</v>
      </c>
      <c r="J526" s="15" t="s">
        <v>295</v>
      </c>
      <c r="K526" s="6">
        <v>0.51666666666666672</v>
      </c>
      <c r="L526" t="s">
        <v>142</v>
      </c>
      <c r="M526">
        <v>200000</v>
      </c>
      <c r="N526" t="s">
        <v>201</v>
      </c>
      <c r="O526" t="s">
        <v>152</v>
      </c>
      <c r="P526">
        <v>32</v>
      </c>
      <c r="Q526" t="s">
        <v>155</v>
      </c>
    </row>
    <row r="527" spans="1:17" x14ac:dyDescent="0.2">
      <c r="A527">
        <v>376848</v>
      </c>
      <c r="B527">
        <v>1893</v>
      </c>
      <c r="C527" s="1" t="s">
        <v>101</v>
      </c>
      <c r="D527" s="10">
        <v>45098.030555555553</v>
      </c>
      <c r="E527" t="s">
        <v>191</v>
      </c>
      <c r="F527" t="s">
        <v>46</v>
      </c>
      <c r="G527">
        <v>2298</v>
      </c>
      <c r="H527" s="5" t="s">
        <v>101</v>
      </c>
      <c r="I527" s="15">
        <v>45098</v>
      </c>
      <c r="J527" s="15" t="s">
        <v>233</v>
      </c>
      <c r="K527" s="6">
        <v>0.53055555555555556</v>
      </c>
      <c r="L527" t="s">
        <v>142</v>
      </c>
      <c r="M527">
        <v>200000</v>
      </c>
      <c r="N527" t="s">
        <v>211</v>
      </c>
      <c r="O527" t="s">
        <v>151</v>
      </c>
      <c r="P527">
        <v>47</v>
      </c>
      <c r="Q527" t="s">
        <v>157</v>
      </c>
    </row>
    <row r="528" spans="1:17" x14ac:dyDescent="0.2">
      <c r="A528">
        <v>378945</v>
      </c>
      <c r="B528">
        <v>1964</v>
      </c>
      <c r="C528" s="1" t="s">
        <v>105</v>
      </c>
      <c r="D528" s="10">
        <v>45139.98541666667</v>
      </c>
      <c r="E528" t="s">
        <v>96</v>
      </c>
      <c r="F528" t="s">
        <v>22</v>
      </c>
      <c r="G528">
        <v>2444</v>
      </c>
      <c r="H528" s="5" t="s">
        <v>105</v>
      </c>
      <c r="I528" s="15">
        <v>45139</v>
      </c>
      <c r="J528" s="15" t="s">
        <v>234</v>
      </c>
      <c r="K528" s="6">
        <v>0.48541666666666666</v>
      </c>
      <c r="L528" t="s">
        <v>144</v>
      </c>
      <c r="M528">
        <v>100000</v>
      </c>
      <c r="N528" t="s">
        <v>202</v>
      </c>
      <c r="O528" t="s">
        <v>152</v>
      </c>
      <c r="P528">
        <v>32</v>
      </c>
      <c r="Q528" t="s">
        <v>157</v>
      </c>
    </row>
    <row r="529" spans="1:17" x14ac:dyDescent="0.2">
      <c r="A529">
        <v>379416</v>
      </c>
      <c r="B529">
        <v>1873</v>
      </c>
      <c r="C529" s="1" t="s">
        <v>101</v>
      </c>
      <c r="D529" s="10">
        <v>45073.017361111109</v>
      </c>
      <c r="E529" t="s">
        <v>96</v>
      </c>
      <c r="F529" t="s">
        <v>81</v>
      </c>
      <c r="G529">
        <v>7996</v>
      </c>
      <c r="H529" s="5" t="s">
        <v>101</v>
      </c>
      <c r="I529" s="15">
        <v>45073</v>
      </c>
      <c r="J529" s="15" t="s">
        <v>233</v>
      </c>
      <c r="K529" s="6">
        <v>0.51736111111111116</v>
      </c>
      <c r="L529" t="s">
        <v>143</v>
      </c>
      <c r="M529">
        <v>250000</v>
      </c>
      <c r="N529" t="s">
        <v>221</v>
      </c>
      <c r="O529" t="s">
        <v>152</v>
      </c>
      <c r="P529">
        <v>20</v>
      </c>
      <c r="Q529" t="s">
        <v>157</v>
      </c>
    </row>
    <row r="530" spans="1:17" x14ac:dyDescent="0.2">
      <c r="A530">
        <v>380866</v>
      </c>
      <c r="B530">
        <v>202</v>
      </c>
      <c r="C530" s="1" t="s">
        <v>99</v>
      </c>
      <c r="D530" s="10">
        <v>45291.043055555558</v>
      </c>
      <c r="E530" t="s">
        <v>96</v>
      </c>
      <c r="F530" t="s">
        <v>50</v>
      </c>
      <c r="G530">
        <v>526</v>
      </c>
      <c r="H530" s="5" t="s">
        <v>99</v>
      </c>
      <c r="I530" s="15">
        <v>45291</v>
      </c>
      <c r="J530" s="15" t="s">
        <v>295</v>
      </c>
      <c r="K530" s="6">
        <v>4.3055555555555555E-2</v>
      </c>
      <c r="L530" t="s">
        <v>143</v>
      </c>
      <c r="M530">
        <v>30000</v>
      </c>
      <c r="N530" t="s">
        <v>223</v>
      </c>
      <c r="O530" t="s">
        <v>151</v>
      </c>
      <c r="P530">
        <v>86</v>
      </c>
      <c r="Q530" t="s">
        <v>154</v>
      </c>
    </row>
    <row r="531" spans="1:17" x14ac:dyDescent="0.2">
      <c r="A531">
        <v>381897</v>
      </c>
      <c r="B531">
        <v>1314</v>
      </c>
      <c r="C531" s="1" t="s">
        <v>99</v>
      </c>
      <c r="D531" s="10">
        <v>45120.995138888888</v>
      </c>
      <c r="E531" t="s">
        <v>191</v>
      </c>
      <c r="F531" t="s">
        <v>5</v>
      </c>
      <c r="G531">
        <v>3916</v>
      </c>
      <c r="H531" s="5" t="s">
        <v>99</v>
      </c>
      <c r="I531" s="15">
        <v>45120</v>
      </c>
      <c r="J531" s="15" t="s">
        <v>234</v>
      </c>
      <c r="K531" s="6">
        <v>0.49513888888888891</v>
      </c>
      <c r="L531" t="s">
        <v>143</v>
      </c>
      <c r="M531">
        <v>200000</v>
      </c>
      <c r="N531" t="s">
        <v>198</v>
      </c>
      <c r="O531" t="s">
        <v>152</v>
      </c>
      <c r="P531">
        <v>86</v>
      </c>
      <c r="Q531" t="s">
        <v>156</v>
      </c>
    </row>
    <row r="532" spans="1:17" x14ac:dyDescent="0.2">
      <c r="A532">
        <v>382563</v>
      </c>
      <c r="B532">
        <v>1070</v>
      </c>
      <c r="C532" s="1" t="s">
        <v>106</v>
      </c>
      <c r="D532" s="10">
        <v>45215.056944444441</v>
      </c>
      <c r="E532" t="s">
        <v>98</v>
      </c>
      <c r="F532" t="s">
        <v>46</v>
      </c>
      <c r="G532">
        <v>471</v>
      </c>
      <c r="H532" s="5" t="s">
        <v>106</v>
      </c>
      <c r="I532" s="15">
        <v>45215</v>
      </c>
      <c r="J532" s="15" t="s">
        <v>295</v>
      </c>
      <c r="K532" s="6">
        <v>5.6944444444444443E-2</v>
      </c>
      <c r="L532" t="s">
        <v>142</v>
      </c>
      <c r="M532">
        <v>200000</v>
      </c>
      <c r="N532" t="s">
        <v>211</v>
      </c>
      <c r="O532" t="s">
        <v>152</v>
      </c>
      <c r="P532">
        <v>60</v>
      </c>
      <c r="Q532" t="s">
        <v>156</v>
      </c>
    </row>
    <row r="533" spans="1:17" x14ac:dyDescent="0.2">
      <c r="A533">
        <v>382755</v>
      </c>
      <c r="B533">
        <v>777</v>
      </c>
      <c r="C533" s="1" t="s">
        <v>99</v>
      </c>
      <c r="D533" s="10">
        <v>45138.968055555553</v>
      </c>
      <c r="E533" t="s">
        <v>97</v>
      </c>
      <c r="F533" t="s">
        <v>82</v>
      </c>
      <c r="G533">
        <v>1008</v>
      </c>
      <c r="H533" s="5" t="s">
        <v>99</v>
      </c>
      <c r="I533" s="15">
        <v>45138</v>
      </c>
      <c r="J533" s="15" t="s">
        <v>234</v>
      </c>
      <c r="K533" s="6">
        <v>0.46805555555555556</v>
      </c>
      <c r="L533" t="s">
        <v>142</v>
      </c>
      <c r="M533">
        <v>100000</v>
      </c>
      <c r="N533" t="s">
        <v>209</v>
      </c>
      <c r="O533" t="s">
        <v>151</v>
      </c>
      <c r="P533">
        <v>53</v>
      </c>
      <c r="Q533" t="s">
        <v>155</v>
      </c>
    </row>
    <row r="534" spans="1:17" x14ac:dyDescent="0.2">
      <c r="A534">
        <v>383194</v>
      </c>
      <c r="B534">
        <v>1167</v>
      </c>
      <c r="C534" s="1" t="s">
        <v>99</v>
      </c>
      <c r="D534" s="10">
        <v>45075.946527777778</v>
      </c>
      <c r="E534" t="s">
        <v>191</v>
      </c>
      <c r="F534" t="s">
        <v>17</v>
      </c>
      <c r="G534">
        <v>6812</v>
      </c>
      <c r="H534" s="5" t="s">
        <v>99</v>
      </c>
      <c r="I534" s="15">
        <v>45075</v>
      </c>
      <c r="J534" s="15" t="s">
        <v>233</v>
      </c>
      <c r="K534" s="6">
        <v>0.4465277777777778</v>
      </c>
      <c r="L534" t="s">
        <v>142</v>
      </c>
      <c r="M534">
        <v>100000</v>
      </c>
      <c r="N534" t="s">
        <v>209</v>
      </c>
      <c r="O534" t="s">
        <v>151</v>
      </c>
      <c r="P534">
        <v>78</v>
      </c>
      <c r="Q534" t="s">
        <v>156</v>
      </c>
    </row>
    <row r="535" spans="1:17" x14ac:dyDescent="0.2">
      <c r="A535">
        <v>383311</v>
      </c>
      <c r="B535">
        <v>1257</v>
      </c>
      <c r="C535" s="1" t="s">
        <v>99</v>
      </c>
      <c r="D535" s="10">
        <v>45154.995138888888</v>
      </c>
      <c r="E535" t="s">
        <v>191</v>
      </c>
      <c r="F535" t="s">
        <v>11</v>
      </c>
      <c r="G535">
        <v>362</v>
      </c>
      <c r="H535" s="5" t="s">
        <v>99</v>
      </c>
      <c r="I535" s="15">
        <v>45154</v>
      </c>
      <c r="J535" s="15" t="s">
        <v>234</v>
      </c>
      <c r="K535" s="6">
        <v>0.49513888888888891</v>
      </c>
      <c r="L535" t="s">
        <v>143</v>
      </c>
      <c r="M535">
        <v>150000</v>
      </c>
      <c r="N535" t="s">
        <v>204</v>
      </c>
      <c r="O535" t="s">
        <v>151</v>
      </c>
      <c r="P535">
        <v>69</v>
      </c>
      <c r="Q535" t="s">
        <v>156</v>
      </c>
    </row>
    <row r="536" spans="1:17" x14ac:dyDescent="0.2">
      <c r="A536">
        <v>383781</v>
      </c>
      <c r="B536">
        <v>333</v>
      </c>
      <c r="C536" s="1" t="s">
        <v>109</v>
      </c>
      <c r="D536" s="10">
        <v>45274.057638888888</v>
      </c>
      <c r="E536" t="s">
        <v>98</v>
      </c>
      <c r="F536" t="s">
        <v>44</v>
      </c>
      <c r="G536">
        <v>75</v>
      </c>
      <c r="H536" s="5" t="s">
        <v>109</v>
      </c>
      <c r="I536" s="15">
        <v>45274</v>
      </c>
      <c r="J536" s="15" t="s">
        <v>295</v>
      </c>
      <c r="K536" s="6">
        <v>5.7638888888888892E-2</v>
      </c>
      <c r="L536" t="s">
        <v>144</v>
      </c>
      <c r="M536">
        <v>150000</v>
      </c>
      <c r="N536" t="s">
        <v>199</v>
      </c>
      <c r="O536" t="s">
        <v>151</v>
      </c>
      <c r="P536">
        <v>43</v>
      </c>
      <c r="Q536" t="s">
        <v>154</v>
      </c>
    </row>
    <row r="537" spans="1:17" x14ac:dyDescent="0.2">
      <c r="A537">
        <v>384942</v>
      </c>
      <c r="B537">
        <v>1938</v>
      </c>
      <c r="C537" s="1" t="s">
        <v>99</v>
      </c>
      <c r="D537" s="10">
        <v>45204.972222222219</v>
      </c>
      <c r="E537" t="s">
        <v>96</v>
      </c>
      <c r="F537" t="s">
        <v>78</v>
      </c>
      <c r="G537">
        <v>5617</v>
      </c>
      <c r="H537" s="5" t="s">
        <v>99</v>
      </c>
      <c r="I537" s="15">
        <v>45204</v>
      </c>
      <c r="J537" s="15" t="s">
        <v>295</v>
      </c>
      <c r="K537" s="6">
        <v>0.47222222222222221</v>
      </c>
      <c r="L537" t="s">
        <v>143</v>
      </c>
      <c r="M537">
        <v>200000</v>
      </c>
      <c r="N537" t="s">
        <v>215</v>
      </c>
      <c r="O537" t="s">
        <v>151</v>
      </c>
      <c r="P537">
        <v>70</v>
      </c>
      <c r="Q537" t="s">
        <v>157</v>
      </c>
    </row>
    <row r="538" spans="1:17" x14ac:dyDescent="0.2">
      <c r="A538">
        <v>385164</v>
      </c>
      <c r="B538">
        <v>1569</v>
      </c>
      <c r="C538" s="1" t="s">
        <v>105</v>
      </c>
      <c r="D538" s="10">
        <v>45070.022916666669</v>
      </c>
      <c r="E538" t="s">
        <v>96</v>
      </c>
      <c r="F538" t="s">
        <v>27</v>
      </c>
      <c r="G538">
        <v>6376</v>
      </c>
      <c r="H538" s="5" t="s">
        <v>105</v>
      </c>
      <c r="I538" s="15">
        <v>45070</v>
      </c>
      <c r="J538" s="15" t="s">
        <v>233</v>
      </c>
      <c r="K538" s="6">
        <v>0.5229166666666667</v>
      </c>
      <c r="L538" t="s">
        <v>142</v>
      </c>
      <c r="M538">
        <v>1000000</v>
      </c>
      <c r="N538" t="s">
        <v>209</v>
      </c>
      <c r="O538" t="s">
        <v>152</v>
      </c>
      <c r="P538">
        <v>20</v>
      </c>
      <c r="Q538" t="s">
        <v>157</v>
      </c>
    </row>
    <row r="539" spans="1:17" x14ac:dyDescent="0.2">
      <c r="A539">
        <v>385361</v>
      </c>
      <c r="B539">
        <v>565</v>
      </c>
      <c r="C539" s="1" t="s">
        <v>100</v>
      </c>
      <c r="D539" s="10">
        <v>45249.974999999999</v>
      </c>
      <c r="E539" t="s">
        <v>97</v>
      </c>
      <c r="F539" t="s">
        <v>59</v>
      </c>
      <c r="G539">
        <v>9005</v>
      </c>
      <c r="H539" s="5" t="s">
        <v>100</v>
      </c>
      <c r="I539" s="15">
        <v>45249</v>
      </c>
      <c r="J539" s="15" t="s">
        <v>295</v>
      </c>
      <c r="K539" s="6">
        <v>0.47499999999999998</v>
      </c>
      <c r="L539" t="s">
        <v>144</v>
      </c>
      <c r="M539">
        <v>80000</v>
      </c>
      <c r="N539" t="s">
        <v>224</v>
      </c>
      <c r="O539" t="s">
        <v>151</v>
      </c>
      <c r="P539">
        <v>62</v>
      </c>
      <c r="Q539" t="s">
        <v>155</v>
      </c>
    </row>
    <row r="540" spans="1:17" x14ac:dyDescent="0.2">
      <c r="A540">
        <v>386283</v>
      </c>
      <c r="B540">
        <v>190</v>
      </c>
      <c r="C540" s="1" t="s">
        <v>100</v>
      </c>
      <c r="D540" s="10">
        <v>44963.989583333336</v>
      </c>
      <c r="E540" t="s">
        <v>97</v>
      </c>
      <c r="F540" t="s">
        <v>87</v>
      </c>
      <c r="G540">
        <v>8183</v>
      </c>
      <c r="H540" s="5" t="s">
        <v>100</v>
      </c>
      <c r="I540" s="15">
        <v>44963</v>
      </c>
      <c r="J540" s="15" t="s">
        <v>232</v>
      </c>
      <c r="K540" s="6">
        <v>0.48958333333333331</v>
      </c>
      <c r="L540" t="s">
        <v>144</v>
      </c>
      <c r="M540">
        <v>100000</v>
      </c>
      <c r="N540" t="s">
        <v>216</v>
      </c>
      <c r="O540" t="s">
        <v>151</v>
      </c>
      <c r="P540">
        <v>71</v>
      </c>
      <c r="Q540" t="s">
        <v>154</v>
      </c>
    </row>
    <row r="541" spans="1:17" x14ac:dyDescent="0.2">
      <c r="A541">
        <v>386673</v>
      </c>
      <c r="B541">
        <v>302</v>
      </c>
      <c r="C541" s="1" t="s">
        <v>109</v>
      </c>
      <c r="D541" s="10">
        <v>45077.081944444442</v>
      </c>
      <c r="E541" t="s">
        <v>97</v>
      </c>
      <c r="F541" t="s">
        <v>26</v>
      </c>
      <c r="G541">
        <v>1947</v>
      </c>
      <c r="H541" s="5" t="s">
        <v>109</v>
      </c>
      <c r="I541" s="15">
        <v>45077</v>
      </c>
      <c r="J541" s="15" t="s">
        <v>233</v>
      </c>
      <c r="K541" s="6">
        <v>8.1944444444444445E-2</v>
      </c>
      <c r="L541" t="s">
        <v>145</v>
      </c>
      <c r="M541">
        <v>100000</v>
      </c>
      <c r="N541" t="s">
        <v>210</v>
      </c>
      <c r="O541" t="s">
        <v>152</v>
      </c>
      <c r="P541">
        <v>29</v>
      </c>
      <c r="Q541" t="s">
        <v>154</v>
      </c>
    </row>
    <row r="542" spans="1:17" x14ac:dyDescent="0.2">
      <c r="A542">
        <v>386885</v>
      </c>
      <c r="B542">
        <v>1647</v>
      </c>
      <c r="C542" s="1" t="s">
        <v>99</v>
      </c>
      <c r="D542" s="10">
        <v>44991.020138888889</v>
      </c>
      <c r="E542" t="s">
        <v>97</v>
      </c>
      <c r="F542" t="s">
        <v>74</v>
      </c>
      <c r="G542">
        <v>9165</v>
      </c>
      <c r="H542" s="5" t="s">
        <v>99</v>
      </c>
      <c r="I542" s="15">
        <v>44991</v>
      </c>
      <c r="J542" s="15" t="s">
        <v>232</v>
      </c>
      <c r="K542" s="6">
        <v>0.52013888888888893</v>
      </c>
      <c r="L542" t="s">
        <v>145</v>
      </c>
      <c r="M542">
        <v>150000</v>
      </c>
      <c r="N542" t="s">
        <v>226</v>
      </c>
      <c r="O542" t="s">
        <v>152</v>
      </c>
      <c r="P542">
        <v>22</v>
      </c>
      <c r="Q542" t="s">
        <v>157</v>
      </c>
    </row>
    <row r="543" spans="1:17" x14ac:dyDescent="0.2">
      <c r="A543">
        <v>387103</v>
      </c>
      <c r="B543">
        <v>762</v>
      </c>
      <c r="C543" s="1" t="s">
        <v>108</v>
      </c>
      <c r="D543" s="10">
        <v>45077.017361111109</v>
      </c>
      <c r="E543" t="s">
        <v>98</v>
      </c>
      <c r="F543" t="s">
        <v>88</v>
      </c>
      <c r="G543">
        <v>1379</v>
      </c>
      <c r="H543" s="5" t="s">
        <v>108</v>
      </c>
      <c r="I543" s="15">
        <v>45077</v>
      </c>
      <c r="J543" s="15" t="s">
        <v>233</v>
      </c>
      <c r="K543" s="6">
        <v>0.51736111111111116</v>
      </c>
      <c r="L543" t="s">
        <v>144</v>
      </c>
      <c r="M543">
        <v>100000</v>
      </c>
      <c r="N543" t="s">
        <v>200</v>
      </c>
      <c r="O543" t="s">
        <v>152</v>
      </c>
      <c r="P543">
        <v>21</v>
      </c>
      <c r="Q543" t="s">
        <v>155</v>
      </c>
    </row>
    <row r="544" spans="1:17" x14ac:dyDescent="0.2">
      <c r="A544">
        <v>388268</v>
      </c>
      <c r="B544">
        <v>217</v>
      </c>
      <c r="C544" s="1" t="s">
        <v>99</v>
      </c>
      <c r="D544" s="10">
        <v>45220.033333333333</v>
      </c>
      <c r="E544" t="s">
        <v>97</v>
      </c>
      <c r="F544" t="s">
        <v>69</v>
      </c>
      <c r="G544">
        <v>1780</v>
      </c>
      <c r="H544" s="5" t="s">
        <v>99</v>
      </c>
      <c r="I544" s="15">
        <v>45220</v>
      </c>
      <c r="J544" s="15" t="s">
        <v>295</v>
      </c>
      <c r="K544" s="6">
        <v>0.53333333333333333</v>
      </c>
      <c r="L544" t="s">
        <v>146</v>
      </c>
      <c r="M544">
        <v>250000</v>
      </c>
      <c r="N544" t="s">
        <v>225</v>
      </c>
      <c r="O544" t="s">
        <v>152</v>
      </c>
      <c r="P544">
        <v>60</v>
      </c>
      <c r="Q544" t="s">
        <v>154</v>
      </c>
    </row>
    <row r="545" spans="1:17" x14ac:dyDescent="0.2">
      <c r="A545">
        <v>389519</v>
      </c>
      <c r="B545">
        <v>336</v>
      </c>
      <c r="C545" s="1" t="s">
        <v>105</v>
      </c>
      <c r="D545" s="10">
        <v>45249.077777777777</v>
      </c>
      <c r="E545" t="s">
        <v>97</v>
      </c>
      <c r="F545" t="s">
        <v>89</v>
      </c>
      <c r="G545">
        <v>5243</v>
      </c>
      <c r="H545" s="5" t="s">
        <v>105</v>
      </c>
      <c r="I545" s="15">
        <v>45249</v>
      </c>
      <c r="J545" s="15" t="s">
        <v>295</v>
      </c>
      <c r="K545" s="6">
        <v>7.7777777777777779E-2</v>
      </c>
      <c r="L545" t="s">
        <v>144</v>
      </c>
      <c r="M545">
        <v>150000</v>
      </c>
      <c r="N545" t="s">
        <v>218</v>
      </c>
      <c r="O545" t="s">
        <v>152</v>
      </c>
      <c r="P545">
        <v>26</v>
      </c>
      <c r="Q545" t="s">
        <v>154</v>
      </c>
    </row>
    <row r="546" spans="1:17" x14ac:dyDescent="0.2">
      <c r="A546">
        <v>389648</v>
      </c>
      <c r="B546">
        <v>1360</v>
      </c>
      <c r="C546" s="1" t="s">
        <v>105</v>
      </c>
      <c r="D546" s="10">
        <v>44940.011805555558</v>
      </c>
      <c r="E546" t="s">
        <v>97</v>
      </c>
      <c r="F546" t="s">
        <v>27</v>
      </c>
      <c r="G546">
        <v>6153</v>
      </c>
      <c r="H546" s="5" t="s">
        <v>105</v>
      </c>
      <c r="I546" s="15">
        <v>44940</v>
      </c>
      <c r="J546" s="15" t="s">
        <v>232</v>
      </c>
      <c r="K546" s="6">
        <v>0.51180555555555551</v>
      </c>
      <c r="L546" t="s">
        <v>142</v>
      </c>
      <c r="M546">
        <v>1000000</v>
      </c>
      <c r="N546" t="s">
        <v>209</v>
      </c>
      <c r="O546" t="s">
        <v>152</v>
      </c>
      <c r="P546">
        <v>40</v>
      </c>
      <c r="Q546" t="s">
        <v>156</v>
      </c>
    </row>
    <row r="547" spans="1:17" x14ac:dyDescent="0.2">
      <c r="A547">
        <v>389725</v>
      </c>
      <c r="B547">
        <v>487</v>
      </c>
      <c r="C547" s="1" t="s">
        <v>101</v>
      </c>
      <c r="D547" s="10">
        <v>45237.074305555558</v>
      </c>
      <c r="E547" t="s">
        <v>191</v>
      </c>
      <c r="F547" t="s">
        <v>25</v>
      </c>
      <c r="G547">
        <v>206</v>
      </c>
      <c r="H547" s="5" t="s">
        <v>101</v>
      </c>
      <c r="I547" s="15">
        <v>45237</v>
      </c>
      <c r="J547" s="15" t="s">
        <v>295</v>
      </c>
      <c r="K547" s="6">
        <v>7.4305555555555555E-2</v>
      </c>
      <c r="L547" t="s">
        <v>142</v>
      </c>
      <c r="M547">
        <v>100000</v>
      </c>
      <c r="N547" t="s">
        <v>201</v>
      </c>
      <c r="O547" t="s">
        <v>152</v>
      </c>
      <c r="P547">
        <v>81</v>
      </c>
      <c r="Q547" t="s">
        <v>154</v>
      </c>
    </row>
    <row r="548" spans="1:17" x14ac:dyDescent="0.2">
      <c r="A548">
        <v>390345</v>
      </c>
      <c r="B548">
        <v>245</v>
      </c>
      <c r="C548" s="1" t="s">
        <v>113</v>
      </c>
      <c r="D548" s="10">
        <v>45120.018055555556</v>
      </c>
      <c r="E548" t="s">
        <v>191</v>
      </c>
      <c r="F548" t="s">
        <v>49</v>
      </c>
      <c r="G548">
        <v>4767</v>
      </c>
      <c r="H548" s="5" t="s">
        <v>113</v>
      </c>
      <c r="I548" s="15">
        <v>45120</v>
      </c>
      <c r="J548" s="15" t="s">
        <v>234</v>
      </c>
      <c r="K548" s="6">
        <v>0.5180555555555556</v>
      </c>
      <c r="L548" t="s">
        <v>146</v>
      </c>
      <c r="M548">
        <v>100000</v>
      </c>
      <c r="N548" t="s">
        <v>222</v>
      </c>
      <c r="O548" t="s">
        <v>151</v>
      </c>
      <c r="P548">
        <v>63</v>
      </c>
      <c r="Q548" t="s">
        <v>154</v>
      </c>
    </row>
    <row r="549" spans="1:17" x14ac:dyDescent="0.2">
      <c r="A549">
        <v>390509</v>
      </c>
      <c r="B549">
        <v>11</v>
      </c>
      <c r="C549" s="1" t="s">
        <v>99</v>
      </c>
      <c r="D549" s="10">
        <v>45147.040277777778</v>
      </c>
      <c r="E549" t="s">
        <v>96</v>
      </c>
      <c r="F549" t="s">
        <v>5</v>
      </c>
      <c r="G549">
        <v>2754</v>
      </c>
      <c r="H549" s="5" t="s">
        <v>99</v>
      </c>
      <c r="I549" s="15">
        <v>45147</v>
      </c>
      <c r="J549" s="15" t="s">
        <v>234</v>
      </c>
      <c r="K549" s="6">
        <v>0.54027777777777775</v>
      </c>
      <c r="L549" t="s">
        <v>143</v>
      </c>
      <c r="M549">
        <v>200000</v>
      </c>
      <c r="N549" t="s">
        <v>198</v>
      </c>
      <c r="O549" t="s">
        <v>152</v>
      </c>
      <c r="P549">
        <v>82</v>
      </c>
      <c r="Q549" t="s">
        <v>154</v>
      </c>
    </row>
    <row r="550" spans="1:17" x14ac:dyDescent="0.2">
      <c r="A550">
        <v>390821</v>
      </c>
      <c r="B550">
        <v>291</v>
      </c>
      <c r="C550" s="1" t="s">
        <v>113</v>
      </c>
      <c r="D550" s="10">
        <v>45056.044444444444</v>
      </c>
      <c r="E550" t="s">
        <v>98</v>
      </c>
      <c r="F550" t="s">
        <v>7</v>
      </c>
      <c r="G550">
        <v>2140</v>
      </c>
      <c r="H550" s="5" t="s">
        <v>113</v>
      </c>
      <c r="I550" s="15">
        <v>45056</v>
      </c>
      <c r="J550" s="15" t="s">
        <v>233</v>
      </c>
      <c r="K550" s="6">
        <v>4.4444444444444446E-2</v>
      </c>
      <c r="L550" t="s">
        <v>144</v>
      </c>
      <c r="M550">
        <v>150000</v>
      </c>
      <c r="N550" t="s">
        <v>200</v>
      </c>
      <c r="O550" t="s">
        <v>152</v>
      </c>
      <c r="P550">
        <v>44</v>
      </c>
      <c r="Q550" t="s">
        <v>154</v>
      </c>
    </row>
    <row r="551" spans="1:17" x14ac:dyDescent="0.2">
      <c r="A551">
        <v>391564</v>
      </c>
      <c r="B551">
        <v>926</v>
      </c>
      <c r="C551" s="1" t="s">
        <v>99</v>
      </c>
      <c r="D551" s="10">
        <v>45049.980555555558</v>
      </c>
      <c r="E551" t="s">
        <v>96</v>
      </c>
      <c r="F551" t="s">
        <v>27</v>
      </c>
      <c r="G551">
        <v>3051</v>
      </c>
      <c r="H551" s="5" t="s">
        <v>99</v>
      </c>
      <c r="I551" s="15">
        <v>45049</v>
      </c>
      <c r="J551" s="15" t="s">
        <v>233</v>
      </c>
      <c r="K551" s="6">
        <v>0.48055555555555557</v>
      </c>
      <c r="L551" t="s">
        <v>142</v>
      </c>
      <c r="M551">
        <v>1000000</v>
      </c>
      <c r="N551" t="s">
        <v>209</v>
      </c>
      <c r="O551" t="s">
        <v>152</v>
      </c>
      <c r="P551">
        <v>19</v>
      </c>
      <c r="Q551" t="s">
        <v>155</v>
      </c>
    </row>
    <row r="552" spans="1:17" x14ac:dyDescent="0.2">
      <c r="A552">
        <v>391706</v>
      </c>
      <c r="B552">
        <v>1840</v>
      </c>
      <c r="C552" s="1" t="s">
        <v>99</v>
      </c>
      <c r="D552" s="10">
        <v>44971.960416666669</v>
      </c>
      <c r="E552" t="s">
        <v>97</v>
      </c>
      <c r="F552" t="s">
        <v>65</v>
      </c>
      <c r="G552">
        <v>5396</v>
      </c>
      <c r="H552" s="5" t="s">
        <v>99</v>
      </c>
      <c r="I552" s="15">
        <v>44971</v>
      </c>
      <c r="J552" s="15" t="s">
        <v>232</v>
      </c>
      <c r="K552" s="6">
        <v>0.46041666666666664</v>
      </c>
      <c r="L552" t="s">
        <v>146</v>
      </c>
      <c r="M552">
        <v>200000</v>
      </c>
      <c r="N552" t="s">
        <v>225</v>
      </c>
      <c r="O552" t="s">
        <v>151</v>
      </c>
      <c r="P552">
        <v>83</v>
      </c>
      <c r="Q552" t="s">
        <v>157</v>
      </c>
    </row>
    <row r="553" spans="1:17" x14ac:dyDescent="0.2">
      <c r="A553">
        <v>391963</v>
      </c>
      <c r="B553">
        <v>1885</v>
      </c>
      <c r="C553" s="1" t="s">
        <v>104</v>
      </c>
      <c r="D553" s="10">
        <v>45240.970138888886</v>
      </c>
      <c r="E553" t="s">
        <v>98</v>
      </c>
      <c r="F553" t="s">
        <v>23</v>
      </c>
      <c r="G553">
        <v>856</v>
      </c>
      <c r="H553" s="5" t="s">
        <v>104</v>
      </c>
      <c r="I553" s="15">
        <v>45240</v>
      </c>
      <c r="J553" s="15" t="s">
        <v>295</v>
      </c>
      <c r="K553" s="6">
        <v>0.47013888888888888</v>
      </c>
      <c r="L553" t="s">
        <v>142</v>
      </c>
      <c r="M553">
        <v>150000</v>
      </c>
      <c r="N553" t="s">
        <v>213</v>
      </c>
      <c r="O553" t="s">
        <v>152</v>
      </c>
      <c r="P553">
        <v>27</v>
      </c>
      <c r="Q553" t="s">
        <v>157</v>
      </c>
    </row>
    <row r="554" spans="1:17" x14ac:dyDescent="0.2">
      <c r="A554">
        <v>393726</v>
      </c>
      <c r="B554">
        <v>1676</v>
      </c>
      <c r="C554" s="1" t="s">
        <v>104</v>
      </c>
      <c r="D554" s="10">
        <v>45014.99722222222</v>
      </c>
      <c r="E554" t="s">
        <v>98</v>
      </c>
      <c r="F554" t="s">
        <v>90</v>
      </c>
      <c r="G554">
        <v>2852</v>
      </c>
      <c r="H554" s="5" t="s">
        <v>104</v>
      </c>
      <c r="I554" s="15">
        <v>45014</v>
      </c>
      <c r="J554" s="15" t="s">
        <v>232</v>
      </c>
      <c r="K554" s="6">
        <v>0.49722222222222223</v>
      </c>
      <c r="L554" t="s">
        <v>142</v>
      </c>
      <c r="M554">
        <v>150000</v>
      </c>
      <c r="N554" t="s">
        <v>208</v>
      </c>
      <c r="O554" t="s">
        <v>151</v>
      </c>
      <c r="P554">
        <v>25</v>
      </c>
      <c r="Q554" t="s">
        <v>157</v>
      </c>
    </row>
    <row r="555" spans="1:17" x14ac:dyDescent="0.2">
      <c r="A555">
        <v>393917</v>
      </c>
      <c r="B555">
        <v>359</v>
      </c>
      <c r="C555" s="1" t="s">
        <v>100</v>
      </c>
      <c r="D555" s="10">
        <v>45105.034722222219</v>
      </c>
      <c r="E555" t="s">
        <v>97</v>
      </c>
      <c r="F555" t="s">
        <v>23</v>
      </c>
      <c r="G555">
        <v>2533</v>
      </c>
      <c r="H555" s="5" t="s">
        <v>100</v>
      </c>
      <c r="I555" s="15">
        <v>45105</v>
      </c>
      <c r="J555" s="15" t="s">
        <v>233</v>
      </c>
      <c r="K555" s="6">
        <v>0.53472222222222221</v>
      </c>
      <c r="L555" t="s">
        <v>142</v>
      </c>
      <c r="M555">
        <v>150000</v>
      </c>
      <c r="N555" t="s">
        <v>213</v>
      </c>
      <c r="O555" t="s">
        <v>152</v>
      </c>
      <c r="P555">
        <v>37</v>
      </c>
      <c r="Q555" t="s">
        <v>154</v>
      </c>
    </row>
    <row r="556" spans="1:17" x14ac:dyDescent="0.2">
      <c r="A556">
        <v>394768</v>
      </c>
      <c r="B556">
        <v>224</v>
      </c>
      <c r="C556" s="1" t="s">
        <v>113</v>
      </c>
      <c r="D556" s="10">
        <v>45289.976388888892</v>
      </c>
      <c r="E556" t="s">
        <v>191</v>
      </c>
      <c r="F556" t="s">
        <v>92</v>
      </c>
      <c r="G556">
        <v>3458</v>
      </c>
      <c r="H556" s="5" t="s">
        <v>113</v>
      </c>
      <c r="I556" s="15">
        <v>45289</v>
      </c>
      <c r="J556" s="15" t="s">
        <v>295</v>
      </c>
      <c r="K556" s="6">
        <v>0.47638888888888886</v>
      </c>
      <c r="L556" t="s">
        <v>145</v>
      </c>
      <c r="M556">
        <v>30000</v>
      </c>
      <c r="N556" t="s">
        <v>226</v>
      </c>
      <c r="O556" t="s">
        <v>151</v>
      </c>
      <c r="P556">
        <v>64</v>
      </c>
      <c r="Q556" t="s">
        <v>154</v>
      </c>
    </row>
    <row r="557" spans="1:17" x14ac:dyDescent="0.2">
      <c r="A557">
        <v>394773</v>
      </c>
      <c r="B557">
        <v>1474</v>
      </c>
      <c r="C557" s="1" t="s">
        <v>99</v>
      </c>
      <c r="D557" s="10">
        <v>45231.030555555553</v>
      </c>
      <c r="E557" t="s">
        <v>191</v>
      </c>
      <c r="F557" t="s">
        <v>54</v>
      </c>
      <c r="G557">
        <v>9148</v>
      </c>
      <c r="H557" s="5" t="s">
        <v>99</v>
      </c>
      <c r="I557" s="15">
        <v>45231</v>
      </c>
      <c r="J557" s="15" t="s">
        <v>295</v>
      </c>
      <c r="K557" s="6">
        <v>0.53055555555555556</v>
      </c>
      <c r="L557" t="s">
        <v>144</v>
      </c>
      <c r="M557">
        <v>100000</v>
      </c>
      <c r="N557" t="s">
        <v>224</v>
      </c>
      <c r="O557" t="s">
        <v>151</v>
      </c>
      <c r="P557">
        <v>25</v>
      </c>
      <c r="Q557" t="s">
        <v>156</v>
      </c>
    </row>
    <row r="558" spans="1:17" x14ac:dyDescent="0.2">
      <c r="A558">
        <v>394904</v>
      </c>
      <c r="B558">
        <v>1620</v>
      </c>
      <c r="C558" s="1" t="s">
        <v>99</v>
      </c>
      <c r="D558" s="10">
        <v>45206.070833333331</v>
      </c>
      <c r="E558" t="s">
        <v>97</v>
      </c>
      <c r="F558" t="s">
        <v>20</v>
      </c>
      <c r="G558">
        <v>3234</v>
      </c>
      <c r="H558" s="5" t="s">
        <v>99</v>
      </c>
      <c r="I558" s="15">
        <v>45206</v>
      </c>
      <c r="J558" s="15" t="s">
        <v>295</v>
      </c>
      <c r="K558" s="6">
        <v>7.0833333333333331E-2</v>
      </c>
      <c r="L558" t="s">
        <v>146</v>
      </c>
      <c r="M558">
        <v>150000</v>
      </c>
      <c r="N558" t="s">
        <v>212</v>
      </c>
      <c r="O558" t="s">
        <v>152</v>
      </c>
      <c r="P558">
        <v>61</v>
      </c>
      <c r="Q558" t="s">
        <v>157</v>
      </c>
    </row>
    <row r="559" spans="1:17" x14ac:dyDescent="0.2">
      <c r="A559">
        <v>394940</v>
      </c>
      <c r="B559">
        <v>1815</v>
      </c>
      <c r="C559" s="1" t="s">
        <v>104</v>
      </c>
      <c r="D559" s="10">
        <v>45230.040972222225</v>
      </c>
      <c r="E559" t="s">
        <v>191</v>
      </c>
      <c r="F559" t="s">
        <v>41</v>
      </c>
      <c r="G559">
        <v>4437</v>
      </c>
      <c r="H559" s="5" t="s">
        <v>104</v>
      </c>
      <c r="I559" s="15">
        <v>45230</v>
      </c>
      <c r="J559" s="15" t="s">
        <v>295</v>
      </c>
      <c r="K559" s="6">
        <v>0.54097222222222219</v>
      </c>
      <c r="L559" t="s">
        <v>145</v>
      </c>
      <c r="M559">
        <v>150000</v>
      </c>
      <c r="N559" t="s">
        <v>203</v>
      </c>
      <c r="O559" t="s">
        <v>151</v>
      </c>
      <c r="P559">
        <v>43</v>
      </c>
      <c r="Q559" t="s">
        <v>157</v>
      </c>
    </row>
    <row r="560" spans="1:17" x14ac:dyDescent="0.2">
      <c r="A560">
        <v>395235</v>
      </c>
      <c r="B560">
        <v>869</v>
      </c>
      <c r="C560" s="1" t="s">
        <v>104</v>
      </c>
      <c r="D560" s="10">
        <v>45205</v>
      </c>
      <c r="E560" t="s">
        <v>96</v>
      </c>
      <c r="F560" t="s">
        <v>55</v>
      </c>
      <c r="G560">
        <v>6921</v>
      </c>
      <c r="H560" s="5" t="s">
        <v>104</v>
      </c>
      <c r="I560" s="15">
        <v>45205</v>
      </c>
      <c r="J560" s="15" t="s">
        <v>295</v>
      </c>
      <c r="K560" s="6">
        <v>0.5</v>
      </c>
      <c r="L560" t="s">
        <v>144</v>
      </c>
      <c r="M560">
        <v>100000</v>
      </c>
      <c r="N560" t="s">
        <v>219</v>
      </c>
      <c r="O560" t="s">
        <v>152</v>
      </c>
      <c r="P560">
        <v>56</v>
      </c>
      <c r="Q560" t="s">
        <v>155</v>
      </c>
    </row>
    <row r="561" spans="1:17" x14ac:dyDescent="0.2">
      <c r="A561">
        <v>396045</v>
      </c>
      <c r="B561">
        <v>892</v>
      </c>
      <c r="C561" s="1" t="s">
        <v>99</v>
      </c>
      <c r="D561" s="10">
        <v>45059.030555555553</v>
      </c>
      <c r="E561" t="s">
        <v>191</v>
      </c>
      <c r="F561" t="s">
        <v>56</v>
      </c>
      <c r="G561">
        <v>4913</v>
      </c>
      <c r="H561" s="5" t="s">
        <v>99</v>
      </c>
      <c r="I561" s="15">
        <v>45059</v>
      </c>
      <c r="J561" s="15" t="s">
        <v>233</v>
      </c>
      <c r="K561" s="6">
        <v>0.53055555555555556</v>
      </c>
      <c r="L561" t="s">
        <v>146</v>
      </c>
      <c r="M561">
        <v>50000</v>
      </c>
      <c r="N561" t="s">
        <v>220</v>
      </c>
      <c r="O561" t="s">
        <v>152</v>
      </c>
      <c r="P561">
        <v>34</v>
      </c>
      <c r="Q561" t="s">
        <v>155</v>
      </c>
    </row>
    <row r="562" spans="1:17" x14ac:dyDescent="0.2">
      <c r="A562">
        <v>396103</v>
      </c>
      <c r="B562">
        <v>1588</v>
      </c>
      <c r="C562" s="1" t="s">
        <v>100</v>
      </c>
      <c r="D562" s="10">
        <v>45275.057638888888</v>
      </c>
      <c r="E562" t="s">
        <v>98</v>
      </c>
      <c r="F562" t="s">
        <v>70</v>
      </c>
      <c r="G562">
        <v>3558</v>
      </c>
      <c r="H562" s="5" t="s">
        <v>100</v>
      </c>
      <c r="I562" s="15">
        <v>45275</v>
      </c>
      <c r="J562" s="15" t="s">
        <v>295</v>
      </c>
      <c r="K562" s="6">
        <v>5.7638888888888892E-2</v>
      </c>
      <c r="L562" t="s">
        <v>143</v>
      </c>
      <c r="M562">
        <v>100000</v>
      </c>
      <c r="N562" t="s">
        <v>205</v>
      </c>
      <c r="O562" t="s">
        <v>151</v>
      </c>
      <c r="P562">
        <v>74</v>
      </c>
      <c r="Q562" t="s">
        <v>157</v>
      </c>
    </row>
    <row r="563" spans="1:17" x14ac:dyDescent="0.2">
      <c r="A563">
        <v>396352</v>
      </c>
      <c r="B563">
        <v>965</v>
      </c>
      <c r="C563" s="1" t="s">
        <v>101</v>
      </c>
      <c r="D563" s="10">
        <v>45090.073611111111</v>
      </c>
      <c r="E563" t="s">
        <v>97</v>
      </c>
      <c r="F563" t="s">
        <v>48</v>
      </c>
      <c r="G563">
        <v>6855</v>
      </c>
      <c r="H563" s="5" t="s">
        <v>101</v>
      </c>
      <c r="I563" s="15">
        <v>45090</v>
      </c>
      <c r="J563" s="15" t="s">
        <v>233</v>
      </c>
      <c r="K563" s="6">
        <v>7.3611111111111113E-2</v>
      </c>
      <c r="L563" t="s">
        <v>142</v>
      </c>
      <c r="M563">
        <v>100000</v>
      </c>
      <c r="N563" t="s">
        <v>209</v>
      </c>
      <c r="O563" t="s">
        <v>152</v>
      </c>
      <c r="P563">
        <v>50</v>
      </c>
      <c r="Q563" t="s">
        <v>155</v>
      </c>
    </row>
    <row r="564" spans="1:17" x14ac:dyDescent="0.2">
      <c r="A564">
        <v>396721</v>
      </c>
      <c r="B564">
        <v>410</v>
      </c>
      <c r="C564" s="1" t="s">
        <v>113</v>
      </c>
      <c r="D564" s="10">
        <v>45192.947916666664</v>
      </c>
      <c r="E564" t="s">
        <v>97</v>
      </c>
      <c r="F564" t="s">
        <v>59</v>
      </c>
      <c r="G564">
        <v>3567</v>
      </c>
      <c r="H564" s="5" t="s">
        <v>113</v>
      </c>
      <c r="I564" s="15">
        <v>45192</v>
      </c>
      <c r="J564" s="15" t="s">
        <v>234</v>
      </c>
      <c r="K564" s="6">
        <v>0.44791666666666669</v>
      </c>
      <c r="L564" t="s">
        <v>144</v>
      </c>
      <c r="M564">
        <v>80000</v>
      </c>
      <c r="N564" t="s">
        <v>224</v>
      </c>
      <c r="O564" t="s">
        <v>152</v>
      </c>
      <c r="P564">
        <v>39</v>
      </c>
      <c r="Q564" t="s">
        <v>154</v>
      </c>
    </row>
    <row r="565" spans="1:17" x14ac:dyDescent="0.2">
      <c r="A565">
        <v>397428</v>
      </c>
      <c r="B565">
        <v>576</v>
      </c>
      <c r="C565" s="1" t="s">
        <v>99</v>
      </c>
      <c r="D565" s="10">
        <v>45056.961111111108</v>
      </c>
      <c r="E565" t="s">
        <v>97</v>
      </c>
      <c r="F565" t="s">
        <v>65</v>
      </c>
      <c r="G565">
        <v>1426</v>
      </c>
      <c r="H565" s="5" t="s">
        <v>99</v>
      </c>
      <c r="I565" s="15">
        <v>45056</v>
      </c>
      <c r="J565" s="15" t="s">
        <v>233</v>
      </c>
      <c r="K565" s="6">
        <v>0.46111111111111114</v>
      </c>
      <c r="L565" t="s">
        <v>146</v>
      </c>
      <c r="M565">
        <v>200000</v>
      </c>
      <c r="N565" t="s">
        <v>225</v>
      </c>
      <c r="O565" t="s">
        <v>151</v>
      </c>
      <c r="P565">
        <v>47</v>
      </c>
      <c r="Q565" t="s">
        <v>155</v>
      </c>
    </row>
    <row r="566" spans="1:17" x14ac:dyDescent="0.2">
      <c r="A566">
        <v>397931</v>
      </c>
      <c r="B566">
        <v>1062</v>
      </c>
      <c r="C566" s="1" t="s">
        <v>113</v>
      </c>
      <c r="D566" s="10">
        <v>45131.015972222223</v>
      </c>
      <c r="E566" t="s">
        <v>97</v>
      </c>
      <c r="F566" t="s">
        <v>27</v>
      </c>
      <c r="G566">
        <v>8407</v>
      </c>
      <c r="H566" s="5" t="s">
        <v>113</v>
      </c>
      <c r="I566" s="15">
        <v>45131</v>
      </c>
      <c r="J566" s="15" t="s">
        <v>234</v>
      </c>
      <c r="K566" s="6">
        <v>0.51597222222222228</v>
      </c>
      <c r="L566" t="s">
        <v>142</v>
      </c>
      <c r="M566">
        <v>1000000</v>
      </c>
      <c r="N566" t="s">
        <v>209</v>
      </c>
      <c r="O566" t="s">
        <v>152</v>
      </c>
      <c r="P566">
        <v>68</v>
      </c>
      <c r="Q566" t="s">
        <v>156</v>
      </c>
    </row>
    <row r="567" spans="1:17" x14ac:dyDescent="0.2">
      <c r="A567">
        <v>400062</v>
      </c>
      <c r="B567">
        <v>1054</v>
      </c>
      <c r="C567" s="1" t="s">
        <v>113</v>
      </c>
      <c r="D567" s="10">
        <v>45172.970138888886</v>
      </c>
      <c r="E567" t="s">
        <v>96</v>
      </c>
      <c r="F567" t="s">
        <v>45</v>
      </c>
      <c r="G567">
        <v>1436</v>
      </c>
      <c r="H567" s="5" t="s">
        <v>113</v>
      </c>
      <c r="I567" s="15">
        <v>45172</v>
      </c>
      <c r="J567" s="15" t="s">
        <v>234</v>
      </c>
      <c r="K567" s="6">
        <v>0.47013888888888888</v>
      </c>
      <c r="L567" t="s">
        <v>142</v>
      </c>
      <c r="M567">
        <v>100000</v>
      </c>
      <c r="N567" t="s">
        <v>197</v>
      </c>
      <c r="O567" t="s">
        <v>151</v>
      </c>
      <c r="P567">
        <v>86</v>
      </c>
      <c r="Q567" t="s">
        <v>156</v>
      </c>
    </row>
    <row r="568" spans="1:17" x14ac:dyDescent="0.2">
      <c r="A568">
        <v>400313</v>
      </c>
      <c r="B568">
        <v>899</v>
      </c>
      <c r="C568" s="1" t="s">
        <v>99</v>
      </c>
      <c r="D568" s="10">
        <v>45034.029861111114</v>
      </c>
      <c r="E568" t="s">
        <v>191</v>
      </c>
      <c r="F568" t="s">
        <v>89</v>
      </c>
      <c r="G568">
        <v>6891</v>
      </c>
      <c r="H568" s="5" t="s">
        <v>99</v>
      </c>
      <c r="I568" s="15">
        <v>45034</v>
      </c>
      <c r="J568" s="15" t="s">
        <v>233</v>
      </c>
      <c r="K568" s="6">
        <v>0.52986111111111112</v>
      </c>
      <c r="L568" t="s">
        <v>144</v>
      </c>
      <c r="M568">
        <v>150000</v>
      </c>
      <c r="N568" t="s">
        <v>218</v>
      </c>
      <c r="O568" t="s">
        <v>152</v>
      </c>
      <c r="P568">
        <v>75</v>
      </c>
      <c r="Q568" t="s">
        <v>155</v>
      </c>
    </row>
    <row r="569" spans="1:17" x14ac:dyDescent="0.2">
      <c r="A569">
        <v>400957</v>
      </c>
      <c r="B569">
        <v>1746</v>
      </c>
      <c r="C569" s="1" t="s">
        <v>107</v>
      </c>
      <c r="D569" s="10">
        <v>45170.980555555558</v>
      </c>
      <c r="E569" t="s">
        <v>96</v>
      </c>
      <c r="F569" t="s">
        <v>93</v>
      </c>
      <c r="G569">
        <v>382</v>
      </c>
      <c r="H569" s="5" t="s">
        <v>107</v>
      </c>
      <c r="I569" s="15">
        <v>45170</v>
      </c>
      <c r="J569" s="15" t="s">
        <v>234</v>
      </c>
      <c r="K569" s="6">
        <v>0.48055555555555557</v>
      </c>
      <c r="L569" t="s">
        <v>146</v>
      </c>
      <c r="M569">
        <v>30000</v>
      </c>
      <c r="N569" t="s">
        <v>220</v>
      </c>
      <c r="O569" t="s">
        <v>151</v>
      </c>
      <c r="P569">
        <v>66</v>
      </c>
      <c r="Q569" t="s">
        <v>157</v>
      </c>
    </row>
    <row r="570" spans="1:17" x14ac:dyDescent="0.2">
      <c r="A570">
        <v>401745</v>
      </c>
      <c r="B570">
        <v>327</v>
      </c>
      <c r="C570" s="1" t="s">
        <v>113</v>
      </c>
      <c r="D570" s="10">
        <v>45102.954861111109</v>
      </c>
      <c r="E570" t="s">
        <v>191</v>
      </c>
      <c r="F570" t="s">
        <v>33</v>
      </c>
      <c r="G570">
        <v>166</v>
      </c>
      <c r="H570" s="5" t="s">
        <v>113</v>
      </c>
      <c r="I570" s="15">
        <v>45102</v>
      </c>
      <c r="J570" s="15" t="s">
        <v>233</v>
      </c>
      <c r="K570" s="6">
        <v>0.4548611111111111</v>
      </c>
      <c r="L570" t="s">
        <v>145</v>
      </c>
      <c r="M570">
        <v>100000</v>
      </c>
      <c r="N570" t="s">
        <v>210</v>
      </c>
      <c r="O570" t="s">
        <v>152</v>
      </c>
      <c r="P570">
        <v>32</v>
      </c>
      <c r="Q570" t="s">
        <v>154</v>
      </c>
    </row>
    <row r="571" spans="1:17" x14ac:dyDescent="0.2">
      <c r="A571">
        <v>401879</v>
      </c>
      <c r="B571">
        <v>126</v>
      </c>
      <c r="C571" s="1" t="s">
        <v>99</v>
      </c>
      <c r="D571" s="10">
        <v>45052.981944444444</v>
      </c>
      <c r="E571" t="s">
        <v>191</v>
      </c>
      <c r="F571" t="s">
        <v>63</v>
      </c>
      <c r="G571">
        <v>1022</v>
      </c>
      <c r="H571" s="5" t="s">
        <v>99</v>
      </c>
      <c r="I571" s="15">
        <v>45052</v>
      </c>
      <c r="J571" s="15" t="s">
        <v>233</v>
      </c>
      <c r="K571" s="6">
        <v>0.48194444444444445</v>
      </c>
      <c r="L571" t="s">
        <v>143</v>
      </c>
      <c r="M571">
        <v>100000</v>
      </c>
      <c r="N571" t="s">
        <v>198</v>
      </c>
      <c r="O571" t="s">
        <v>152</v>
      </c>
      <c r="P571">
        <v>67</v>
      </c>
      <c r="Q571" t="s">
        <v>154</v>
      </c>
    </row>
    <row r="572" spans="1:17" x14ac:dyDescent="0.2">
      <c r="A572">
        <v>401887</v>
      </c>
      <c r="B572">
        <v>376</v>
      </c>
      <c r="C572" s="1" t="s">
        <v>113</v>
      </c>
      <c r="D572" s="10">
        <v>44960.05</v>
      </c>
      <c r="E572" t="s">
        <v>191</v>
      </c>
      <c r="F572" t="s">
        <v>52</v>
      </c>
      <c r="G572">
        <v>9941</v>
      </c>
      <c r="H572" s="5" t="s">
        <v>113</v>
      </c>
      <c r="I572" s="15">
        <v>44960</v>
      </c>
      <c r="J572" s="15" t="s">
        <v>232</v>
      </c>
      <c r="K572" s="6">
        <v>0.05</v>
      </c>
      <c r="L572" t="s">
        <v>143</v>
      </c>
      <c r="M572">
        <v>100000</v>
      </c>
      <c r="N572" t="s">
        <v>206</v>
      </c>
      <c r="O572" t="s">
        <v>152</v>
      </c>
      <c r="P572">
        <v>89</v>
      </c>
      <c r="Q572" t="s">
        <v>154</v>
      </c>
    </row>
    <row r="573" spans="1:17" x14ac:dyDescent="0.2">
      <c r="A573">
        <v>402186</v>
      </c>
      <c r="B573">
        <v>651</v>
      </c>
      <c r="C573" s="1" t="s">
        <v>99</v>
      </c>
      <c r="D573" s="10">
        <v>45143.002083333333</v>
      </c>
      <c r="E573" t="s">
        <v>98</v>
      </c>
      <c r="F573" t="s">
        <v>94</v>
      </c>
      <c r="G573">
        <v>8800</v>
      </c>
      <c r="H573" s="5" t="s">
        <v>99</v>
      </c>
      <c r="I573" s="15">
        <v>45143</v>
      </c>
      <c r="J573" s="15" t="s">
        <v>234</v>
      </c>
      <c r="K573" s="6">
        <v>0.50208333333333333</v>
      </c>
      <c r="L573" t="s">
        <v>143</v>
      </c>
      <c r="M573">
        <v>50000</v>
      </c>
      <c r="N573" t="s">
        <v>215</v>
      </c>
      <c r="O573" t="s">
        <v>152</v>
      </c>
      <c r="P573">
        <v>61</v>
      </c>
      <c r="Q573" t="s">
        <v>155</v>
      </c>
    </row>
    <row r="574" spans="1:17" x14ac:dyDescent="0.2">
      <c r="A574">
        <v>402508</v>
      </c>
      <c r="B574">
        <v>155</v>
      </c>
      <c r="C574" s="1" t="s">
        <v>113</v>
      </c>
      <c r="D574" s="10">
        <v>45219.069444444445</v>
      </c>
      <c r="E574" t="s">
        <v>98</v>
      </c>
      <c r="F574" t="s">
        <v>53</v>
      </c>
      <c r="G574">
        <v>8064</v>
      </c>
      <c r="H574" s="5" t="s">
        <v>113</v>
      </c>
      <c r="I574" s="15">
        <v>45219</v>
      </c>
      <c r="J574" s="15" t="s">
        <v>295</v>
      </c>
      <c r="K574" s="6">
        <v>6.9444444444444448E-2</v>
      </c>
      <c r="L574" t="s">
        <v>142</v>
      </c>
      <c r="M574">
        <v>100000</v>
      </c>
      <c r="N574" t="s">
        <v>207</v>
      </c>
      <c r="O574" t="s">
        <v>151</v>
      </c>
      <c r="P574">
        <v>56</v>
      </c>
      <c r="Q574" t="s">
        <v>154</v>
      </c>
    </row>
    <row r="575" spans="1:17" x14ac:dyDescent="0.2">
      <c r="A575">
        <v>403651</v>
      </c>
      <c r="B575">
        <v>1700</v>
      </c>
      <c r="C575" s="1" t="s">
        <v>99</v>
      </c>
      <c r="D575" s="10">
        <v>45124.026388888888</v>
      </c>
      <c r="E575" t="s">
        <v>96</v>
      </c>
      <c r="F575" t="s">
        <v>64</v>
      </c>
      <c r="G575">
        <v>8812</v>
      </c>
      <c r="H575" s="5" t="s">
        <v>99</v>
      </c>
      <c r="I575" s="15">
        <v>45124</v>
      </c>
      <c r="J575" s="15" t="s">
        <v>234</v>
      </c>
      <c r="K575" s="6">
        <v>0.52638888888888891</v>
      </c>
      <c r="L575" t="s">
        <v>143</v>
      </c>
      <c r="M575">
        <v>100000</v>
      </c>
      <c r="N575" t="s">
        <v>223</v>
      </c>
      <c r="O575" t="s">
        <v>151</v>
      </c>
      <c r="P575">
        <v>37</v>
      </c>
      <c r="Q575" t="s">
        <v>157</v>
      </c>
    </row>
    <row r="576" spans="1:17" x14ac:dyDescent="0.2">
      <c r="A576">
        <v>404150</v>
      </c>
      <c r="B576">
        <v>1902</v>
      </c>
      <c r="C576" s="1" t="s">
        <v>104</v>
      </c>
      <c r="D576" s="10">
        <v>45015.020138888889</v>
      </c>
      <c r="E576" t="s">
        <v>98</v>
      </c>
      <c r="F576" t="s">
        <v>27</v>
      </c>
      <c r="G576">
        <v>5798</v>
      </c>
      <c r="H576" s="5" t="s">
        <v>104</v>
      </c>
      <c r="I576" s="15">
        <v>45015</v>
      </c>
      <c r="J576" s="15" t="s">
        <v>232</v>
      </c>
      <c r="K576" s="6">
        <v>0.52013888888888893</v>
      </c>
      <c r="L576" t="s">
        <v>142</v>
      </c>
      <c r="M576">
        <v>1000000</v>
      </c>
      <c r="N576" t="s">
        <v>209</v>
      </c>
      <c r="O576" t="s">
        <v>152</v>
      </c>
      <c r="P576">
        <v>46</v>
      </c>
      <c r="Q576" t="s">
        <v>157</v>
      </c>
    </row>
    <row r="577" spans="1:17" x14ac:dyDescent="0.2">
      <c r="A577">
        <v>404700</v>
      </c>
      <c r="B577">
        <v>1182</v>
      </c>
      <c r="C577" s="1" t="s">
        <v>99</v>
      </c>
      <c r="D577" s="10">
        <v>45256.957638888889</v>
      </c>
      <c r="E577" t="s">
        <v>96</v>
      </c>
      <c r="F577" t="s">
        <v>5</v>
      </c>
      <c r="G577">
        <v>2761</v>
      </c>
      <c r="H577" s="5" t="s">
        <v>99</v>
      </c>
      <c r="I577" s="15">
        <v>45256</v>
      </c>
      <c r="J577" s="15" t="s">
        <v>295</v>
      </c>
      <c r="K577" s="6">
        <v>0.45763888888888887</v>
      </c>
      <c r="L577" t="s">
        <v>143</v>
      </c>
      <c r="M577">
        <v>200000</v>
      </c>
      <c r="N577" t="s">
        <v>198</v>
      </c>
      <c r="O577" t="s">
        <v>151</v>
      </c>
      <c r="P577">
        <v>36</v>
      </c>
      <c r="Q577" t="s">
        <v>156</v>
      </c>
    </row>
    <row r="578" spans="1:17" x14ac:dyDescent="0.2">
      <c r="A578">
        <v>405184</v>
      </c>
      <c r="B578">
        <v>1848</v>
      </c>
      <c r="C578" s="1" t="s">
        <v>99</v>
      </c>
      <c r="D578" s="10">
        <v>44993.961805555555</v>
      </c>
      <c r="E578" t="s">
        <v>96</v>
      </c>
      <c r="F578" t="s">
        <v>65</v>
      </c>
      <c r="G578">
        <v>7111</v>
      </c>
      <c r="H578" s="5" t="s">
        <v>99</v>
      </c>
      <c r="I578" s="15">
        <v>44993</v>
      </c>
      <c r="J578" s="15" t="s">
        <v>232</v>
      </c>
      <c r="K578" s="6">
        <v>0.46180555555555558</v>
      </c>
      <c r="L578" t="s">
        <v>146</v>
      </c>
      <c r="M578">
        <v>200000</v>
      </c>
      <c r="N578" t="s">
        <v>225</v>
      </c>
      <c r="O578" t="s">
        <v>151</v>
      </c>
      <c r="P578">
        <v>63</v>
      </c>
      <c r="Q578" t="s">
        <v>157</v>
      </c>
    </row>
    <row r="579" spans="1:17" x14ac:dyDescent="0.2">
      <c r="A579">
        <v>406996</v>
      </c>
      <c r="B579">
        <v>1083</v>
      </c>
      <c r="C579" s="1" t="s">
        <v>105</v>
      </c>
      <c r="D579" s="10">
        <v>45040.958333333336</v>
      </c>
      <c r="E579" t="s">
        <v>97</v>
      </c>
      <c r="F579" t="s">
        <v>74</v>
      </c>
      <c r="G579">
        <v>9682</v>
      </c>
      <c r="H579" s="5" t="s">
        <v>105</v>
      </c>
      <c r="I579" s="15">
        <v>45040</v>
      </c>
      <c r="J579" s="15" t="s">
        <v>233</v>
      </c>
      <c r="K579" s="6">
        <v>0.45833333333333331</v>
      </c>
      <c r="L579" t="s">
        <v>145</v>
      </c>
      <c r="M579">
        <v>150000</v>
      </c>
      <c r="N579" t="s">
        <v>226</v>
      </c>
      <c r="O579" t="s">
        <v>152</v>
      </c>
      <c r="P579">
        <v>25</v>
      </c>
      <c r="Q579" t="s">
        <v>156</v>
      </c>
    </row>
    <row r="580" spans="1:17" x14ac:dyDescent="0.2">
      <c r="A580">
        <v>408798</v>
      </c>
      <c r="B580">
        <v>1293</v>
      </c>
      <c r="C580" s="1" t="s">
        <v>99</v>
      </c>
      <c r="D580" s="10">
        <v>44957.063888888886</v>
      </c>
      <c r="E580" t="s">
        <v>191</v>
      </c>
      <c r="F580" t="s">
        <v>44</v>
      </c>
      <c r="G580">
        <v>9889</v>
      </c>
      <c r="H580" s="5" t="s">
        <v>99</v>
      </c>
      <c r="I580" s="15">
        <v>44957</v>
      </c>
      <c r="J580" s="15" t="s">
        <v>232</v>
      </c>
      <c r="K580" s="6">
        <v>6.3888888888888884E-2</v>
      </c>
      <c r="L580" t="s">
        <v>144</v>
      </c>
      <c r="M580">
        <v>150000</v>
      </c>
      <c r="N580" t="s">
        <v>199</v>
      </c>
      <c r="O580" t="s">
        <v>151</v>
      </c>
      <c r="P580">
        <v>38</v>
      </c>
      <c r="Q580" t="s">
        <v>156</v>
      </c>
    </row>
    <row r="581" spans="1:17" x14ac:dyDescent="0.2">
      <c r="A581">
        <v>408889</v>
      </c>
      <c r="B581">
        <v>751</v>
      </c>
      <c r="C581" s="1" t="s">
        <v>113</v>
      </c>
      <c r="D581" s="10">
        <v>44977.000694444447</v>
      </c>
      <c r="E581" t="s">
        <v>97</v>
      </c>
      <c r="F581" t="s">
        <v>81</v>
      </c>
      <c r="G581">
        <v>8398</v>
      </c>
      <c r="H581" s="5" t="s">
        <v>113</v>
      </c>
      <c r="I581" s="15">
        <v>44977</v>
      </c>
      <c r="J581" s="15" t="s">
        <v>232</v>
      </c>
      <c r="K581" s="6">
        <v>0.50069444444444444</v>
      </c>
      <c r="L581" t="s">
        <v>143</v>
      </c>
      <c r="M581">
        <v>250000</v>
      </c>
      <c r="N581" t="s">
        <v>221</v>
      </c>
      <c r="O581" t="s">
        <v>151</v>
      </c>
      <c r="P581">
        <v>82</v>
      </c>
      <c r="Q581" t="s">
        <v>155</v>
      </c>
    </row>
    <row r="582" spans="1:17" x14ac:dyDescent="0.2">
      <c r="A582">
        <v>410734</v>
      </c>
      <c r="B582">
        <v>555</v>
      </c>
      <c r="C582" s="1" t="s">
        <v>99</v>
      </c>
      <c r="D582" s="10">
        <v>45052.050694444442</v>
      </c>
      <c r="E582" t="s">
        <v>98</v>
      </c>
      <c r="F582" t="s">
        <v>88</v>
      </c>
      <c r="G582">
        <v>3175</v>
      </c>
      <c r="H582" s="5" t="s">
        <v>99</v>
      </c>
      <c r="I582" s="15">
        <v>45052</v>
      </c>
      <c r="J582" s="15" t="s">
        <v>233</v>
      </c>
      <c r="K582" s="6">
        <v>5.0694444444444445E-2</v>
      </c>
      <c r="L582" t="s">
        <v>144</v>
      </c>
      <c r="M582">
        <v>100000</v>
      </c>
      <c r="N582" t="s">
        <v>200</v>
      </c>
      <c r="O582" t="s">
        <v>152</v>
      </c>
      <c r="P582">
        <v>90</v>
      </c>
      <c r="Q582" t="s">
        <v>155</v>
      </c>
    </row>
    <row r="583" spans="1:17" x14ac:dyDescent="0.2">
      <c r="A583">
        <v>411108</v>
      </c>
      <c r="B583">
        <v>258</v>
      </c>
      <c r="C583" s="1" t="s">
        <v>113</v>
      </c>
      <c r="D583" s="10">
        <v>45017.997916666667</v>
      </c>
      <c r="E583" t="s">
        <v>192</v>
      </c>
      <c r="F583" t="s">
        <v>86</v>
      </c>
      <c r="G583">
        <v>4801</v>
      </c>
      <c r="H583" s="5" t="s">
        <v>113</v>
      </c>
      <c r="I583" s="15">
        <v>45017</v>
      </c>
      <c r="J583" s="15" t="s">
        <v>233</v>
      </c>
      <c r="K583" s="6">
        <v>0.49791666666666667</v>
      </c>
      <c r="L583" t="s">
        <v>144</v>
      </c>
      <c r="M583">
        <v>100000</v>
      </c>
      <c r="N583" t="s">
        <v>216</v>
      </c>
      <c r="O583" t="s">
        <v>152</v>
      </c>
      <c r="P583">
        <v>40</v>
      </c>
      <c r="Q583" t="s">
        <v>154</v>
      </c>
    </row>
    <row r="584" spans="1:17" x14ac:dyDescent="0.2">
      <c r="A584">
        <v>411162</v>
      </c>
      <c r="B584">
        <v>433</v>
      </c>
      <c r="C584" s="1" t="s">
        <v>113</v>
      </c>
      <c r="D584" s="10">
        <v>45144.018055555556</v>
      </c>
      <c r="E584" t="s">
        <v>97</v>
      </c>
      <c r="F584" t="s">
        <v>8</v>
      </c>
      <c r="G584">
        <v>2485</v>
      </c>
      <c r="H584" s="5" t="s">
        <v>113</v>
      </c>
      <c r="I584" s="15">
        <v>45144</v>
      </c>
      <c r="J584" s="15" t="s">
        <v>234</v>
      </c>
      <c r="K584" s="6">
        <v>0.5180555555555556</v>
      </c>
      <c r="L584" t="s">
        <v>142</v>
      </c>
      <c r="M584">
        <v>200000</v>
      </c>
      <c r="N584" t="s">
        <v>201</v>
      </c>
      <c r="O584" t="s">
        <v>151</v>
      </c>
      <c r="P584">
        <v>55</v>
      </c>
      <c r="Q584" t="s">
        <v>154</v>
      </c>
    </row>
    <row r="585" spans="1:17" x14ac:dyDescent="0.2">
      <c r="A585">
        <v>411449</v>
      </c>
      <c r="B585">
        <v>609</v>
      </c>
      <c r="C585" s="1" t="s">
        <v>99</v>
      </c>
      <c r="D585" s="10">
        <v>45047.006944444445</v>
      </c>
      <c r="E585" t="s">
        <v>191</v>
      </c>
      <c r="F585" t="s">
        <v>90</v>
      </c>
      <c r="G585">
        <v>4109</v>
      </c>
      <c r="H585" s="5" t="s">
        <v>99</v>
      </c>
      <c r="I585" s="15">
        <v>45047</v>
      </c>
      <c r="J585" s="15" t="s">
        <v>233</v>
      </c>
      <c r="K585" s="6">
        <v>0.50694444444444442</v>
      </c>
      <c r="L585" t="s">
        <v>142</v>
      </c>
      <c r="M585">
        <v>150000</v>
      </c>
      <c r="N585" t="s">
        <v>208</v>
      </c>
      <c r="O585" t="s">
        <v>151</v>
      </c>
      <c r="P585">
        <v>87</v>
      </c>
      <c r="Q585" t="s">
        <v>155</v>
      </c>
    </row>
    <row r="586" spans="1:17" x14ac:dyDescent="0.2">
      <c r="A586">
        <v>411916</v>
      </c>
      <c r="B586">
        <v>967</v>
      </c>
      <c r="C586" s="1" t="s">
        <v>101</v>
      </c>
      <c r="D586" s="10">
        <v>45136.006944444445</v>
      </c>
      <c r="E586" t="s">
        <v>191</v>
      </c>
      <c r="F586" t="s">
        <v>43</v>
      </c>
      <c r="G586">
        <v>2961</v>
      </c>
      <c r="H586" s="5" t="s">
        <v>101</v>
      </c>
      <c r="I586" s="15">
        <v>45136</v>
      </c>
      <c r="J586" s="15" t="s">
        <v>234</v>
      </c>
      <c r="K586" s="6">
        <v>0.50694444444444442</v>
      </c>
      <c r="L586" t="s">
        <v>145</v>
      </c>
      <c r="M586">
        <v>1000000</v>
      </c>
      <c r="N586" t="s">
        <v>203</v>
      </c>
      <c r="O586" t="s">
        <v>152</v>
      </c>
      <c r="P586">
        <v>54</v>
      </c>
      <c r="Q586" t="s">
        <v>155</v>
      </c>
    </row>
    <row r="587" spans="1:17" x14ac:dyDescent="0.2">
      <c r="A587">
        <v>412386</v>
      </c>
      <c r="B587">
        <v>1997</v>
      </c>
      <c r="C587" s="1" t="s">
        <v>105</v>
      </c>
      <c r="D587" s="10">
        <v>45135.082638888889</v>
      </c>
      <c r="E587" t="s">
        <v>97</v>
      </c>
      <c r="F587" t="s">
        <v>91</v>
      </c>
      <c r="G587">
        <v>2004</v>
      </c>
      <c r="H587" s="5" t="s">
        <v>105</v>
      </c>
      <c r="I587" s="15">
        <v>45135</v>
      </c>
      <c r="J587" s="15" t="s">
        <v>234</v>
      </c>
      <c r="K587" s="6">
        <v>8.2638888888888887E-2</v>
      </c>
      <c r="L587" t="s">
        <v>142</v>
      </c>
      <c r="M587">
        <v>100000</v>
      </c>
      <c r="N587" t="s">
        <v>213</v>
      </c>
      <c r="O587" t="s">
        <v>152</v>
      </c>
      <c r="P587">
        <v>79</v>
      </c>
      <c r="Q587" t="s">
        <v>157</v>
      </c>
    </row>
    <row r="588" spans="1:17" x14ac:dyDescent="0.2">
      <c r="A588">
        <v>412431</v>
      </c>
      <c r="B588">
        <v>1620</v>
      </c>
      <c r="C588" s="1" t="s">
        <v>99</v>
      </c>
      <c r="D588" s="10">
        <v>45225.978472222225</v>
      </c>
      <c r="E588" t="s">
        <v>97</v>
      </c>
      <c r="F588" t="s">
        <v>78</v>
      </c>
      <c r="G588">
        <v>4390</v>
      </c>
      <c r="H588" s="5" t="s">
        <v>99</v>
      </c>
      <c r="I588" s="15">
        <v>45225</v>
      </c>
      <c r="J588" s="15" t="s">
        <v>295</v>
      </c>
      <c r="K588" s="6">
        <v>0.47847222222222224</v>
      </c>
      <c r="L588" t="s">
        <v>143</v>
      </c>
      <c r="M588">
        <v>200000</v>
      </c>
      <c r="N588" t="s">
        <v>215</v>
      </c>
      <c r="O588" t="s">
        <v>152</v>
      </c>
      <c r="P588">
        <v>61</v>
      </c>
      <c r="Q588" t="s">
        <v>157</v>
      </c>
    </row>
    <row r="589" spans="1:17" x14ac:dyDescent="0.2">
      <c r="A589">
        <v>413305</v>
      </c>
      <c r="B589">
        <v>294</v>
      </c>
      <c r="C589" s="1" t="s">
        <v>100</v>
      </c>
      <c r="D589" s="10">
        <v>44943</v>
      </c>
      <c r="E589" t="s">
        <v>96</v>
      </c>
      <c r="F589" t="s">
        <v>29</v>
      </c>
      <c r="G589">
        <v>39</v>
      </c>
      <c r="H589" s="5" t="s">
        <v>100</v>
      </c>
      <c r="I589" s="15">
        <v>44943</v>
      </c>
      <c r="J589" s="15" t="s">
        <v>232</v>
      </c>
      <c r="K589" s="6">
        <v>0.5</v>
      </c>
      <c r="L589" t="s">
        <v>143</v>
      </c>
      <c r="M589">
        <v>150000</v>
      </c>
      <c r="N589" t="s">
        <v>214</v>
      </c>
      <c r="O589" t="s">
        <v>152</v>
      </c>
      <c r="P589">
        <v>30</v>
      </c>
      <c r="Q589" t="s">
        <v>154</v>
      </c>
    </row>
    <row r="590" spans="1:17" x14ac:dyDescent="0.2">
      <c r="A590">
        <v>413694</v>
      </c>
      <c r="B590">
        <v>1551</v>
      </c>
      <c r="C590" s="1" t="s">
        <v>99</v>
      </c>
      <c r="D590" s="10">
        <v>45049.052777777775</v>
      </c>
      <c r="E590" t="s">
        <v>96</v>
      </c>
      <c r="F590" t="s">
        <v>34</v>
      </c>
      <c r="G590">
        <v>4835</v>
      </c>
      <c r="H590" s="5" t="s">
        <v>99</v>
      </c>
      <c r="I590" s="15">
        <v>45049</v>
      </c>
      <c r="J590" s="15" t="s">
        <v>233</v>
      </c>
      <c r="K590" s="6">
        <v>5.2777777777777778E-2</v>
      </c>
      <c r="L590" t="s">
        <v>144</v>
      </c>
      <c r="M590">
        <v>150000</v>
      </c>
      <c r="N590" t="s">
        <v>218</v>
      </c>
      <c r="O590" t="s">
        <v>151</v>
      </c>
      <c r="P590">
        <v>21</v>
      </c>
      <c r="Q590" t="s">
        <v>157</v>
      </c>
    </row>
    <row r="591" spans="1:17" x14ac:dyDescent="0.2">
      <c r="A591">
        <v>414161</v>
      </c>
      <c r="B591">
        <v>1675</v>
      </c>
      <c r="C591" s="1" t="s">
        <v>99</v>
      </c>
      <c r="D591" s="10">
        <v>45287.992361111108</v>
      </c>
      <c r="E591" t="s">
        <v>191</v>
      </c>
      <c r="F591" t="s">
        <v>87</v>
      </c>
      <c r="G591">
        <v>3894</v>
      </c>
      <c r="H591" s="5" t="s">
        <v>99</v>
      </c>
      <c r="I591" s="15">
        <v>45287</v>
      </c>
      <c r="J591" s="15" t="s">
        <v>295</v>
      </c>
      <c r="K591" s="6">
        <v>0.49236111111111114</v>
      </c>
      <c r="L591" t="s">
        <v>144</v>
      </c>
      <c r="M591">
        <v>100000</v>
      </c>
      <c r="N591" t="s">
        <v>216</v>
      </c>
      <c r="O591" t="s">
        <v>152</v>
      </c>
      <c r="P591">
        <v>57</v>
      </c>
      <c r="Q591" t="s">
        <v>157</v>
      </c>
    </row>
    <row r="592" spans="1:17" x14ac:dyDescent="0.2">
      <c r="A592">
        <v>414191</v>
      </c>
      <c r="B592">
        <v>350</v>
      </c>
      <c r="C592" s="1" t="s">
        <v>109</v>
      </c>
      <c r="D592" s="10">
        <v>44936.958333333336</v>
      </c>
      <c r="E592" t="s">
        <v>96</v>
      </c>
      <c r="F592" t="s">
        <v>40</v>
      </c>
      <c r="G592">
        <v>6814</v>
      </c>
      <c r="H592" s="5" t="s">
        <v>109</v>
      </c>
      <c r="I592" s="15">
        <v>44936</v>
      </c>
      <c r="J592" s="15" t="s">
        <v>232</v>
      </c>
      <c r="K592" s="6">
        <v>0.45833333333333331</v>
      </c>
      <c r="L592" t="s">
        <v>142</v>
      </c>
      <c r="M592">
        <v>150000</v>
      </c>
      <c r="N592" t="s">
        <v>207</v>
      </c>
      <c r="O592" t="s">
        <v>152</v>
      </c>
      <c r="P592">
        <v>39</v>
      </c>
      <c r="Q592" t="s">
        <v>154</v>
      </c>
    </row>
    <row r="593" spans="1:17" x14ac:dyDescent="0.2">
      <c r="A593">
        <v>416161</v>
      </c>
      <c r="B593">
        <v>1030</v>
      </c>
      <c r="C593" s="1" t="s">
        <v>113</v>
      </c>
      <c r="D593" s="10">
        <v>44973.050694444442</v>
      </c>
      <c r="E593" t="s">
        <v>98</v>
      </c>
      <c r="F593" t="s">
        <v>69</v>
      </c>
      <c r="G593">
        <v>5555</v>
      </c>
      <c r="H593" s="5" t="s">
        <v>113</v>
      </c>
      <c r="I593" s="15">
        <v>44973</v>
      </c>
      <c r="J593" s="15" t="s">
        <v>232</v>
      </c>
      <c r="K593" s="6">
        <v>5.0694444444444445E-2</v>
      </c>
      <c r="L593" t="s">
        <v>146</v>
      </c>
      <c r="M593">
        <v>250000</v>
      </c>
      <c r="N593" t="s">
        <v>225</v>
      </c>
      <c r="O593" t="s">
        <v>152</v>
      </c>
      <c r="P593">
        <v>68</v>
      </c>
      <c r="Q593" t="s">
        <v>156</v>
      </c>
    </row>
    <row r="594" spans="1:17" x14ac:dyDescent="0.2">
      <c r="A594">
        <v>417613</v>
      </c>
      <c r="B594">
        <v>1547</v>
      </c>
      <c r="C594" s="1" t="s">
        <v>100</v>
      </c>
      <c r="D594" s="10">
        <v>45011.057638888888</v>
      </c>
      <c r="E594" t="s">
        <v>98</v>
      </c>
      <c r="F594" t="s">
        <v>26</v>
      </c>
      <c r="G594">
        <v>8023</v>
      </c>
      <c r="H594" s="5" t="s">
        <v>100</v>
      </c>
      <c r="I594" s="15">
        <v>45011</v>
      </c>
      <c r="J594" s="15" t="s">
        <v>232</v>
      </c>
      <c r="K594" s="6">
        <v>5.7638888888888892E-2</v>
      </c>
      <c r="L594" t="s">
        <v>145</v>
      </c>
      <c r="M594">
        <v>100000</v>
      </c>
      <c r="N594" t="s">
        <v>210</v>
      </c>
      <c r="O594" t="s">
        <v>151</v>
      </c>
      <c r="P594">
        <v>37</v>
      </c>
      <c r="Q594" t="s">
        <v>157</v>
      </c>
    </row>
    <row r="595" spans="1:17" x14ac:dyDescent="0.2">
      <c r="A595">
        <v>417779</v>
      </c>
      <c r="B595">
        <v>1473</v>
      </c>
      <c r="C595" s="1" t="s">
        <v>99</v>
      </c>
      <c r="D595" s="10">
        <v>44957.027777777781</v>
      </c>
      <c r="E595" t="s">
        <v>96</v>
      </c>
      <c r="F595" t="s">
        <v>43</v>
      </c>
      <c r="G595">
        <v>9335</v>
      </c>
      <c r="H595" s="5" t="s">
        <v>99</v>
      </c>
      <c r="I595" s="15">
        <v>44957</v>
      </c>
      <c r="J595" s="15" t="s">
        <v>232</v>
      </c>
      <c r="K595" s="6">
        <v>0.52777777777777779</v>
      </c>
      <c r="L595" t="s">
        <v>145</v>
      </c>
      <c r="M595">
        <v>1000000</v>
      </c>
      <c r="N595" t="s">
        <v>203</v>
      </c>
      <c r="O595" t="s">
        <v>152</v>
      </c>
      <c r="P595">
        <v>40</v>
      </c>
      <c r="Q595" t="s">
        <v>156</v>
      </c>
    </row>
    <row r="596" spans="1:17" x14ac:dyDescent="0.2">
      <c r="A596">
        <v>419211</v>
      </c>
      <c r="B596">
        <v>1044</v>
      </c>
      <c r="C596" s="1" t="s">
        <v>113</v>
      </c>
      <c r="D596" s="10">
        <v>45009.993055555555</v>
      </c>
      <c r="E596" t="s">
        <v>96</v>
      </c>
      <c r="F596" t="s">
        <v>49</v>
      </c>
      <c r="G596">
        <v>4918</v>
      </c>
      <c r="H596" s="5" t="s">
        <v>113</v>
      </c>
      <c r="I596" s="15">
        <v>45009</v>
      </c>
      <c r="J596" s="15" t="s">
        <v>232</v>
      </c>
      <c r="K596" s="6">
        <v>0.49305555555555558</v>
      </c>
      <c r="L596" t="s">
        <v>146</v>
      </c>
      <c r="M596">
        <v>100000</v>
      </c>
      <c r="N596" t="s">
        <v>222</v>
      </c>
      <c r="O596" t="s">
        <v>151</v>
      </c>
      <c r="P596">
        <v>26</v>
      </c>
      <c r="Q596" t="s">
        <v>156</v>
      </c>
    </row>
    <row r="597" spans="1:17" x14ac:dyDescent="0.2">
      <c r="A597">
        <v>419676</v>
      </c>
      <c r="B597">
        <v>1259</v>
      </c>
      <c r="C597" s="1" t="s">
        <v>99</v>
      </c>
      <c r="D597" s="10">
        <v>45060.069444444445</v>
      </c>
      <c r="E597" t="s">
        <v>191</v>
      </c>
      <c r="F597" t="s">
        <v>71</v>
      </c>
      <c r="G597">
        <v>7702</v>
      </c>
      <c r="H597" s="5" t="s">
        <v>99</v>
      </c>
      <c r="I597" s="15">
        <v>45060</v>
      </c>
      <c r="J597" s="15" t="s">
        <v>233</v>
      </c>
      <c r="K597" s="6">
        <v>6.9444444444444448E-2</v>
      </c>
      <c r="L597" t="s">
        <v>145</v>
      </c>
      <c r="M597">
        <v>150000</v>
      </c>
      <c r="N597" t="s">
        <v>226</v>
      </c>
      <c r="O597" t="s">
        <v>151</v>
      </c>
      <c r="P597">
        <v>45</v>
      </c>
      <c r="Q597" t="s">
        <v>156</v>
      </c>
    </row>
    <row r="598" spans="1:17" x14ac:dyDescent="0.2">
      <c r="A598">
        <v>421069</v>
      </c>
      <c r="B598">
        <v>440</v>
      </c>
      <c r="C598" s="1" t="s">
        <v>109</v>
      </c>
      <c r="D598" s="10">
        <v>45046.965277777781</v>
      </c>
      <c r="E598" t="s">
        <v>97</v>
      </c>
      <c r="F598" t="s">
        <v>7</v>
      </c>
      <c r="G598">
        <v>1791</v>
      </c>
      <c r="H598" s="5" t="s">
        <v>109</v>
      </c>
      <c r="I598" s="15">
        <v>45046</v>
      </c>
      <c r="J598" s="15" t="s">
        <v>233</v>
      </c>
      <c r="K598" s="6">
        <v>0.46527777777777779</v>
      </c>
      <c r="L598" t="s">
        <v>144</v>
      </c>
      <c r="M598">
        <v>150000</v>
      </c>
      <c r="N598" t="s">
        <v>200</v>
      </c>
      <c r="O598" t="s">
        <v>151</v>
      </c>
      <c r="P598">
        <v>83</v>
      </c>
      <c r="Q598" t="s">
        <v>154</v>
      </c>
    </row>
    <row r="599" spans="1:17" x14ac:dyDescent="0.2">
      <c r="A599">
        <v>421505</v>
      </c>
      <c r="B599">
        <v>1088</v>
      </c>
      <c r="C599" s="1" t="s">
        <v>113</v>
      </c>
      <c r="D599" s="10">
        <v>45013.05972222222</v>
      </c>
      <c r="E599" t="s">
        <v>96</v>
      </c>
      <c r="F599" t="s">
        <v>27</v>
      </c>
      <c r="G599">
        <v>6441</v>
      </c>
      <c r="H599" s="5" t="s">
        <v>113</v>
      </c>
      <c r="I599" s="15">
        <v>45013</v>
      </c>
      <c r="J599" s="15" t="s">
        <v>232</v>
      </c>
      <c r="K599" s="6">
        <v>5.9722222222222225E-2</v>
      </c>
      <c r="L599" t="s">
        <v>142</v>
      </c>
      <c r="M599">
        <v>1000000</v>
      </c>
      <c r="N599" t="s">
        <v>209</v>
      </c>
      <c r="O599" t="s">
        <v>152</v>
      </c>
      <c r="P599">
        <v>72</v>
      </c>
      <c r="Q599" t="s">
        <v>156</v>
      </c>
    </row>
    <row r="600" spans="1:17" x14ac:dyDescent="0.2">
      <c r="A600">
        <v>422786</v>
      </c>
      <c r="B600">
        <v>1530</v>
      </c>
      <c r="C600" s="1" t="s">
        <v>104</v>
      </c>
      <c r="D600" s="10">
        <v>45195.042361111111</v>
      </c>
      <c r="E600" t="s">
        <v>97</v>
      </c>
      <c r="F600" t="s">
        <v>65</v>
      </c>
      <c r="G600">
        <v>642</v>
      </c>
      <c r="H600" s="5" t="s">
        <v>104</v>
      </c>
      <c r="I600" s="15">
        <v>45195</v>
      </c>
      <c r="J600" s="15" t="s">
        <v>234</v>
      </c>
      <c r="K600" s="6">
        <v>4.2361111111111113E-2</v>
      </c>
      <c r="L600" t="s">
        <v>146</v>
      </c>
      <c r="M600">
        <v>200000</v>
      </c>
      <c r="N600" t="s">
        <v>225</v>
      </c>
      <c r="O600" t="s">
        <v>152</v>
      </c>
      <c r="P600">
        <v>79</v>
      </c>
      <c r="Q600" t="s">
        <v>157</v>
      </c>
    </row>
    <row r="601" spans="1:17" x14ac:dyDescent="0.2">
      <c r="A601">
        <v>423114</v>
      </c>
      <c r="B601">
        <v>1201</v>
      </c>
      <c r="C601" s="1" t="s">
        <v>100</v>
      </c>
      <c r="D601" s="10">
        <v>44983.993055555555</v>
      </c>
      <c r="E601" t="s">
        <v>98</v>
      </c>
      <c r="F601" t="s">
        <v>24</v>
      </c>
      <c r="G601">
        <v>6057</v>
      </c>
      <c r="H601" s="5" t="s">
        <v>100</v>
      </c>
      <c r="I601" s="15">
        <v>44983</v>
      </c>
      <c r="J601" s="15" t="s">
        <v>232</v>
      </c>
      <c r="K601" s="6">
        <v>0.49305555555555558</v>
      </c>
      <c r="L601" t="s">
        <v>143</v>
      </c>
      <c r="M601">
        <v>200000</v>
      </c>
      <c r="N601" t="s">
        <v>214</v>
      </c>
      <c r="O601" t="s">
        <v>151</v>
      </c>
      <c r="P601">
        <v>89</v>
      </c>
      <c r="Q601" t="s">
        <v>156</v>
      </c>
    </row>
    <row r="602" spans="1:17" x14ac:dyDescent="0.2">
      <c r="A602">
        <v>423933</v>
      </c>
      <c r="B602">
        <v>703</v>
      </c>
      <c r="C602" s="1" t="s">
        <v>99</v>
      </c>
      <c r="D602" s="10">
        <v>45007.063194444447</v>
      </c>
      <c r="E602" t="s">
        <v>191</v>
      </c>
      <c r="F602" t="s">
        <v>70</v>
      </c>
      <c r="G602">
        <v>4027</v>
      </c>
      <c r="H602" s="5" t="s">
        <v>99</v>
      </c>
      <c r="I602" s="15">
        <v>45007</v>
      </c>
      <c r="J602" s="15" t="s">
        <v>232</v>
      </c>
      <c r="K602" s="6">
        <v>6.3194444444444442E-2</v>
      </c>
      <c r="L602" t="s">
        <v>143</v>
      </c>
      <c r="M602">
        <v>100000</v>
      </c>
      <c r="N602" t="s">
        <v>205</v>
      </c>
      <c r="O602" t="s">
        <v>151</v>
      </c>
      <c r="P602">
        <v>84</v>
      </c>
      <c r="Q602" t="s">
        <v>155</v>
      </c>
    </row>
    <row r="603" spans="1:17" x14ac:dyDescent="0.2">
      <c r="A603">
        <v>424079</v>
      </c>
      <c r="B603">
        <v>1816</v>
      </c>
      <c r="C603" s="1" t="s">
        <v>105</v>
      </c>
      <c r="D603" s="10">
        <v>45263.006249999999</v>
      </c>
      <c r="E603" t="s">
        <v>97</v>
      </c>
      <c r="F603" t="s">
        <v>71</v>
      </c>
      <c r="G603">
        <v>9152</v>
      </c>
      <c r="H603" s="5" t="s">
        <v>105</v>
      </c>
      <c r="I603" s="15">
        <v>45263</v>
      </c>
      <c r="J603" s="15" t="s">
        <v>295</v>
      </c>
      <c r="K603" s="6">
        <v>0.50624999999999998</v>
      </c>
      <c r="L603" t="s">
        <v>145</v>
      </c>
      <c r="M603">
        <v>150000</v>
      </c>
      <c r="N603" t="s">
        <v>226</v>
      </c>
      <c r="O603" t="s">
        <v>151</v>
      </c>
      <c r="P603">
        <v>75</v>
      </c>
      <c r="Q603" t="s">
        <v>157</v>
      </c>
    </row>
    <row r="604" spans="1:17" x14ac:dyDescent="0.2">
      <c r="A604">
        <v>424517</v>
      </c>
      <c r="B604">
        <v>870</v>
      </c>
      <c r="C604" s="1" t="s">
        <v>113</v>
      </c>
      <c r="D604" s="10">
        <v>44934.026388888888</v>
      </c>
      <c r="E604" t="s">
        <v>97</v>
      </c>
      <c r="F604" t="s">
        <v>43</v>
      </c>
      <c r="G604">
        <v>2515</v>
      </c>
      <c r="H604" s="5" t="s">
        <v>113</v>
      </c>
      <c r="I604" s="15">
        <v>44934</v>
      </c>
      <c r="J604" s="15" t="s">
        <v>232</v>
      </c>
      <c r="K604" s="6">
        <v>0.52638888888888891</v>
      </c>
      <c r="L604" t="s">
        <v>145</v>
      </c>
      <c r="M604">
        <v>1000000</v>
      </c>
      <c r="N604" t="s">
        <v>203</v>
      </c>
      <c r="O604" t="s">
        <v>151</v>
      </c>
      <c r="P604">
        <v>65</v>
      </c>
      <c r="Q604" t="s">
        <v>155</v>
      </c>
    </row>
    <row r="605" spans="1:17" x14ac:dyDescent="0.2">
      <c r="A605">
        <v>425030</v>
      </c>
      <c r="B605">
        <v>1231</v>
      </c>
      <c r="C605" s="1" t="s">
        <v>104</v>
      </c>
      <c r="D605" s="10">
        <v>44984.058333333334</v>
      </c>
      <c r="E605" t="s">
        <v>191</v>
      </c>
      <c r="F605" t="s">
        <v>45</v>
      </c>
      <c r="G605">
        <v>5268</v>
      </c>
      <c r="H605" s="5" t="s">
        <v>104</v>
      </c>
      <c r="I605" s="15">
        <v>44984</v>
      </c>
      <c r="J605" s="15" t="s">
        <v>232</v>
      </c>
      <c r="K605" s="6">
        <v>5.8333333333333334E-2</v>
      </c>
      <c r="L605" t="s">
        <v>142</v>
      </c>
      <c r="M605">
        <v>100000</v>
      </c>
      <c r="N605" t="s">
        <v>197</v>
      </c>
      <c r="O605" t="s">
        <v>151</v>
      </c>
      <c r="P605">
        <v>83</v>
      </c>
      <c r="Q605" t="s">
        <v>156</v>
      </c>
    </row>
    <row r="606" spans="1:17" x14ac:dyDescent="0.2">
      <c r="A606">
        <v>425321</v>
      </c>
      <c r="B606">
        <v>117</v>
      </c>
      <c r="C606" s="1" t="s">
        <v>113</v>
      </c>
      <c r="D606" s="10">
        <v>45151.059027777781</v>
      </c>
      <c r="E606" t="s">
        <v>96</v>
      </c>
      <c r="F606" t="s">
        <v>58</v>
      </c>
      <c r="G606">
        <v>4727</v>
      </c>
      <c r="H606" s="5" t="s">
        <v>113</v>
      </c>
      <c r="I606" s="15">
        <v>45151</v>
      </c>
      <c r="J606" s="15" t="s">
        <v>234</v>
      </c>
      <c r="K606" s="6">
        <v>5.9027777777777776E-2</v>
      </c>
      <c r="L606" t="s">
        <v>143</v>
      </c>
      <c r="M606">
        <v>80000</v>
      </c>
      <c r="N606" t="s">
        <v>214</v>
      </c>
      <c r="O606" t="s">
        <v>152</v>
      </c>
      <c r="P606">
        <v>28</v>
      </c>
      <c r="Q606" t="s">
        <v>154</v>
      </c>
    </row>
    <row r="607" spans="1:17" x14ac:dyDescent="0.2">
      <c r="A607">
        <v>425554</v>
      </c>
      <c r="B607">
        <v>1363</v>
      </c>
      <c r="C607" s="1" t="s">
        <v>100</v>
      </c>
      <c r="D607" s="10">
        <v>45171.977083333331</v>
      </c>
      <c r="E607" t="s">
        <v>98</v>
      </c>
      <c r="F607" t="s">
        <v>67</v>
      </c>
      <c r="G607">
        <v>6327</v>
      </c>
      <c r="H607" s="5" t="s">
        <v>100</v>
      </c>
      <c r="I607" s="15">
        <v>45171</v>
      </c>
      <c r="J607" s="15" t="s">
        <v>234</v>
      </c>
      <c r="K607" s="6">
        <v>0.47708333333333336</v>
      </c>
      <c r="L607" t="s">
        <v>142</v>
      </c>
      <c r="M607">
        <v>100000</v>
      </c>
      <c r="N607" t="s">
        <v>213</v>
      </c>
      <c r="O607" t="s">
        <v>152</v>
      </c>
      <c r="P607">
        <v>81</v>
      </c>
      <c r="Q607" t="s">
        <v>156</v>
      </c>
    </row>
    <row r="608" spans="1:17" x14ac:dyDescent="0.2">
      <c r="A608">
        <v>425673</v>
      </c>
      <c r="B608">
        <v>1058</v>
      </c>
      <c r="C608" s="1" t="s">
        <v>113</v>
      </c>
      <c r="D608" s="10">
        <v>45196.030555555553</v>
      </c>
      <c r="E608" t="s">
        <v>98</v>
      </c>
      <c r="F608" t="s">
        <v>11</v>
      </c>
      <c r="G608">
        <v>491</v>
      </c>
      <c r="H608" s="5" t="s">
        <v>113</v>
      </c>
      <c r="I608" s="15">
        <v>45196</v>
      </c>
      <c r="J608" s="15" t="s">
        <v>234</v>
      </c>
      <c r="K608" s="6">
        <v>0.53055555555555556</v>
      </c>
      <c r="L608" t="s">
        <v>143</v>
      </c>
      <c r="M608">
        <v>150000</v>
      </c>
      <c r="N608" t="s">
        <v>204</v>
      </c>
      <c r="O608" t="s">
        <v>152</v>
      </c>
      <c r="P608">
        <v>74</v>
      </c>
      <c r="Q608" t="s">
        <v>156</v>
      </c>
    </row>
    <row r="609" spans="1:17" x14ac:dyDescent="0.2">
      <c r="A609">
        <v>426056</v>
      </c>
      <c r="B609">
        <v>1138</v>
      </c>
      <c r="C609" s="1" t="s">
        <v>101</v>
      </c>
      <c r="D609" s="10">
        <v>45034.988888888889</v>
      </c>
      <c r="E609" t="s">
        <v>97</v>
      </c>
      <c r="F609" t="s">
        <v>44</v>
      </c>
      <c r="G609">
        <v>3481</v>
      </c>
      <c r="H609" s="5" t="s">
        <v>101</v>
      </c>
      <c r="I609" s="15">
        <v>45034</v>
      </c>
      <c r="J609" s="15" t="s">
        <v>233</v>
      </c>
      <c r="K609" s="6">
        <v>0.48888888888888887</v>
      </c>
      <c r="L609" t="s">
        <v>144</v>
      </c>
      <c r="M609">
        <v>150000</v>
      </c>
      <c r="N609" t="s">
        <v>199</v>
      </c>
      <c r="O609" t="s">
        <v>152</v>
      </c>
      <c r="P609">
        <v>83</v>
      </c>
      <c r="Q609" t="s">
        <v>156</v>
      </c>
    </row>
    <row r="610" spans="1:17" x14ac:dyDescent="0.2">
      <c r="A610">
        <v>426461</v>
      </c>
      <c r="B610">
        <v>254</v>
      </c>
      <c r="C610" s="1" t="s">
        <v>100</v>
      </c>
      <c r="D610" s="10">
        <v>44959.076388888891</v>
      </c>
      <c r="E610" t="s">
        <v>191</v>
      </c>
      <c r="F610" t="s">
        <v>27</v>
      </c>
      <c r="G610">
        <v>6998</v>
      </c>
      <c r="H610" s="5" t="s">
        <v>100</v>
      </c>
      <c r="I610" s="15">
        <v>44959</v>
      </c>
      <c r="J610" s="15" t="s">
        <v>232</v>
      </c>
      <c r="K610" s="6">
        <v>7.6388888888888895E-2</v>
      </c>
      <c r="L610" t="s">
        <v>142</v>
      </c>
      <c r="M610">
        <v>1000000</v>
      </c>
      <c r="N610" t="s">
        <v>209</v>
      </c>
      <c r="O610" t="s">
        <v>152</v>
      </c>
      <c r="P610">
        <v>88</v>
      </c>
      <c r="Q610" t="s">
        <v>154</v>
      </c>
    </row>
    <row r="611" spans="1:17" x14ac:dyDescent="0.2">
      <c r="A611">
        <v>426515</v>
      </c>
      <c r="B611">
        <v>971</v>
      </c>
      <c r="C611" s="1" t="s">
        <v>100</v>
      </c>
      <c r="D611" s="10">
        <v>45219.036805555559</v>
      </c>
      <c r="E611" t="s">
        <v>191</v>
      </c>
      <c r="F611" t="s">
        <v>27</v>
      </c>
      <c r="G611">
        <v>6753</v>
      </c>
      <c r="H611" s="5" t="s">
        <v>100</v>
      </c>
      <c r="I611" s="15">
        <v>45219</v>
      </c>
      <c r="J611" s="15" t="s">
        <v>295</v>
      </c>
      <c r="K611" s="6">
        <v>0.53680555555555554</v>
      </c>
      <c r="L611" t="s">
        <v>142</v>
      </c>
      <c r="M611">
        <v>1000000</v>
      </c>
      <c r="N611" t="s">
        <v>209</v>
      </c>
      <c r="O611" t="s">
        <v>151</v>
      </c>
      <c r="P611">
        <v>22</v>
      </c>
      <c r="Q611" t="s">
        <v>155</v>
      </c>
    </row>
    <row r="612" spans="1:17" x14ac:dyDescent="0.2">
      <c r="A612">
        <v>427737</v>
      </c>
      <c r="B612">
        <v>780</v>
      </c>
      <c r="C612" s="1" t="s">
        <v>113</v>
      </c>
      <c r="D612" s="10">
        <v>45288.040277777778</v>
      </c>
      <c r="E612" t="s">
        <v>191</v>
      </c>
      <c r="F612" t="s">
        <v>73</v>
      </c>
      <c r="G612">
        <v>4456</v>
      </c>
      <c r="H612" s="5" t="s">
        <v>113</v>
      </c>
      <c r="I612" s="15">
        <v>45288</v>
      </c>
      <c r="J612" s="15" t="s">
        <v>295</v>
      </c>
      <c r="K612" s="6">
        <v>0.54027777777777775</v>
      </c>
      <c r="L612" t="s">
        <v>146</v>
      </c>
      <c r="M612">
        <v>150000</v>
      </c>
      <c r="N612" t="s">
        <v>222</v>
      </c>
      <c r="O612" t="s">
        <v>151</v>
      </c>
      <c r="P612">
        <v>43</v>
      </c>
      <c r="Q612" t="s">
        <v>155</v>
      </c>
    </row>
    <row r="613" spans="1:17" x14ac:dyDescent="0.2">
      <c r="A613">
        <v>429796</v>
      </c>
      <c r="B613">
        <v>771</v>
      </c>
      <c r="C613" s="1" t="s">
        <v>108</v>
      </c>
      <c r="D613" s="10">
        <v>45171.030555555553</v>
      </c>
      <c r="E613" t="s">
        <v>98</v>
      </c>
      <c r="F613" t="s">
        <v>64</v>
      </c>
      <c r="G613">
        <v>9994</v>
      </c>
      <c r="H613" s="5" t="s">
        <v>108</v>
      </c>
      <c r="I613" s="15">
        <v>45171</v>
      </c>
      <c r="J613" s="15" t="s">
        <v>234</v>
      </c>
      <c r="K613" s="6">
        <v>0.53055555555555556</v>
      </c>
      <c r="L613" t="s">
        <v>143</v>
      </c>
      <c r="M613">
        <v>100000</v>
      </c>
      <c r="N613" t="s">
        <v>223</v>
      </c>
      <c r="O613" t="s">
        <v>151</v>
      </c>
      <c r="P613">
        <v>82</v>
      </c>
      <c r="Q613" t="s">
        <v>155</v>
      </c>
    </row>
    <row r="614" spans="1:17" x14ac:dyDescent="0.2">
      <c r="A614">
        <v>430092</v>
      </c>
      <c r="B614">
        <v>1814</v>
      </c>
      <c r="C614" s="1" t="s">
        <v>99</v>
      </c>
      <c r="D614" s="10">
        <v>45229.056944444441</v>
      </c>
      <c r="E614" t="s">
        <v>98</v>
      </c>
      <c r="F614" t="s">
        <v>26</v>
      </c>
      <c r="G614">
        <v>5251</v>
      </c>
      <c r="H614" s="5" t="s">
        <v>99</v>
      </c>
      <c r="I614" s="15">
        <v>45229</v>
      </c>
      <c r="J614" s="15" t="s">
        <v>295</v>
      </c>
      <c r="K614" s="6">
        <v>5.6944444444444443E-2</v>
      </c>
      <c r="L614" t="s">
        <v>145</v>
      </c>
      <c r="M614">
        <v>100000</v>
      </c>
      <c r="N614" t="s">
        <v>210</v>
      </c>
      <c r="O614" t="s">
        <v>151</v>
      </c>
      <c r="P614">
        <v>86</v>
      </c>
      <c r="Q614" t="s">
        <v>157</v>
      </c>
    </row>
    <row r="615" spans="1:17" x14ac:dyDescent="0.2">
      <c r="A615">
        <v>431955</v>
      </c>
      <c r="B615">
        <v>997</v>
      </c>
      <c r="C615" s="1" t="s">
        <v>113</v>
      </c>
      <c r="D615" s="10">
        <v>44997.042361111111</v>
      </c>
      <c r="E615" t="s">
        <v>191</v>
      </c>
      <c r="F615" t="s">
        <v>74</v>
      </c>
      <c r="G615">
        <v>9387</v>
      </c>
      <c r="H615" s="5" t="s">
        <v>113</v>
      </c>
      <c r="I615" s="15">
        <v>44997</v>
      </c>
      <c r="J615" s="15" t="s">
        <v>232</v>
      </c>
      <c r="K615" s="6">
        <v>4.2361111111111113E-2</v>
      </c>
      <c r="L615" t="s">
        <v>145</v>
      </c>
      <c r="M615">
        <v>150000</v>
      </c>
      <c r="N615" t="s">
        <v>226</v>
      </c>
      <c r="O615" t="s">
        <v>152</v>
      </c>
      <c r="P615">
        <v>58</v>
      </c>
      <c r="Q615" t="s">
        <v>155</v>
      </c>
    </row>
    <row r="616" spans="1:17" x14ac:dyDescent="0.2">
      <c r="A616">
        <v>432167</v>
      </c>
      <c r="B616">
        <v>1543</v>
      </c>
      <c r="C616" s="1" t="s">
        <v>99</v>
      </c>
      <c r="D616" s="10">
        <v>44969.02847222222</v>
      </c>
      <c r="E616" t="s">
        <v>98</v>
      </c>
      <c r="F616" t="s">
        <v>88</v>
      </c>
      <c r="G616">
        <v>3319</v>
      </c>
      <c r="H616" s="5" t="s">
        <v>99</v>
      </c>
      <c r="I616" s="15">
        <v>44969</v>
      </c>
      <c r="J616" s="15" t="s">
        <v>232</v>
      </c>
      <c r="K616" s="6">
        <v>0.52847222222222223</v>
      </c>
      <c r="L616" t="s">
        <v>144</v>
      </c>
      <c r="M616">
        <v>100000</v>
      </c>
      <c r="N616" t="s">
        <v>200</v>
      </c>
      <c r="O616" t="s">
        <v>151</v>
      </c>
      <c r="P616">
        <v>68</v>
      </c>
      <c r="Q616" t="s">
        <v>157</v>
      </c>
    </row>
    <row r="617" spans="1:17" x14ac:dyDescent="0.2">
      <c r="A617">
        <v>432633</v>
      </c>
      <c r="B617">
        <v>1738</v>
      </c>
      <c r="C617" s="1" t="s">
        <v>100</v>
      </c>
      <c r="D617" s="10">
        <v>44968.049305555556</v>
      </c>
      <c r="E617" t="s">
        <v>98</v>
      </c>
      <c r="F617" t="s">
        <v>73</v>
      </c>
      <c r="G617">
        <v>9557</v>
      </c>
      <c r="H617" s="5" t="s">
        <v>100</v>
      </c>
      <c r="I617" s="15">
        <v>44968</v>
      </c>
      <c r="J617" s="15" t="s">
        <v>232</v>
      </c>
      <c r="K617" s="6">
        <v>4.9305555555555554E-2</v>
      </c>
      <c r="L617" t="s">
        <v>146</v>
      </c>
      <c r="M617">
        <v>150000</v>
      </c>
      <c r="N617" t="s">
        <v>222</v>
      </c>
      <c r="O617" t="s">
        <v>151</v>
      </c>
      <c r="P617">
        <v>27</v>
      </c>
      <c r="Q617" t="s">
        <v>157</v>
      </c>
    </row>
    <row r="618" spans="1:17" x14ac:dyDescent="0.2">
      <c r="A618">
        <v>434591</v>
      </c>
      <c r="B618">
        <v>1450</v>
      </c>
      <c r="C618" s="1" t="s">
        <v>100</v>
      </c>
      <c r="D618" s="10">
        <v>44984.041666666664</v>
      </c>
      <c r="E618" t="s">
        <v>96</v>
      </c>
      <c r="F618" t="s">
        <v>76</v>
      </c>
      <c r="G618">
        <v>4060</v>
      </c>
      <c r="H618" s="5" t="s">
        <v>100</v>
      </c>
      <c r="I618" s="15">
        <v>44984</v>
      </c>
      <c r="J618" s="15" t="s">
        <v>232</v>
      </c>
      <c r="K618" s="6">
        <v>4.1666666666666664E-2</v>
      </c>
      <c r="L618" t="s">
        <v>142</v>
      </c>
      <c r="M618">
        <v>80000</v>
      </c>
      <c r="N618" t="s">
        <v>201</v>
      </c>
      <c r="O618" t="s">
        <v>151</v>
      </c>
      <c r="P618">
        <v>27</v>
      </c>
      <c r="Q618" t="s">
        <v>156</v>
      </c>
    </row>
    <row r="619" spans="1:17" x14ac:dyDescent="0.2">
      <c r="A619">
        <v>435768</v>
      </c>
      <c r="B619">
        <v>74</v>
      </c>
      <c r="C619" s="1" t="s">
        <v>99</v>
      </c>
      <c r="D619" s="10">
        <v>44970.022222222222</v>
      </c>
      <c r="E619" t="s">
        <v>191</v>
      </c>
      <c r="F619" t="s">
        <v>72</v>
      </c>
      <c r="G619">
        <v>5262</v>
      </c>
      <c r="H619" s="5" t="s">
        <v>99</v>
      </c>
      <c r="I619" s="15">
        <v>44970</v>
      </c>
      <c r="J619" s="15" t="s">
        <v>232</v>
      </c>
      <c r="K619" s="6">
        <v>0.52222222222222225</v>
      </c>
      <c r="L619" t="s">
        <v>143</v>
      </c>
      <c r="M619">
        <v>150000</v>
      </c>
      <c r="N619" t="s">
        <v>223</v>
      </c>
      <c r="O619" t="s">
        <v>152</v>
      </c>
      <c r="P619">
        <v>28</v>
      </c>
      <c r="Q619" t="s">
        <v>154</v>
      </c>
    </row>
    <row r="620" spans="1:17" x14ac:dyDescent="0.2">
      <c r="A620">
        <v>438673</v>
      </c>
      <c r="B620">
        <v>1769</v>
      </c>
      <c r="C620" s="1" t="s">
        <v>105</v>
      </c>
      <c r="D620" s="10">
        <v>45284.94027777778</v>
      </c>
      <c r="E620" t="s">
        <v>97</v>
      </c>
      <c r="F620" t="s">
        <v>25</v>
      </c>
      <c r="G620">
        <v>6941</v>
      </c>
      <c r="H620" s="5" t="s">
        <v>105</v>
      </c>
      <c r="I620" s="15">
        <v>45284</v>
      </c>
      <c r="J620" s="15" t="s">
        <v>295</v>
      </c>
      <c r="K620" s="6">
        <v>0.44027777777777777</v>
      </c>
      <c r="L620" t="s">
        <v>142</v>
      </c>
      <c r="M620">
        <v>100000</v>
      </c>
      <c r="N620" t="s">
        <v>201</v>
      </c>
      <c r="O620" t="s">
        <v>151</v>
      </c>
      <c r="P620">
        <v>27</v>
      </c>
      <c r="Q620" t="s">
        <v>157</v>
      </c>
    </row>
    <row r="621" spans="1:17" x14ac:dyDescent="0.2">
      <c r="A621">
        <v>439833</v>
      </c>
      <c r="B621">
        <v>1472</v>
      </c>
      <c r="C621" s="1" t="s">
        <v>99</v>
      </c>
      <c r="D621" s="10">
        <v>45081.099305555559</v>
      </c>
      <c r="E621" t="s">
        <v>98</v>
      </c>
      <c r="F621" t="s">
        <v>4</v>
      </c>
      <c r="G621">
        <v>3338</v>
      </c>
      <c r="H621" s="5" t="s">
        <v>99</v>
      </c>
      <c r="I621" s="15">
        <v>45081</v>
      </c>
      <c r="J621" s="15" t="s">
        <v>233</v>
      </c>
      <c r="K621" s="6">
        <v>9.930555555555555E-2</v>
      </c>
      <c r="L621" t="s">
        <v>142</v>
      </c>
      <c r="M621">
        <v>200000</v>
      </c>
      <c r="N621" t="s">
        <v>197</v>
      </c>
      <c r="O621" t="s">
        <v>152</v>
      </c>
      <c r="P621">
        <v>83</v>
      </c>
      <c r="Q621" t="s">
        <v>156</v>
      </c>
    </row>
    <row r="622" spans="1:17" x14ac:dyDescent="0.2">
      <c r="A622">
        <v>439986</v>
      </c>
      <c r="B622">
        <v>1256</v>
      </c>
      <c r="C622" s="1" t="s">
        <v>105</v>
      </c>
      <c r="D622" s="10">
        <v>45129.036805555559</v>
      </c>
      <c r="E622" t="s">
        <v>97</v>
      </c>
      <c r="F622" t="s">
        <v>14</v>
      </c>
      <c r="G622">
        <v>6038</v>
      </c>
      <c r="H622" s="5" t="s">
        <v>105</v>
      </c>
      <c r="I622" s="15">
        <v>45129</v>
      </c>
      <c r="J622" s="15" t="s">
        <v>234</v>
      </c>
      <c r="K622" s="6">
        <v>0.53680555555555554</v>
      </c>
      <c r="L622" t="s">
        <v>142</v>
      </c>
      <c r="M622">
        <v>250000</v>
      </c>
      <c r="N622" t="s">
        <v>207</v>
      </c>
      <c r="O622" t="s">
        <v>151</v>
      </c>
      <c r="P622">
        <v>29</v>
      </c>
      <c r="Q622" t="s">
        <v>156</v>
      </c>
    </row>
    <row r="623" spans="1:17" x14ac:dyDescent="0.2">
      <c r="A623">
        <v>440925</v>
      </c>
      <c r="B623">
        <v>419</v>
      </c>
      <c r="C623" s="1" t="s">
        <v>100</v>
      </c>
      <c r="D623" s="10">
        <v>44943.013194444444</v>
      </c>
      <c r="E623" t="s">
        <v>96</v>
      </c>
      <c r="F623" t="s">
        <v>77</v>
      </c>
      <c r="G623">
        <v>8432</v>
      </c>
      <c r="H623" s="5" t="s">
        <v>100</v>
      </c>
      <c r="I623" s="15">
        <v>44943</v>
      </c>
      <c r="J623" s="15" t="s">
        <v>232</v>
      </c>
      <c r="K623" s="6">
        <v>0.5131944444444444</v>
      </c>
      <c r="L623" t="s">
        <v>146</v>
      </c>
      <c r="M623">
        <v>100000</v>
      </c>
      <c r="N623" t="s">
        <v>222</v>
      </c>
      <c r="O623" t="s">
        <v>151</v>
      </c>
      <c r="P623">
        <v>66</v>
      </c>
      <c r="Q623" t="s">
        <v>154</v>
      </c>
    </row>
    <row r="624" spans="1:17" x14ac:dyDescent="0.2">
      <c r="A624">
        <v>441275</v>
      </c>
      <c r="B624">
        <v>685</v>
      </c>
      <c r="C624" s="1" t="s">
        <v>101</v>
      </c>
      <c r="D624" s="10">
        <v>44944.98333333333</v>
      </c>
      <c r="E624" t="s">
        <v>96</v>
      </c>
      <c r="F624" t="s">
        <v>20</v>
      </c>
      <c r="G624">
        <v>7319</v>
      </c>
      <c r="H624" s="5" t="s">
        <v>101</v>
      </c>
      <c r="I624" s="15">
        <v>44944</v>
      </c>
      <c r="J624" s="15" t="s">
        <v>232</v>
      </c>
      <c r="K624" s="6">
        <v>0.48333333333333334</v>
      </c>
      <c r="L624" t="s">
        <v>146</v>
      </c>
      <c r="M624">
        <v>150000</v>
      </c>
      <c r="N624" t="s">
        <v>212</v>
      </c>
      <c r="O624" t="s">
        <v>151</v>
      </c>
      <c r="P624">
        <v>50</v>
      </c>
      <c r="Q624" t="s">
        <v>155</v>
      </c>
    </row>
    <row r="625" spans="1:17" x14ac:dyDescent="0.2">
      <c r="A625">
        <v>441310</v>
      </c>
      <c r="B625">
        <v>880</v>
      </c>
      <c r="C625" s="1" t="s">
        <v>113</v>
      </c>
      <c r="D625" s="10">
        <v>45258.978472222225</v>
      </c>
      <c r="E625" t="s">
        <v>98</v>
      </c>
      <c r="F625" t="s">
        <v>41</v>
      </c>
      <c r="G625">
        <v>3544</v>
      </c>
      <c r="H625" s="5" t="s">
        <v>113</v>
      </c>
      <c r="I625" s="15">
        <v>45258</v>
      </c>
      <c r="J625" s="15" t="s">
        <v>295</v>
      </c>
      <c r="K625" s="6">
        <v>0.47847222222222224</v>
      </c>
      <c r="L625" t="s">
        <v>145</v>
      </c>
      <c r="M625">
        <v>150000</v>
      </c>
      <c r="N625" t="s">
        <v>203</v>
      </c>
      <c r="O625" t="s">
        <v>151</v>
      </c>
      <c r="P625">
        <v>44</v>
      </c>
      <c r="Q625" t="s">
        <v>155</v>
      </c>
    </row>
    <row r="626" spans="1:17" x14ac:dyDescent="0.2">
      <c r="A626">
        <v>442615</v>
      </c>
      <c r="B626">
        <v>1196</v>
      </c>
      <c r="C626" s="1" t="s">
        <v>99</v>
      </c>
      <c r="D626" s="10">
        <v>45255.941666666666</v>
      </c>
      <c r="E626" t="s">
        <v>97</v>
      </c>
      <c r="F626" t="s">
        <v>87</v>
      </c>
      <c r="G626">
        <v>6526</v>
      </c>
      <c r="H626" s="5" t="s">
        <v>99</v>
      </c>
      <c r="I626" s="15">
        <v>45255</v>
      </c>
      <c r="J626" s="15" t="s">
        <v>295</v>
      </c>
      <c r="K626" s="6">
        <v>0.44166666666666665</v>
      </c>
      <c r="L626" t="s">
        <v>144</v>
      </c>
      <c r="M626">
        <v>100000</v>
      </c>
      <c r="N626" t="s">
        <v>216</v>
      </c>
      <c r="O626" t="s">
        <v>151</v>
      </c>
      <c r="P626">
        <v>82</v>
      </c>
      <c r="Q626" t="s">
        <v>156</v>
      </c>
    </row>
    <row r="627" spans="1:17" x14ac:dyDescent="0.2">
      <c r="A627">
        <v>442842</v>
      </c>
      <c r="B627">
        <v>226</v>
      </c>
      <c r="C627" s="1" t="s">
        <v>99</v>
      </c>
      <c r="D627" s="10">
        <v>45000.951388888891</v>
      </c>
      <c r="E627" t="s">
        <v>97</v>
      </c>
      <c r="F627" t="s">
        <v>23</v>
      </c>
      <c r="G627">
        <v>4064</v>
      </c>
      <c r="H627" s="5" t="s">
        <v>99</v>
      </c>
      <c r="I627" s="15">
        <v>45000</v>
      </c>
      <c r="J627" s="15" t="s">
        <v>232</v>
      </c>
      <c r="K627" s="6">
        <v>0.4513888888888889</v>
      </c>
      <c r="L627" t="s">
        <v>142</v>
      </c>
      <c r="M627">
        <v>150000</v>
      </c>
      <c r="N627" t="s">
        <v>213</v>
      </c>
      <c r="O627" t="s">
        <v>151</v>
      </c>
      <c r="P627">
        <v>31</v>
      </c>
      <c r="Q627" t="s">
        <v>154</v>
      </c>
    </row>
    <row r="628" spans="1:17" x14ac:dyDescent="0.2">
      <c r="A628">
        <v>443374</v>
      </c>
      <c r="B628">
        <v>47</v>
      </c>
      <c r="C628" s="1" t="s">
        <v>105</v>
      </c>
      <c r="D628" s="10">
        <v>45061.093055555553</v>
      </c>
      <c r="E628" t="s">
        <v>98</v>
      </c>
      <c r="F628" t="s">
        <v>49</v>
      </c>
      <c r="G628">
        <v>768</v>
      </c>
      <c r="H628" s="5" t="s">
        <v>105</v>
      </c>
      <c r="I628" s="15">
        <v>45061</v>
      </c>
      <c r="J628" s="15" t="s">
        <v>233</v>
      </c>
      <c r="K628" s="6">
        <v>9.3055555555555558E-2</v>
      </c>
      <c r="L628" t="s">
        <v>146</v>
      </c>
      <c r="M628">
        <v>100000</v>
      </c>
      <c r="N628" t="s">
        <v>222</v>
      </c>
      <c r="O628" t="s">
        <v>151</v>
      </c>
      <c r="P628">
        <v>25</v>
      </c>
      <c r="Q628" t="s">
        <v>154</v>
      </c>
    </row>
    <row r="629" spans="1:17" x14ac:dyDescent="0.2">
      <c r="A629">
        <v>443577</v>
      </c>
      <c r="B629">
        <v>507</v>
      </c>
      <c r="C629" s="1" t="s">
        <v>99</v>
      </c>
      <c r="D629" s="10">
        <v>45186.06527777778</v>
      </c>
      <c r="E629" t="s">
        <v>97</v>
      </c>
      <c r="F629" t="s">
        <v>71</v>
      </c>
      <c r="G629">
        <v>7940</v>
      </c>
      <c r="H629" s="5" t="s">
        <v>99</v>
      </c>
      <c r="I629" s="15">
        <v>45186</v>
      </c>
      <c r="J629" s="15" t="s">
        <v>234</v>
      </c>
      <c r="K629" s="6">
        <v>6.5277777777777782E-2</v>
      </c>
      <c r="L629" t="s">
        <v>145</v>
      </c>
      <c r="M629">
        <v>150000</v>
      </c>
      <c r="N629" t="s">
        <v>226</v>
      </c>
      <c r="O629" t="s">
        <v>151</v>
      </c>
      <c r="P629">
        <v>35</v>
      </c>
      <c r="Q629" t="s">
        <v>155</v>
      </c>
    </row>
    <row r="630" spans="1:17" x14ac:dyDescent="0.2">
      <c r="A630">
        <v>443968</v>
      </c>
      <c r="B630">
        <v>1179</v>
      </c>
      <c r="C630" s="1" t="s">
        <v>105</v>
      </c>
      <c r="D630" s="10">
        <v>45211.027083333334</v>
      </c>
      <c r="E630" t="s">
        <v>97</v>
      </c>
      <c r="F630" t="s">
        <v>55</v>
      </c>
      <c r="G630">
        <v>7784</v>
      </c>
      <c r="H630" s="5" t="s">
        <v>105</v>
      </c>
      <c r="I630" s="15">
        <v>45211</v>
      </c>
      <c r="J630" s="15" t="s">
        <v>295</v>
      </c>
      <c r="K630" s="6">
        <v>0.52708333333333335</v>
      </c>
      <c r="L630" t="s">
        <v>144</v>
      </c>
      <c r="M630">
        <v>100000</v>
      </c>
      <c r="N630" t="s">
        <v>219</v>
      </c>
      <c r="O630" t="s">
        <v>152</v>
      </c>
      <c r="P630">
        <v>49</v>
      </c>
      <c r="Q630" t="s">
        <v>156</v>
      </c>
    </row>
    <row r="631" spans="1:17" x14ac:dyDescent="0.2">
      <c r="A631">
        <v>444540</v>
      </c>
      <c r="B631">
        <v>112</v>
      </c>
      <c r="C631" s="1" t="s">
        <v>99</v>
      </c>
      <c r="D631" s="10">
        <v>45174.01666666667</v>
      </c>
      <c r="E631" t="s">
        <v>98</v>
      </c>
      <c r="F631" t="s">
        <v>46</v>
      </c>
      <c r="G631">
        <v>8547</v>
      </c>
      <c r="H631" s="5" t="s">
        <v>99</v>
      </c>
      <c r="I631" s="15">
        <v>45174</v>
      </c>
      <c r="J631" s="15" t="s">
        <v>234</v>
      </c>
      <c r="K631" s="6">
        <v>0.51666666666666672</v>
      </c>
      <c r="L631" t="s">
        <v>142</v>
      </c>
      <c r="M631">
        <v>200000</v>
      </c>
      <c r="N631" t="s">
        <v>211</v>
      </c>
      <c r="O631" t="s">
        <v>151</v>
      </c>
      <c r="P631">
        <v>70</v>
      </c>
      <c r="Q631" t="s">
        <v>154</v>
      </c>
    </row>
    <row r="632" spans="1:17" x14ac:dyDescent="0.2">
      <c r="A632">
        <v>445200</v>
      </c>
      <c r="B632">
        <v>465</v>
      </c>
      <c r="C632" s="1" t="s">
        <v>99</v>
      </c>
      <c r="D632" s="10">
        <v>45093.090277777781</v>
      </c>
      <c r="E632" t="s">
        <v>98</v>
      </c>
      <c r="F632" t="s">
        <v>82</v>
      </c>
      <c r="G632">
        <v>2670</v>
      </c>
      <c r="H632" s="5" t="s">
        <v>99</v>
      </c>
      <c r="I632" s="15">
        <v>45093</v>
      </c>
      <c r="J632" s="15" t="s">
        <v>233</v>
      </c>
      <c r="K632" s="6">
        <v>9.0277777777777776E-2</v>
      </c>
      <c r="L632" t="s">
        <v>142</v>
      </c>
      <c r="M632">
        <v>100000</v>
      </c>
      <c r="N632" t="s">
        <v>209</v>
      </c>
      <c r="O632" t="s">
        <v>151</v>
      </c>
      <c r="P632">
        <v>49</v>
      </c>
      <c r="Q632" t="s">
        <v>154</v>
      </c>
    </row>
    <row r="633" spans="1:17" x14ac:dyDescent="0.2">
      <c r="A633">
        <v>445784</v>
      </c>
      <c r="B633">
        <v>899</v>
      </c>
      <c r="C633" s="1" t="s">
        <v>99</v>
      </c>
      <c r="D633" s="10">
        <v>45127.043055555558</v>
      </c>
      <c r="E633" t="s">
        <v>191</v>
      </c>
      <c r="F633" t="s">
        <v>47</v>
      </c>
      <c r="G633">
        <v>7646</v>
      </c>
      <c r="H633" s="5" t="s">
        <v>99</v>
      </c>
      <c r="I633" s="15">
        <v>45127</v>
      </c>
      <c r="J633" s="15" t="s">
        <v>234</v>
      </c>
      <c r="K633" s="6">
        <v>4.3055555555555555E-2</v>
      </c>
      <c r="L633" t="s">
        <v>144</v>
      </c>
      <c r="M633">
        <v>100000</v>
      </c>
      <c r="N633" t="s">
        <v>218</v>
      </c>
      <c r="O633" t="s">
        <v>152</v>
      </c>
      <c r="P633">
        <v>75</v>
      </c>
      <c r="Q633" t="s">
        <v>155</v>
      </c>
    </row>
    <row r="634" spans="1:17" x14ac:dyDescent="0.2">
      <c r="A634">
        <v>446644</v>
      </c>
      <c r="B634">
        <v>1728</v>
      </c>
      <c r="C634" s="1" t="s">
        <v>100</v>
      </c>
      <c r="D634" s="10">
        <v>44948.010416666664</v>
      </c>
      <c r="E634" t="s">
        <v>97</v>
      </c>
      <c r="F634" t="s">
        <v>11</v>
      </c>
      <c r="G634">
        <v>8854</v>
      </c>
      <c r="H634" s="5" t="s">
        <v>100</v>
      </c>
      <c r="I634" s="15">
        <v>44948</v>
      </c>
      <c r="J634" s="15" t="s">
        <v>232</v>
      </c>
      <c r="K634" s="6">
        <v>0.51041666666666663</v>
      </c>
      <c r="L634" t="s">
        <v>143</v>
      </c>
      <c r="M634">
        <v>150000</v>
      </c>
      <c r="N634" t="s">
        <v>204</v>
      </c>
      <c r="O634" t="s">
        <v>152</v>
      </c>
      <c r="P634">
        <v>27</v>
      </c>
      <c r="Q634" t="s">
        <v>157</v>
      </c>
    </row>
    <row r="635" spans="1:17" x14ac:dyDescent="0.2">
      <c r="A635">
        <v>447240</v>
      </c>
      <c r="B635">
        <v>1318</v>
      </c>
      <c r="C635" s="1" t="s">
        <v>99</v>
      </c>
      <c r="D635" s="10">
        <v>45246.963888888888</v>
      </c>
      <c r="E635" t="s">
        <v>96</v>
      </c>
      <c r="F635" t="s">
        <v>44</v>
      </c>
      <c r="G635">
        <v>6512</v>
      </c>
      <c r="H635" s="5" t="s">
        <v>99</v>
      </c>
      <c r="I635" s="15">
        <v>45246</v>
      </c>
      <c r="J635" s="15" t="s">
        <v>295</v>
      </c>
      <c r="K635" s="6">
        <v>0.46388888888888891</v>
      </c>
      <c r="L635" t="s">
        <v>144</v>
      </c>
      <c r="M635">
        <v>150000</v>
      </c>
      <c r="N635" t="s">
        <v>199</v>
      </c>
      <c r="O635" t="s">
        <v>151</v>
      </c>
      <c r="P635">
        <v>24</v>
      </c>
      <c r="Q635" t="s">
        <v>156</v>
      </c>
    </row>
    <row r="636" spans="1:17" x14ac:dyDescent="0.2">
      <c r="A636">
        <v>447917</v>
      </c>
      <c r="B636">
        <v>359</v>
      </c>
      <c r="C636" s="1" t="s">
        <v>100</v>
      </c>
      <c r="D636" s="10">
        <v>45003.990277777775</v>
      </c>
      <c r="E636" t="s">
        <v>98</v>
      </c>
      <c r="F636" t="s">
        <v>78</v>
      </c>
      <c r="G636">
        <v>9321</v>
      </c>
      <c r="H636" s="5" t="s">
        <v>100</v>
      </c>
      <c r="I636" s="15">
        <v>45003</v>
      </c>
      <c r="J636" s="15" t="s">
        <v>232</v>
      </c>
      <c r="K636" s="6">
        <v>0.49027777777777776</v>
      </c>
      <c r="L636" t="s">
        <v>143</v>
      </c>
      <c r="M636">
        <v>200000</v>
      </c>
      <c r="N636" t="s">
        <v>215</v>
      </c>
      <c r="O636" t="s">
        <v>152</v>
      </c>
      <c r="P636">
        <v>37</v>
      </c>
      <c r="Q636" t="s">
        <v>154</v>
      </c>
    </row>
    <row r="637" spans="1:17" x14ac:dyDescent="0.2">
      <c r="A637">
        <v>447970</v>
      </c>
      <c r="B637">
        <v>1464</v>
      </c>
      <c r="C637" s="1" t="s">
        <v>100</v>
      </c>
      <c r="D637" s="10">
        <v>45181.05</v>
      </c>
      <c r="E637" t="s">
        <v>96</v>
      </c>
      <c r="F637" t="s">
        <v>27</v>
      </c>
      <c r="G637">
        <v>2974</v>
      </c>
      <c r="H637" s="5" t="s">
        <v>100</v>
      </c>
      <c r="I637" s="15">
        <v>45181</v>
      </c>
      <c r="J637" s="15" t="s">
        <v>234</v>
      </c>
      <c r="K637" s="6">
        <v>0.05</v>
      </c>
      <c r="L637" t="s">
        <v>142</v>
      </c>
      <c r="M637">
        <v>1000000</v>
      </c>
      <c r="N637" t="s">
        <v>209</v>
      </c>
      <c r="O637" t="s">
        <v>152</v>
      </c>
      <c r="P637">
        <v>73</v>
      </c>
      <c r="Q637" t="s">
        <v>156</v>
      </c>
    </row>
    <row r="638" spans="1:17" x14ac:dyDescent="0.2">
      <c r="A638">
        <v>448027</v>
      </c>
      <c r="B638">
        <v>1046</v>
      </c>
      <c r="C638" s="1" t="s">
        <v>113</v>
      </c>
      <c r="D638" s="10">
        <v>45116.040277777778</v>
      </c>
      <c r="E638" t="s">
        <v>98</v>
      </c>
      <c r="F638" t="s">
        <v>59</v>
      </c>
      <c r="G638">
        <v>532</v>
      </c>
      <c r="H638" s="5" t="s">
        <v>113</v>
      </c>
      <c r="I638" s="15">
        <v>45116</v>
      </c>
      <c r="J638" s="15" t="s">
        <v>234</v>
      </c>
      <c r="K638" s="6">
        <v>0.54027777777777775</v>
      </c>
      <c r="L638" t="s">
        <v>144</v>
      </c>
      <c r="M638">
        <v>80000</v>
      </c>
      <c r="N638" t="s">
        <v>224</v>
      </c>
      <c r="O638" t="s">
        <v>151</v>
      </c>
      <c r="P638">
        <v>52</v>
      </c>
      <c r="Q638" t="s">
        <v>156</v>
      </c>
    </row>
    <row r="639" spans="1:17" x14ac:dyDescent="0.2">
      <c r="A639">
        <v>448164</v>
      </c>
      <c r="B639">
        <v>1502</v>
      </c>
      <c r="C639" s="1" t="s">
        <v>105</v>
      </c>
      <c r="D639" s="10">
        <v>44961.065972222219</v>
      </c>
      <c r="E639" t="s">
        <v>96</v>
      </c>
      <c r="F639" t="s">
        <v>48</v>
      </c>
      <c r="G639">
        <v>3869</v>
      </c>
      <c r="H639" s="5" t="s">
        <v>105</v>
      </c>
      <c r="I639" s="15">
        <v>44961</v>
      </c>
      <c r="J639" s="15" t="s">
        <v>232</v>
      </c>
      <c r="K639" s="6">
        <v>6.5972222222222224E-2</v>
      </c>
      <c r="L639" t="s">
        <v>142</v>
      </c>
      <c r="M639">
        <v>100000</v>
      </c>
      <c r="N639" t="s">
        <v>209</v>
      </c>
      <c r="O639" t="s">
        <v>152</v>
      </c>
      <c r="P639">
        <v>33</v>
      </c>
      <c r="Q639" t="s">
        <v>157</v>
      </c>
    </row>
    <row r="640" spans="1:17" x14ac:dyDescent="0.2">
      <c r="A640">
        <v>448776</v>
      </c>
      <c r="B640">
        <v>1173</v>
      </c>
      <c r="C640" s="1" t="s">
        <v>99</v>
      </c>
      <c r="D640" s="10">
        <v>45273.004861111112</v>
      </c>
      <c r="E640" t="s">
        <v>191</v>
      </c>
      <c r="F640" t="s">
        <v>26</v>
      </c>
      <c r="G640">
        <v>4703</v>
      </c>
      <c r="H640" s="5" t="s">
        <v>99</v>
      </c>
      <c r="I640" s="15">
        <v>45273</v>
      </c>
      <c r="J640" s="15" t="s">
        <v>295</v>
      </c>
      <c r="K640" s="6">
        <v>0.50486111111111109</v>
      </c>
      <c r="L640" t="s">
        <v>145</v>
      </c>
      <c r="M640">
        <v>100000</v>
      </c>
      <c r="N640" t="s">
        <v>210</v>
      </c>
      <c r="O640" t="s">
        <v>151</v>
      </c>
      <c r="P640">
        <v>84</v>
      </c>
      <c r="Q640" t="s">
        <v>156</v>
      </c>
    </row>
    <row r="641" spans="1:17" x14ac:dyDescent="0.2">
      <c r="A641">
        <v>449457</v>
      </c>
      <c r="B641">
        <v>494</v>
      </c>
      <c r="C641" s="1" t="s">
        <v>100</v>
      </c>
      <c r="D641" s="10">
        <v>45232.048611111109</v>
      </c>
      <c r="E641" t="s">
        <v>97</v>
      </c>
      <c r="F641" t="s">
        <v>74</v>
      </c>
      <c r="G641">
        <v>3426</v>
      </c>
      <c r="H641" s="5" t="s">
        <v>100</v>
      </c>
      <c r="I641" s="15">
        <v>45232</v>
      </c>
      <c r="J641" s="15" t="s">
        <v>295</v>
      </c>
      <c r="K641" s="6">
        <v>4.8611111111111112E-2</v>
      </c>
      <c r="L641" t="s">
        <v>145</v>
      </c>
      <c r="M641">
        <v>150000</v>
      </c>
      <c r="N641" t="s">
        <v>226</v>
      </c>
      <c r="O641" t="s">
        <v>151</v>
      </c>
      <c r="P641">
        <v>19</v>
      </c>
      <c r="Q641" t="s">
        <v>154</v>
      </c>
    </row>
    <row r="642" spans="1:17" x14ac:dyDescent="0.2">
      <c r="A642">
        <v>451541</v>
      </c>
      <c r="B642">
        <v>116</v>
      </c>
      <c r="C642" s="1" t="s">
        <v>108</v>
      </c>
      <c r="D642" s="10">
        <v>45106.063194444447</v>
      </c>
      <c r="E642" t="s">
        <v>98</v>
      </c>
      <c r="F642" t="s">
        <v>88</v>
      </c>
      <c r="G642">
        <v>2490</v>
      </c>
      <c r="H642" s="5" t="s">
        <v>108</v>
      </c>
      <c r="I642" s="15">
        <v>45106</v>
      </c>
      <c r="J642" s="15" t="s">
        <v>233</v>
      </c>
      <c r="K642" s="6">
        <v>6.3194444444444442E-2</v>
      </c>
      <c r="L642" t="s">
        <v>144</v>
      </c>
      <c r="M642">
        <v>100000</v>
      </c>
      <c r="N642" t="s">
        <v>200</v>
      </c>
      <c r="O642" t="s">
        <v>151</v>
      </c>
      <c r="P642">
        <v>88</v>
      </c>
      <c r="Q642" t="s">
        <v>154</v>
      </c>
    </row>
    <row r="643" spans="1:17" x14ac:dyDescent="0.2">
      <c r="A643">
        <v>451694</v>
      </c>
      <c r="B643">
        <v>1031</v>
      </c>
      <c r="C643" s="1" t="s">
        <v>101</v>
      </c>
      <c r="D643" s="10">
        <v>45073.981944444444</v>
      </c>
      <c r="E643" t="s">
        <v>191</v>
      </c>
      <c r="F643" t="s">
        <v>73</v>
      </c>
      <c r="G643">
        <v>3713</v>
      </c>
      <c r="H643" s="5" t="s">
        <v>101</v>
      </c>
      <c r="I643" s="15">
        <v>45073</v>
      </c>
      <c r="J643" s="15" t="s">
        <v>233</v>
      </c>
      <c r="K643" s="6">
        <v>0.48194444444444445</v>
      </c>
      <c r="L643" t="s">
        <v>146</v>
      </c>
      <c r="M643">
        <v>150000</v>
      </c>
      <c r="N643" t="s">
        <v>222</v>
      </c>
      <c r="O643" t="s">
        <v>151</v>
      </c>
      <c r="P643">
        <v>40</v>
      </c>
      <c r="Q643" t="s">
        <v>156</v>
      </c>
    </row>
    <row r="644" spans="1:17" x14ac:dyDescent="0.2">
      <c r="A644">
        <v>452070</v>
      </c>
      <c r="B644">
        <v>1693</v>
      </c>
      <c r="C644" s="1" t="s">
        <v>100</v>
      </c>
      <c r="D644" s="10">
        <v>45052.015277777777</v>
      </c>
      <c r="E644" t="s">
        <v>96</v>
      </c>
      <c r="F644" t="s">
        <v>89</v>
      </c>
      <c r="G644">
        <v>9332</v>
      </c>
      <c r="H644" s="5" t="s">
        <v>100</v>
      </c>
      <c r="I644" s="15">
        <v>45052</v>
      </c>
      <c r="J644" s="15" t="s">
        <v>233</v>
      </c>
      <c r="K644" s="6">
        <v>0.51527777777777772</v>
      </c>
      <c r="L644" t="s">
        <v>144</v>
      </c>
      <c r="M644">
        <v>150000</v>
      </c>
      <c r="N644" t="s">
        <v>218</v>
      </c>
      <c r="O644" t="s">
        <v>152</v>
      </c>
      <c r="P644">
        <v>63</v>
      </c>
      <c r="Q644" t="s">
        <v>157</v>
      </c>
    </row>
    <row r="645" spans="1:17" x14ac:dyDescent="0.2">
      <c r="A645">
        <v>452684</v>
      </c>
      <c r="B645">
        <v>374</v>
      </c>
      <c r="C645" s="1" t="s">
        <v>108</v>
      </c>
      <c r="D645" s="10">
        <v>45146.081944444442</v>
      </c>
      <c r="E645" t="s">
        <v>98</v>
      </c>
      <c r="F645" t="s">
        <v>72</v>
      </c>
      <c r="G645">
        <v>9309</v>
      </c>
      <c r="H645" s="5" t="s">
        <v>108</v>
      </c>
      <c r="I645" s="15">
        <v>45146</v>
      </c>
      <c r="J645" s="15" t="s">
        <v>234</v>
      </c>
      <c r="K645" s="6">
        <v>8.1944444444444445E-2</v>
      </c>
      <c r="L645" t="s">
        <v>143</v>
      </c>
      <c r="M645">
        <v>150000</v>
      </c>
      <c r="N645" t="s">
        <v>223</v>
      </c>
      <c r="O645" t="s">
        <v>151</v>
      </c>
      <c r="P645">
        <v>71</v>
      </c>
      <c r="Q645" t="s">
        <v>154</v>
      </c>
    </row>
    <row r="646" spans="1:17" x14ac:dyDescent="0.2">
      <c r="A646">
        <v>453466</v>
      </c>
      <c r="B646">
        <v>637</v>
      </c>
      <c r="C646" s="1" t="s">
        <v>99</v>
      </c>
      <c r="D646" s="10">
        <v>44996.057638888888</v>
      </c>
      <c r="E646" t="s">
        <v>96</v>
      </c>
      <c r="F646" t="s">
        <v>25</v>
      </c>
      <c r="G646">
        <v>6625</v>
      </c>
      <c r="H646" s="5" t="s">
        <v>99</v>
      </c>
      <c r="I646" s="15">
        <v>44996</v>
      </c>
      <c r="J646" s="15" t="s">
        <v>232</v>
      </c>
      <c r="K646" s="6">
        <v>5.7638888888888892E-2</v>
      </c>
      <c r="L646" t="s">
        <v>142</v>
      </c>
      <c r="M646">
        <v>100000</v>
      </c>
      <c r="N646" t="s">
        <v>201</v>
      </c>
      <c r="O646" t="s">
        <v>151</v>
      </c>
      <c r="P646">
        <v>38</v>
      </c>
      <c r="Q646" t="s">
        <v>155</v>
      </c>
    </row>
    <row r="647" spans="1:17" x14ac:dyDescent="0.2">
      <c r="A647">
        <v>453732</v>
      </c>
      <c r="B647">
        <v>1623</v>
      </c>
      <c r="C647" s="1" t="s">
        <v>105</v>
      </c>
      <c r="D647" s="10">
        <v>45091.964583333334</v>
      </c>
      <c r="E647" t="s">
        <v>97</v>
      </c>
      <c r="F647" t="s">
        <v>49</v>
      </c>
      <c r="G647">
        <v>8537</v>
      </c>
      <c r="H647" s="5" t="s">
        <v>105</v>
      </c>
      <c r="I647" s="15">
        <v>45091</v>
      </c>
      <c r="J647" s="15" t="s">
        <v>233</v>
      </c>
      <c r="K647" s="6">
        <v>0.46458333333333335</v>
      </c>
      <c r="L647" t="s">
        <v>146</v>
      </c>
      <c r="M647">
        <v>100000</v>
      </c>
      <c r="N647" t="s">
        <v>222</v>
      </c>
      <c r="O647" t="s">
        <v>151</v>
      </c>
      <c r="P647">
        <v>46</v>
      </c>
      <c r="Q647" t="s">
        <v>157</v>
      </c>
    </row>
    <row r="648" spans="1:17" x14ac:dyDescent="0.2">
      <c r="A648">
        <v>454137</v>
      </c>
      <c r="B648">
        <v>1687</v>
      </c>
      <c r="C648" s="1" t="s">
        <v>101</v>
      </c>
      <c r="D648" s="10">
        <v>44941.013888888891</v>
      </c>
      <c r="E648" t="s">
        <v>191</v>
      </c>
      <c r="F648" t="s">
        <v>14</v>
      </c>
      <c r="G648">
        <v>2431</v>
      </c>
      <c r="H648" s="5" t="s">
        <v>101</v>
      </c>
      <c r="I648" s="15">
        <v>44941</v>
      </c>
      <c r="J648" s="15" t="s">
        <v>232</v>
      </c>
      <c r="K648" s="6">
        <v>0.51388888888888884</v>
      </c>
      <c r="L648" t="s">
        <v>142</v>
      </c>
      <c r="M648">
        <v>250000</v>
      </c>
      <c r="N648" t="s">
        <v>207</v>
      </c>
      <c r="O648" t="s">
        <v>151</v>
      </c>
      <c r="P648">
        <v>38</v>
      </c>
      <c r="Q648" t="s">
        <v>157</v>
      </c>
    </row>
    <row r="649" spans="1:17" x14ac:dyDescent="0.2">
      <c r="A649">
        <v>455153</v>
      </c>
      <c r="B649">
        <v>1431</v>
      </c>
      <c r="C649" s="1" t="s">
        <v>99</v>
      </c>
      <c r="D649" s="10">
        <v>45072.025694444441</v>
      </c>
      <c r="E649" t="s">
        <v>191</v>
      </c>
      <c r="F649" t="s">
        <v>6</v>
      </c>
      <c r="G649">
        <v>4088</v>
      </c>
      <c r="H649" s="5" t="s">
        <v>99</v>
      </c>
      <c r="I649" s="15">
        <v>45072</v>
      </c>
      <c r="J649" s="15" t="s">
        <v>233</v>
      </c>
      <c r="K649" s="6">
        <v>0.52569444444444446</v>
      </c>
      <c r="L649" t="s">
        <v>144</v>
      </c>
      <c r="M649">
        <v>100000</v>
      </c>
      <c r="N649" t="s">
        <v>199</v>
      </c>
      <c r="O649" t="s">
        <v>151</v>
      </c>
      <c r="P649">
        <v>63</v>
      </c>
      <c r="Q649" t="s">
        <v>156</v>
      </c>
    </row>
    <row r="650" spans="1:17" x14ac:dyDescent="0.2">
      <c r="A650">
        <v>456612</v>
      </c>
      <c r="B650">
        <v>1240</v>
      </c>
      <c r="C650" s="1" t="s">
        <v>109</v>
      </c>
      <c r="D650" s="10">
        <v>44985.022916666669</v>
      </c>
      <c r="E650" t="s">
        <v>191</v>
      </c>
      <c r="F650" t="s">
        <v>94</v>
      </c>
      <c r="G650">
        <v>1900</v>
      </c>
      <c r="H650" s="5" t="s">
        <v>109</v>
      </c>
      <c r="I650" s="15">
        <v>44985</v>
      </c>
      <c r="J650" s="15" t="s">
        <v>232</v>
      </c>
      <c r="K650" s="6">
        <v>0.5229166666666667</v>
      </c>
      <c r="L650" t="s">
        <v>143</v>
      </c>
      <c r="M650">
        <v>50000</v>
      </c>
      <c r="N650" t="s">
        <v>215</v>
      </c>
      <c r="O650" t="s">
        <v>151</v>
      </c>
      <c r="P650">
        <v>24</v>
      </c>
      <c r="Q650" t="s">
        <v>156</v>
      </c>
    </row>
    <row r="651" spans="1:17" x14ac:dyDescent="0.2">
      <c r="A651">
        <v>457087</v>
      </c>
      <c r="B651">
        <v>66</v>
      </c>
      <c r="C651" s="1" t="s">
        <v>101</v>
      </c>
      <c r="D651" s="10">
        <v>44979.970833333333</v>
      </c>
      <c r="E651" t="s">
        <v>98</v>
      </c>
      <c r="F651" t="s">
        <v>20</v>
      </c>
      <c r="G651">
        <v>1838</v>
      </c>
      <c r="H651" s="5" t="s">
        <v>101</v>
      </c>
      <c r="I651" s="15">
        <v>44979</v>
      </c>
      <c r="J651" s="15" t="s">
        <v>232</v>
      </c>
      <c r="K651" s="6">
        <v>0.47083333333333333</v>
      </c>
      <c r="L651" t="s">
        <v>146</v>
      </c>
      <c r="M651">
        <v>150000</v>
      </c>
      <c r="N651" t="s">
        <v>212</v>
      </c>
      <c r="O651" t="s">
        <v>151</v>
      </c>
      <c r="P651">
        <v>30</v>
      </c>
      <c r="Q651" t="s">
        <v>154</v>
      </c>
    </row>
    <row r="652" spans="1:17" x14ac:dyDescent="0.2">
      <c r="A652">
        <v>457874</v>
      </c>
      <c r="B652">
        <v>1467</v>
      </c>
      <c r="C652" s="1" t="s">
        <v>99</v>
      </c>
      <c r="D652" s="10">
        <v>44973.044444444444</v>
      </c>
      <c r="E652" t="s">
        <v>191</v>
      </c>
      <c r="F652" t="s">
        <v>43</v>
      </c>
      <c r="G652">
        <v>3337</v>
      </c>
      <c r="H652" s="5" t="s">
        <v>99</v>
      </c>
      <c r="I652" s="15">
        <v>44973</v>
      </c>
      <c r="J652" s="15" t="s">
        <v>232</v>
      </c>
      <c r="K652" s="6">
        <v>4.4444444444444446E-2</v>
      </c>
      <c r="L652" t="s">
        <v>145</v>
      </c>
      <c r="M652">
        <v>1000000</v>
      </c>
      <c r="N652" t="s">
        <v>203</v>
      </c>
      <c r="O652" t="s">
        <v>152</v>
      </c>
      <c r="P652">
        <v>18</v>
      </c>
      <c r="Q652" t="s">
        <v>156</v>
      </c>
    </row>
    <row r="653" spans="1:17" x14ac:dyDescent="0.2">
      <c r="A653">
        <v>457958</v>
      </c>
      <c r="B653">
        <v>690</v>
      </c>
      <c r="C653" s="1" t="s">
        <v>109</v>
      </c>
      <c r="D653" s="10">
        <v>44929.030555555553</v>
      </c>
      <c r="E653" t="s">
        <v>96</v>
      </c>
      <c r="F653" t="s">
        <v>52</v>
      </c>
      <c r="G653">
        <v>2923</v>
      </c>
      <c r="H653" s="5" t="s">
        <v>109</v>
      </c>
      <c r="I653" s="15">
        <v>44929</v>
      </c>
      <c r="J653" s="15" t="s">
        <v>232</v>
      </c>
      <c r="K653" s="6">
        <v>0.53055555555555556</v>
      </c>
      <c r="L653" t="s">
        <v>143</v>
      </c>
      <c r="M653">
        <v>100000</v>
      </c>
      <c r="N653" t="s">
        <v>206</v>
      </c>
      <c r="O653" t="s">
        <v>151</v>
      </c>
      <c r="P653">
        <v>37</v>
      </c>
      <c r="Q653" t="s">
        <v>155</v>
      </c>
    </row>
    <row r="654" spans="1:17" x14ac:dyDescent="0.2">
      <c r="A654">
        <v>458560</v>
      </c>
      <c r="B654">
        <v>210</v>
      </c>
      <c r="C654" s="1" t="s">
        <v>99</v>
      </c>
      <c r="D654" s="10">
        <v>45169</v>
      </c>
      <c r="E654" t="s">
        <v>96</v>
      </c>
      <c r="F654" t="s">
        <v>23</v>
      </c>
      <c r="G654">
        <v>9234</v>
      </c>
      <c r="H654" s="5" t="s">
        <v>99</v>
      </c>
      <c r="I654" s="15">
        <v>45169</v>
      </c>
      <c r="J654" s="15" t="s">
        <v>234</v>
      </c>
      <c r="K654" s="6">
        <v>0.5</v>
      </c>
      <c r="L654" t="s">
        <v>142</v>
      </c>
      <c r="M654">
        <v>150000</v>
      </c>
      <c r="N654" t="s">
        <v>213</v>
      </c>
      <c r="O654" t="s">
        <v>151</v>
      </c>
      <c r="P654">
        <v>59</v>
      </c>
      <c r="Q654" t="s">
        <v>154</v>
      </c>
    </row>
    <row r="655" spans="1:17" x14ac:dyDescent="0.2">
      <c r="A655">
        <v>459426</v>
      </c>
      <c r="B655">
        <v>1783</v>
      </c>
      <c r="C655" s="1" t="s">
        <v>99</v>
      </c>
      <c r="D655" s="10">
        <v>45234.040277777778</v>
      </c>
      <c r="E655" t="s">
        <v>96</v>
      </c>
      <c r="F655" t="s">
        <v>27</v>
      </c>
      <c r="G655">
        <v>936</v>
      </c>
      <c r="H655" s="5" t="s">
        <v>99</v>
      </c>
      <c r="I655" s="15">
        <v>45234</v>
      </c>
      <c r="J655" s="15" t="s">
        <v>295</v>
      </c>
      <c r="K655" s="6">
        <v>0.54027777777777775</v>
      </c>
      <c r="L655" t="s">
        <v>142</v>
      </c>
      <c r="M655">
        <v>1000000</v>
      </c>
      <c r="N655" t="s">
        <v>209</v>
      </c>
      <c r="O655" t="s">
        <v>151</v>
      </c>
      <c r="P655">
        <v>27</v>
      </c>
      <c r="Q655" t="s">
        <v>157</v>
      </c>
    </row>
    <row r="656" spans="1:17" x14ac:dyDescent="0.2">
      <c r="A656">
        <v>461110</v>
      </c>
      <c r="B656">
        <v>1549</v>
      </c>
      <c r="C656" s="1" t="s">
        <v>99</v>
      </c>
      <c r="D656" s="10">
        <v>45146.089583333334</v>
      </c>
      <c r="E656" t="s">
        <v>96</v>
      </c>
      <c r="F656" t="s">
        <v>31</v>
      </c>
      <c r="G656">
        <v>4341</v>
      </c>
      <c r="H656" s="5" t="s">
        <v>99</v>
      </c>
      <c r="I656" s="15">
        <v>45146</v>
      </c>
      <c r="J656" s="15" t="s">
        <v>234</v>
      </c>
      <c r="K656" s="6">
        <v>8.9583333333333334E-2</v>
      </c>
      <c r="L656" t="s">
        <v>143</v>
      </c>
      <c r="M656">
        <v>80000</v>
      </c>
      <c r="N656" t="s">
        <v>204</v>
      </c>
      <c r="O656" t="s">
        <v>152</v>
      </c>
      <c r="P656">
        <v>70</v>
      </c>
      <c r="Q656" t="s">
        <v>157</v>
      </c>
    </row>
    <row r="657" spans="1:17" x14ac:dyDescent="0.2">
      <c r="A657">
        <v>461537</v>
      </c>
      <c r="B657">
        <v>1833</v>
      </c>
      <c r="C657" s="1" t="s">
        <v>106</v>
      </c>
      <c r="D657" s="10">
        <v>44974.072222222225</v>
      </c>
      <c r="E657" t="s">
        <v>191</v>
      </c>
      <c r="F657" t="s">
        <v>78</v>
      </c>
      <c r="G657">
        <v>8344</v>
      </c>
      <c r="H657" s="5" t="s">
        <v>106</v>
      </c>
      <c r="I657" s="15">
        <v>44974</v>
      </c>
      <c r="J657" s="15" t="s">
        <v>232</v>
      </c>
      <c r="K657" s="6">
        <v>7.2222222222222215E-2</v>
      </c>
      <c r="L657" t="s">
        <v>143</v>
      </c>
      <c r="M657">
        <v>200000</v>
      </c>
      <c r="N657" t="s">
        <v>215</v>
      </c>
      <c r="O657" t="s">
        <v>152</v>
      </c>
      <c r="P657">
        <v>29</v>
      </c>
      <c r="Q657" t="s">
        <v>157</v>
      </c>
    </row>
    <row r="658" spans="1:17" x14ac:dyDescent="0.2">
      <c r="A658">
        <v>461731</v>
      </c>
      <c r="B658">
        <v>685</v>
      </c>
      <c r="C658" s="1" t="s">
        <v>101</v>
      </c>
      <c r="D658" s="10">
        <v>45239.068749999999</v>
      </c>
      <c r="E658" t="s">
        <v>98</v>
      </c>
      <c r="F658" t="s">
        <v>77</v>
      </c>
      <c r="G658">
        <v>5092</v>
      </c>
      <c r="H658" s="5" t="s">
        <v>101</v>
      </c>
      <c r="I658" s="15">
        <v>45239</v>
      </c>
      <c r="J658" s="15" t="s">
        <v>295</v>
      </c>
      <c r="K658" s="6">
        <v>6.8750000000000006E-2</v>
      </c>
      <c r="L658" t="s">
        <v>146</v>
      </c>
      <c r="M658">
        <v>100000</v>
      </c>
      <c r="N658" t="s">
        <v>222</v>
      </c>
      <c r="O658" t="s">
        <v>151</v>
      </c>
      <c r="P658">
        <v>50</v>
      </c>
      <c r="Q658" t="s">
        <v>155</v>
      </c>
    </row>
    <row r="659" spans="1:17" x14ac:dyDescent="0.2">
      <c r="A659">
        <v>462593</v>
      </c>
      <c r="B659">
        <v>1971</v>
      </c>
      <c r="C659" s="1" t="s">
        <v>105</v>
      </c>
      <c r="D659" s="10">
        <v>45143.061805555553</v>
      </c>
      <c r="E659" t="s">
        <v>97</v>
      </c>
      <c r="F659" t="s">
        <v>64</v>
      </c>
      <c r="G659">
        <v>5397</v>
      </c>
      <c r="H659" s="5" t="s">
        <v>105</v>
      </c>
      <c r="I659" s="15">
        <v>45143</v>
      </c>
      <c r="J659" s="15" t="s">
        <v>234</v>
      </c>
      <c r="K659" s="6">
        <v>6.1805555555555558E-2</v>
      </c>
      <c r="L659" t="s">
        <v>143</v>
      </c>
      <c r="M659">
        <v>100000</v>
      </c>
      <c r="N659" t="s">
        <v>223</v>
      </c>
      <c r="O659" t="s">
        <v>152</v>
      </c>
      <c r="P659">
        <v>44</v>
      </c>
      <c r="Q659" t="s">
        <v>157</v>
      </c>
    </row>
    <row r="660" spans="1:17" x14ac:dyDescent="0.2">
      <c r="A660">
        <v>463922</v>
      </c>
      <c r="B660">
        <v>172</v>
      </c>
      <c r="C660" s="1" t="s">
        <v>99</v>
      </c>
      <c r="D660" s="10">
        <v>45192.045138888891</v>
      </c>
      <c r="E660" t="s">
        <v>98</v>
      </c>
      <c r="F660" t="s">
        <v>30</v>
      </c>
      <c r="G660">
        <v>484</v>
      </c>
      <c r="H660" s="5" t="s">
        <v>99</v>
      </c>
      <c r="I660" s="15">
        <v>45192</v>
      </c>
      <c r="J660" s="15" t="s">
        <v>234</v>
      </c>
      <c r="K660" s="6">
        <v>4.5138888888888888E-2</v>
      </c>
      <c r="L660" t="s">
        <v>144</v>
      </c>
      <c r="M660">
        <v>200000</v>
      </c>
      <c r="N660" t="s">
        <v>216</v>
      </c>
      <c r="O660" t="s">
        <v>151</v>
      </c>
      <c r="P660">
        <v>36</v>
      </c>
      <c r="Q660" t="s">
        <v>154</v>
      </c>
    </row>
    <row r="661" spans="1:17" x14ac:dyDescent="0.2">
      <c r="A661">
        <v>464531</v>
      </c>
      <c r="B661">
        <v>1153</v>
      </c>
      <c r="C661" s="1" t="s">
        <v>107</v>
      </c>
      <c r="D661" s="10">
        <v>44971.020833333336</v>
      </c>
      <c r="E661" t="s">
        <v>96</v>
      </c>
      <c r="F661" t="s">
        <v>74</v>
      </c>
      <c r="G661">
        <v>4951</v>
      </c>
      <c r="H661" s="5" t="s">
        <v>107</v>
      </c>
      <c r="I661" s="15">
        <v>44971</v>
      </c>
      <c r="J661" s="15" t="s">
        <v>232</v>
      </c>
      <c r="K661" s="6">
        <v>0.52083333333333337</v>
      </c>
      <c r="L661" t="s">
        <v>145</v>
      </c>
      <c r="M661">
        <v>150000</v>
      </c>
      <c r="N661" t="s">
        <v>226</v>
      </c>
      <c r="O661" t="s">
        <v>152</v>
      </c>
      <c r="P661">
        <v>39</v>
      </c>
      <c r="Q661" t="s">
        <v>156</v>
      </c>
    </row>
    <row r="662" spans="1:17" x14ac:dyDescent="0.2">
      <c r="A662">
        <v>464722</v>
      </c>
      <c r="B662">
        <v>1215</v>
      </c>
      <c r="C662" s="1" t="s">
        <v>99</v>
      </c>
      <c r="D662" s="10">
        <v>44929.042361111111</v>
      </c>
      <c r="E662" t="s">
        <v>191</v>
      </c>
      <c r="F662" t="s">
        <v>85</v>
      </c>
      <c r="G662">
        <v>7137</v>
      </c>
      <c r="H662" s="5" t="s">
        <v>99</v>
      </c>
      <c r="I662" s="15">
        <v>44929</v>
      </c>
      <c r="J662" s="15" t="s">
        <v>232</v>
      </c>
      <c r="K662" s="6">
        <v>4.2361111111111113E-2</v>
      </c>
      <c r="L662" t="s">
        <v>146</v>
      </c>
      <c r="M662">
        <v>100000</v>
      </c>
      <c r="N662" t="s">
        <v>212</v>
      </c>
      <c r="O662" t="s">
        <v>151</v>
      </c>
      <c r="P662">
        <v>33</v>
      </c>
      <c r="Q662" t="s">
        <v>156</v>
      </c>
    </row>
    <row r="663" spans="1:17" x14ac:dyDescent="0.2">
      <c r="A663">
        <v>464859</v>
      </c>
      <c r="B663">
        <v>683</v>
      </c>
      <c r="C663" s="1" t="s">
        <v>101</v>
      </c>
      <c r="D663" s="10">
        <v>44940.984722222223</v>
      </c>
      <c r="E663" t="s">
        <v>96</v>
      </c>
      <c r="F663" t="s">
        <v>51</v>
      </c>
      <c r="G663">
        <v>6431</v>
      </c>
      <c r="H663" s="5" t="s">
        <v>101</v>
      </c>
      <c r="I663" s="15">
        <v>44940</v>
      </c>
      <c r="J663" s="15" t="s">
        <v>232</v>
      </c>
      <c r="K663" s="6">
        <v>0.48472222222222222</v>
      </c>
      <c r="L663" t="s">
        <v>145</v>
      </c>
      <c r="M663">
        <v>100000</v>
      </c>
      <c r="N663" t="s">
        <v>217</v>
      </c>
      <c r="O663" t="s">
        <v>152</v>
      </c>
      <c r="P663">
        <v>47</v>
      </c>
      <c r="Q663" t="s">
        <v>155</v>
      </c>
    </row>
    <row r="664" spans="1:17" x14ac:dyDescent="0.2">
      <c r="A664">
        <v>466869</v>
      </c>
      <c r="B664">
        <v>1984</v>
      </c>
      <c r="C664" s="1" t="s">
        <v>101</v>
      </c>
      <c r="D664" s="10">
        <v>44971.597222222219</v>
      </c>
      <c r="E664" t="s">
        <v>96</v>
      </c>
      <c r="F664" t="s">
        <v>68</v>
      </c>
      <c r="G664">
        <v>660</v>
      </c>
      <c r="H664" s="5" t="s">
        <v>101</v>
      </c>
      <c r="I664" s="15">
        <v>44971</v>
      </c>
      <c r="J664" s="15" t="s">
        <v>232</v>
      </c>
      <c r="K664" s="6">
        <v>9.7222222222222224E-2</v>
      </c>
      <c r="L664" t="s">
        <v>144</v>
      </c>
      <c r="M664">
        <v>100000</v>
      </c>
      <c r="N664" t="s">
        <v>200</v>
      </c>
      <c r="O664" t="s">
        <v>151</v>
      </c>
      <c r="P664">
        <v>45</v>
      </c>
      <c r="Q664" t="s">
        <v>157</v>
      </c>
    </row>
    <row r="665" spans="1:17" x14ac:dyDescent="0.2">
      <c r="A665">
        <v>467965</v>
      </c>
      <c r="B665">
        <v>550</v>
      </c>
      <c r="C665" s="1" t="s">
        <v>99</v>
      </c>
      <c r="D665" s="10">
        <v>45201.988194444442</v>
      </c>
      <c r="E665" t="s">
        <v>191</v>
      </c>
      <c r="F665" t="s">
        <v>86</v>
      </c>
      <c r="G665">
        <v>8296</v>
      </c>
      <c r="H665" s="5" t="s">
        <v>99</v>
      </c>
      <c r="I665" s="15">
        <v>45201</v>
      </c>
      <c r="J665" s="15" t="s">
        <v>295</v>
      </c>
      <c r="K665" s="6">
        <v>0.48819444444444443</v>
      </c>
      <c r="L665" t="s">
        <v>144</v>
      </c>
      <c r="M665">
        <v>100000</v>
      </c>
      <c r="N665" t="s">
        <v>216</v>
      </c>
      <c r="O665" t="s">
        <v>151</v>
      </c>
      <c r="P665">
        <v>31</v>
      </c>
      <c r="Q665" t="s">
        <v>155</v>
      </c>
    </row>
    <row r="666" spans="1:17" x14ac:dyDescent="0.2">
      <c r="A666">
        <v>468652</v>
      </c>
      <c r="B666">
        <v>106</v>
      </c>
      <c r="C666" s="1" t="s">
        <v>101</v>
      </c>
      <c r="D666" s="10">
        <v>45108.018750000003</v>
      </c>
      <c r="E666" t="s">
        <v>191</v>
      </c>
      <c r="F666" t="s">
        <v>76</v>
      </c>
      <c r="G666">
        <v>1982</v>
      </c>
      <c r="H666" s="5" t="s">
        <v>101</v>
      </c>
      <c r="I666" s="15">
        <v>45108</v>
      </c>
      <c r="J666" s="15" t="s">
        <v>234</v>
      </c>
      <c r="K666" s="6">
        <v>0.51875000000000004</v>
      </c>
      <c r="L666" t="s">
        <v>142</v>
      </c>
      <c r="M666">
        <v>80000</v>
      </c>
      <c r="N666" t="s">
        <v>201</v>
      </c>
      <c r="O666" t="s">
        <v>152</v>
      </c>
      <c r="P666">
        <v>40</v>
      </c>
      <c r="Q666" t="s">
        <v>154</v>
      </c>
    </row>
    <row r="667" spans="1:17" x14ac:dyDescent="0.2">
      <c r="A667">
        <v>471520</v>
      </c>
      <c r="B667">
        <v>188</v>
      </c>
      <c r="C667" s="1" t="s">
        <v>113</v>
      </c>
      <c r="D667" s="10">
        <v>45182.027083333334</v>
      </c>
      <c r="E667" t="s">
        <v>98</v>
      </c>
      <c r="F667" t="s">
        <v>27</v>
      </c>
      <c r="G667">
        <v>8652</v>
      </c>
      <c r="H667" s="5" t="s">
        <v>113</v>
      </c>
      <c r="I667" s="15">
        <v>45182</v>
      </c>
      <c r="J667" s="15" t="s">
        <v>234</v>
      </c>
      <c r="K667" s="6">
        <v>0.52708333333333335</v>
      </c>
      <c r="L667" t="s">
        <v>142</v>
      </c>
      <c r="M667">
        <v>1000000</v>
      </c>
      <c r="N667" t="s">
        <v>209</v>
      </c>
      <c r="O667" t="s">
        <v>152</v>
      </c>
      <c r="P667">
        <v>72</v>
      </c>
      <c r="Q667" t="s">
        <v>154</v>
      </c>
    </row>
    <row r="668" spans="1:17" x14ac:dyDescent="0.2">
      <c r="A668">
        <v>471691</v>
      </c>
      <c r="B668">
        <v>1279</v>
      </c>
      <c r="C668" s="1" t="s">
        <v>99</v>
      </c>
      <c r="D668" s="10">
        <v>45026.072916666664</v>
      </c>
      <c r="E668" t="s">
        <v>98</v>
      </c>
      <c r="F668" t="s">
        <v>69</v>
      </c>
      <c r="G668">
        <v>1314</v>
      </c>
      <c r="H668" s="5" t="s">
        <v>99</v>
      </c>
      <c r="I668" s="15">
        <v>45026</v>
      </c>
      <c r="J668" s="15" t="s">
        <v>233</v>
      </c>
      <c r="K668" s="6">
        <v>7.2916666666666671E-2</v>
      </c>
      <c r="L668" t="s">
        <v>146</v>
      </c>
      <c r="M668">
        <v>250000</v>
      </c>
      <c r="N668" t="s">
        <v>225</v>
      </c>
      <c r="O668" t="s">
        <v>152</v>
      </c>
      <c r="P668">
        <v>52</v>
      </c>
      <c r="Q668" t="s">
        <v>156</v>
      </c>
    </row>
    <row r="669" spans="1:17" x14ac:dyDescent="0.2">
      <c r="A669">
        <v>471801</v>
      </c>
      <c r="B669">
        <v>878</v>
      </c>
      <c r="C669" s="1" t="s">
        <v>113</v>
      </c>
      <c r="D669" s="10">
        <v>44945.05972222222</v>
      </c>
      <c r="E669" t="s">
        <v>98</v>
      </c>
      <c r="F669" t="s">
        <v>43</v>
      </c>
      <c r="G669">
        <v>1740</v>
      </c>
      <c r="H669" s="5" t="s">
        <v>113</v>
      </c>
      <c r="I669" s="15">
        <v>44945</v>
      </c>
      <c r="J669" s="15" t="s">
        <v>232</v>
      </c>
      <c r="K669" s="6">
        <v>5.9722222222222225E-2</v>
      </c>
      <c r="L669" t="s">
        <v>145</v>
      </c>
      <c r="M669">
        <v>1000000</v>
      </c>
      <c r="N669" t="s">
        <v>203</v>
      </c>
      <c r="O669" t="s">
        <v>152</v>
      </c>
      <c r="P669">
        <v>45</v>
      </c>
      <c r="Q669" t="s">
        <v>155</v>
      </c>
    </row>
    <row r="670" spans="1:17" x14ac:dyDescent="0.2">
      <c r="A670">
        <v>471886</v>
      </c>
      <c r="B670">
        <v>1583</v>
      </c>
      <c r="C670" s="1" t="s">
        <v>106</v>
      </c>
      <c r="D670" s="10">
        <v>44928.986111111109</v>
      </c>
      <c r="E670" t="s">
        <v>191</v>
      </c>
      <c r="F670" t="s">
        <v>43</v>
      </c>
      <c r="G670">
        <v>4072</v>
      </c>
      <c r="H670" s="5" t="s">
        <v>106</v>
      </c>
      <c r="I670" s="15">
        <v>44928</v>
      </c>
      <c r="J670" s="15" t="s">
        <v>232</v>
      </c>
      <c r="K670" s="6">
        <v>0.4861111111111111</v>
      </c>
      <c r="L670" t="s">
        <v>145</v>
      </c>
      <c r="M670">
        <v>1000000</v>
      </c>
      <c r="N670" t="s">
        <v>203</v>
      </c>
      <c r="O670" t="s">
        <v>152</v>
      </c>
      <c r="P670">
        <v>73</v>
      </c>
      <c r="Q670" t="s">
        <v>157</v>
      </c>
    </row>
    <row r="671" spans="1:17" x14ac:dyDescent="0.2">
      <c r="A671">
        <v>472645</v>
      </c>
      <c r="B671">
        <v>1290</v>
      </c>
      <c r="C671" s="1" t="s">
        <v>99</v>
      </c>
      <c r="D671" s="10">
        <v>45243.058333333334</v>
      </c>
      <c r="E671" t="s">
        <v>96</v>
      </c>
      <c r="F671" t="s">
        <v>4</v>
      </c>
      <c r="G671">
        <v>3018</v>
      </c>
      <c r="H671" s="5" t="s">
        <v>99</v>
      </c>
      <c r="I671" s="15">
        <v>45243</v>
      </c>
      <c r="J671" s="15" t="s">
        <v>295</v>
      </c>
      <c r="K671" s="6">
        <v>5.8333333333333334E-2</v>
      </c>
      <c r="L671" t="s">
        <v>142</v>
      </c>
      <c r="M671">
        <v>200000</v>
      </c>
      <c r="N671" t="s">
        <v>197</v>
      </c>
      <c r="O671" t="s">
        <v>151</v>
      </c>
      <c r="P671">
        <v>31</v>
      </c>
      <c r="Q671" t="s">
        <v>156</v>
      </c>
    </row>
    <row r="672" spans="1:17" x14ac:dyDescent="0.2">
      <c r="A672">
        <v>473503</v>
      </c>
      <c r="B672">
        <v>1682</v>
      </c>
      <c r="C672" s="1" t="s">
        <v>100</v>
      </c>
      <c r="D672" s="10">
        <v>45146.976388888892</v>
      </c>
      <c r="E672" t="s">
        <v>191</v>
      </c>
      <c r="F672" t="s">
        <v>19</v>
      </c>
      <c r="G672">
        <v>1565</v>
      </c>
      <c r="H672" s="5" t="s">
        <v>100</v>
      </c>
      <c r="I672" s="15">
        <v>45146</v>
      </c>
      <c r="J672" s="15" t="s">
        <v>234</v>
      </c>
      <c r="K672" s="6">
        <v>0.47638888888888886</v>
      </c>
      <c r="L672" t="s">
        <v>142</v>
      </c>
      <c r="M672">
        <v>150000</v>
      </c>
      <c r="N672" t="s">
        <v>211</v>
      </c>
      <c r="O672" t="s">
        <v>151</v>
      </c>
      <c r="P672">
        <v>72</v>
      </c>
      <c r="Q672" t="s">
        <v>157</v>
      </c>
    </row>
    <row r="673" spans="1:17" x14ac:dyDescent="0.2">
      <c r="A673">
        <v>474022</v>
      </c>
      <c r="B673">
        <v>1063</v>
      </c>
      <c r="C673" s="1" t="s">
        <v>113</v>
      </c>
      <c r="D673" s="10">
        <v>44993.952777777777</v>
      </c>
      <c r="E673" t="s">
        <v>96</v>
      </c>
      <c r="F673" t="s">
        <v>82</v>
      </c>
      <c r="G673">
        <v>2476</v>
      </c>
      <c r="H673" s="5" t="s">
        <v>113</v>
      </c>
      <c r="I673" s="15">
        <v>44993</v>
      </c>
      <c r="J673" s="15" t="s">
        <v>232</v>
      </c>
      <c r="K673" s="6">
        <v>0.45277777777777778</v>
      </c>
      <c r="L673" t="s">
        <v>142</v>
      </c>
      <c r="M673">
        <v>100000</v>
      </c>
      <c r="N673" t="s">
        <v>209</v>
      </c>
      <c r="O673" t="s">
        <v>152</v>
      </c>
      <c r="P673">
        <v>82</v>
      </c>
      <c r="Q673" t="s">
        <v>156</v>
      </c>
    </row>
    <row r="674" spans="1:17" x14ac:dyDescent="0.2">
      <c r="A674">
        <v>474847</v>
      </c>
      <c r="B674">
        <v>1316</v>
      </c>
      <c r="C674" s="1" t="s">
        <v>101</v>
      </c>
      <c r="D674" s="10">
        <v>45202.017361111109</v>
      </c>
      <c r="E674" t="s">
        <v>98</v>
      </c>
      <c r="F674" t="s">
        <v>15</v>
      </c>
      <c r="G674">
        <v>4155</v>
      </c>
      <c r="H674" s="5" t="s">
        <v>101</v>
      </c>
      <c r="I674" s="15">
        <v>45202</v>
      </c>
      <c r="J674" s="15" t="s">
        <v>295</v>
      </c>
      <c r="K674" s="6">
        <v>0.51736111111111116</v>
      </c>
      <c r="L674" t="s">
        <v>143</v>
      </c>
      <c r="M674">
        <v>150000</v>
      </c>
      <c r="N674" t="s">
        <v>198</v>
      </c>
      <c r="O674" t="s">
        <v>152</v>
      </c>
      <c r="P674">
        <v>70</v>
      </c>
      <c r="Q674" t="s">
        <v>156</v>
      </c>
    </row>
    <row r="675" spans="1:17" x14ac:dyDescent="0.2">
      <c r="A675">
        <v>476585</v>
      </c>
      <c r="B675">
        <v>645</v>
      </c>
      <c r="C675" s="1" t="s">
        <v>108</v>
      </c>
      <c r="D675" s="10">
        <v>45037.020833333336</v>
      </c>
      <c r="E675" t="s">
        <v>97</v>
      </c>
      <c r="F675" t="s">
        <v>66</v>
      </c>
      <c r="G675">
        <v>7949</v>
      </c>
      <c r="H675" s="5" t="s">
        <v>108</v>
      </c>
      <c r="I675" s="15">
        <v>45037</v>
      </c>
      <c r="J675" s="15" t="s">
        <v>233</v>
      </c>
      <c r="K675" s="6">
        <v>0.52083333333333337</v>
      </c>
      <c r="L675" t="s">
        <v>144</v>
      </c>
      <c r="M675">
        <v>150000</v>
      </c>
      <c r="N675" t="s">
        <v>224</v>
      </c>
      <c r="O675" t="s">
        <v>152</v>
      </c>
      <c r="P675">
        <v>40</v>
      </c>
      <c r="Q675" t="s">
        <v>155</v>
      </c>
    </row>
    <row r="676" spans="1:17" x14ac:dyDescent="0.2">
      <c r="A676">
        <v>477068</v>
      </c>
      <c r="B676">
        <v>396</v>
      </c>
      <c r="C676" s="1" t="s">
        <v>105</v>
      </c>
      <c r="D676" s="10">
        <v>45188.05</v>
      </c>
      <c r="E676" t="s">
        <v>97</v>
      </c>
      <c r="F676" t="s">
        <v>78</v>
      </c>
      <c r="G676">
        <v>6110</v>
      </c>
      <c r="H676" s="5" t="s">
        <v>105</v>
      </c>
      <c r="I676" s="15">
        <v>45188</v>
      </c>
      <c r="J676" s="15" t="s">
        <v>234</v>
      </c>
      <c r="K676" s="6">
        <v>0.05</v>
      </c>
      <c r="L676" t="s">
        <v>143</v>
      </c>
      <c r="M676">
        <v>200000</v>
      </c>
      <c r="N676" t="s">
        <v>215</v>
      </c>
      <c r="O676" t="s">
        <v>152</v>
      </c>
      <c r="P676">
        <v>53</v>
      </c>
      <c r="Q676" t="s">
        <v>154</v>
      </c>
    </row>
    <row r="677" spans="1:17" x14ac:dyDescent="0.2">
      <c r="A677">
        <v>477337</v>
      </c>
      <c r="B677">
        <v>178</v>
      </c>
      <c r="C677" s="1" t="s">
        <v>113</v>
      </c>
      <c r="D677" s="10">
        <v>44950.954861111109</v>
      </c>
      <c r="E677" t="s">
        <v>97</v>
      </c>
      <c r="F677" t="s">
        <v>27</v>
      </c>
      <c r="G677">
        <v>8277</v>
      </c>
      <c r="H677" s="5" t="s">
        <v>113</v>
      </c>
      <c r="I677" s="15">
        <v>44950</v>
      </c>
      <c r="J677" s="15" t="s">
        <v>232</v>
      </c>
      <c r="K677" s="6">
        <v>0.4548611111111111</v>
      </c>
      <c r="L677" t="s">
        <v>142</v>
      </c>
      <c r="M677">
        <v>1000000</v>
      </c>
      <c r="N677" t="s">
        <v>209</v>
      </c>
      <c r="O677" t="s">
        <v>152</v>
      </c>
      <c r="P677">
        <v>24</v>
      </c>
      <c r="Q677" t="s">
        <v>154</v>
      </c>
    </row>
    <row r="678" spans="1:17" x14ac:dyDescent="0.2">
      <c r="A678">
        <v>477809</v>
      </c>
      <c r="B678">
        <v>292</v>
      </c>
      <c r="C678" s="1" t="s">
        <v>113</v>
      </c>
      <c r="D678" s="10">
        <v>45150.98333333333</v>
      </c>
      <c r="E678" t="s">
        <v>97</v>
      </c>
      <c r="F678" t="s">
        <v>43</v>
      </c>
      <c r="G678">
        <v>802</v>
      </c>
      <c r="H678" s="5" t="s">
        <v>113</v>
      </c>
      <c r="I678" s="15">
        <v>45150</v>
      </c>
      <c r="J678" s="15" t="s">
        <v>234</v>
      </c>
      <c r="K678" s="6">
        <v>0.48333333333333334</v>
      </c>
      <c r="L678" t="s">
        <v>145</v>
      </c>
      <c r="M678">
        <v>1000000</v>
      </c>
      <c r="N678" t="s">
        <v>203</v>
      </c>
      <c r="O678" t="s">
        <v>151</v>
      </c>
      <c r="P678">
        <v>66</v>
      </c>
      <c r="Q678" t="s">
        <v>154</v>
      </c>
    </row>
    <row r="679" spans="1:17" x14ac:dyDescent="0.2">
      <c r="A679">
        <v>477915</v>
      </c>
      <c r="B679">
        <v>965</v>
      </c>
      <c r="C679" s="1" t="s">
        <v>101</v>
      </c>
      <c r="D679" s="10">
        <v>45067.018750000003</v>
      </c>
      <c r="E679" t="s">
        <v>97</v>
      </c>
      <c r="F679" t="s">
        <v>43</v>
      </c>
      <c r="G679">
        <v>5391</v>
      </c>
      <c r="H679" s="5" t="s">
        <v>101</v>
      </c>
      <c r="I679" s="15">
        <v>45067</v>
      </c>
      <c r="J679" s="15" t="s">
        <v>233</v>
      </c>
      <c r="K679" s="6">
        <v>0.51875000000000004</v>
      </c>
      <c r="L679" t="s">
        <v>145</v>
      </c>
      <c r="M679">
        <v>1000000</v>
      </c>
      <c r="N679" t="s">
        <v>203</v>
      </c>
      <c r="O679" t="s">
        <v>152</v>
      </c>
      <c r="P679">
        <v>50</v>
      </c>
      <c r="Q679" t="s">
        <v>155</v>
      </c>
    </row>
    <row r="680" spans="1:17" x14ac:dyDescent="0.2">
      <c r="A680">
        <v>478198</v>
      </c>
      <c r="B680">
        <v>214</v>
      </c>
      <c r="C680" s="1" t="s">
        <v>99</v>
      </c>
      <c r="D680" s="10">
        <v>45220.038888888892</v>
      </c>
      <c r="E680" t="s">
        <v>96</v>
      </c>
      <c r="F680" t="s">
        <v>27</v>
      </c>
      <c r="G680">
        <v>9837</v>
      </c>
      <c r="H680" s="5" t="s">
        <v>99</v>
      </c>
      <c r="I680" s="15">
        <v>45220</v>
      </c>
      <c r="J680" s="15" t="s">
        <v>295</v>
      </c>
      <c r="K680" s="6">
        <v>0.53888888888888886</v>
      </c>
      <c r="L680" t="s">
        <v>142</v>
      </c>
      <c r="M680">
        <v>1000000</v>
      </c>
      <c r="N680" t="s">
        <v>209</v>
      </c>
      <c r="O680" t="s">
        <v>152</v>
      </c>
      <c r="P680">
        <v>18</v>
      </c>
      <c r="Q680" t="s">
        <v>154</v>
      </c>
    </row>
    <row r="681" spans="1:17" x14ac:dyDescent="0.2">
      <c r="A681">
        <v>479363</v>
      </c>
      <c r="B681">
        <v>1343</v>
      </c>
      <c r="C681" s="1" t="s">
        <v>99</v>
      </c>
      <c r="D681" s="10">
        <v>45115.001388888886</v>
      </c>
      <c r="E681" t="s">
        <v>96</v>
      </c>
      <c r="F681" t="s">
        <v>18</v>
      </c>
      <c r="G681">
        <v>1941</v>
      </c>
      <c r="H681" s="5" t="s">
        <v>99</v>
      </c>
      <c r="I681" s="15">
        <v>45115</v>
      </c>
      <c r="J681" s="15" t="s">
        <v>234</v>
      </c>
      <c r="K681" s="6">
        <v>0.50138888888888888</v>
      </c>
      <c r="L681" t="s">
        <v>145</v>
      </c>
      <c r="M681">
        <v>200000</v>
      </c>
      <c r="N681" t="s">
        <v>210</v>
      </c>
      <c r="O681" t="s">
        <v>152</v>
      </c>
      <c r="P681">
        <v>32</v>
      </c>
      <c r="Q681" t="s">
        <v>156</v>
      </c>
    </row>
    <row r="682" spans="1:17" x14ac:dyDescent="0.2">
      <c r="A682">
        <v>479407</v>
      </c>
      <c r="B682">
        <v>1399</v>
      </c>
      <c r="C682" s="1" t="s">
        <v>101</v>
      </c>
      <c r="D682" s="10">
        <v>45263.943749999999</v>
      </c>
      <c r="E682" t="s">
        <v>97</v>
      </c>
      <c r="F682" t="s">
        <v>44</v>
      </c>
      <c r="G682">
        <v>1351</v>
      </c>
      <c r="H682" s="5" t="s">
        <v>101</v>
      </c>
      <c r="I682" s="15">
        <v>45263</v>
      </c>
      <c r="J682" s="15" t="s">
        <v>295</v>
      </c>
      <c r="K682" s="6">
        <v>0.44374999999999998</v>
      </c>
      <c r="L682" t="s">
        <v>144</v>
      </c>
      <c r="M682">
        <v>150000</v>
      </c>
      <c r="N682" t="s">
        <v>199</v>
      </c>
      <c r="O682" t="s">
        <v>152</v>
      </c>
      <c r="P682">
        <v>24</v>
      </c>
      <c r="Q682" t="s">
        <v>156</v>
      </c>
    </row>
    <row r="683" spans="1:17" x14ac:dyDescent="0.2">
      <c r="A683">
        <v>479589</v>
      </c>
      <c r="B683">
        <v>180</v>
      </c>
      <c r="C683" s="1" t="s">
        <v>99</v>
      </c>
      <c r="D683" s="10">
        <v>45011.991666666669</v>
      </c>
      <c r="E683" t="s">
        <v>96</v>
      </c>
      <c r="F683" t="s">
        <v>81</v>
      </c>
      <c r="G683">
        <v>9486</v>
      </c>
      <c r="H683" s="5" t="s">
        <v>99</v>
      </c>
      <c r="I683" s="15">
        <v>45011</v>
      </c>
      <c r="J683" s="15" t="s">
        <v>232</v>
      </c>
      <c r="K683" s="6">
        <v>0.49166666666666664</v>
      </c>
      <c r="L683" t="s">
        <v>143</v>
      </c>
      <c r="M683">
        <v>250000</v>
      </c>
      <c r="N683" t="s">
        <v>221</v>
      </c>
      <c r="O683" t="s">
        <v>152</v>
      </c>
      <c r="P683">
        <v>81</v>
      </c>
      <c r="Q683" t="s">
        <v>154</v>
      </c>
    </row>
    <row r="684" spans="1:17" x14ac:dyDescent="0.2">
      <c r="A684">
        <v>480827</v>
      </c>
      <c r="B684">
        <v>1498</v>
      </c>
      <c r="C684" s="1" t="s">
        <v>109</v>
      </c>
      <c r="D684" s="10">
        <v>44940.004166666666</v>
      </c>
      <c r="E684" t="s">
        <v>98</v>
      </c>
      <c r="F684" t="s">
        <v>88</v>
      </c>
      <c r="G684">
        <v>3032</v>
      </c>
      <c r="H684" s="5" t="s">
        <v>109</v>
      </c>
      <c r="I684" s="15">
        <v>44940</v>
      </c>
      <c r="J684" s="15" t="s">
        <v>232</v>
      </c>
      <c r="K684" s="6">
        <v>0.50416666666666665</v>
      </c>
      <c r="L684" t="s">
        <v>144</v>
      </c>
      <c r="M684">
        <v>100000</v>
      </c>
      <c r="N684" t="s">
        <v>200</v>
      </c>
      <c r="O684" t="s">
        <v>152</v>
      </c>
      <c r="P684">
        <v>75</v>
      </c>
      <c r="Q684" t="s">
        <v>156</v>
      </c>
    </row>
    <row r="685" spans="1:17" x14ac:dyDescent="0.2">
      <c r="A685">
        <v>480878</v>
      </c>
      <c r="B685">
        <v>1229</v>
      </c>
      <c r="C685" s="1" t="s">
        <v>101</v>
      </c>
      <c r="D685" s="10">
        <v>45072.067361111112</v>
      </c>
      <c r="E685" t="s">
        <v>191</v>
      </c>
      <c r="F685" t="s">
        <v>86</v>
      </c>
      <c r="G685">
        <v>9502</v>
      </c>
      <c r="H685" s="5" t="s">
        <v>101</v>
      </c>
      <c r="I685" s="15">
        <v>45072</v>
      </c>
      <c r="J685" s="15" t="s">
        <v>233</v>
      </c>
      <c r="K685" s="6">
        <v>6.7361111111111108E-2</v>
      </c>
      <c r="L685" t="s">
        <v>144</v>
      </c>
      <c r="M685">
        <v>100000</v>
      </c>
      <c r="N685" t="s">
        <v>216</v>
      </c>
      <c r="O685" t="s">
        <v>152</v>
      </c>
      <c r="P685">
        <v>67</v>
      </c>
      <c r="Q685" t="s">
        <v>156</v>
      </c>
    </row>
    <row r="686" spans="1:17" x14ac:dyDescent="0.2">
      <c r="A686">
        <v>482210</v>
      </c>
      <c r="B686">
        <v>1507</v>
      </c>
      <c r="C686" s="1" t="s">
        <v>99</v>
      </c>
      <c r="D686" s="10">
        <v>45184.059027777781</v>
      </c>
      <c r="E686" t="s">
        <v>96</v>
      </c>
      <c r="F686" t="s">
        <v>8</v>
      </c>
      <c r="G686">
        <v>4514</v>
      </c>
      <c r="H686" s="5" t="s">
        <v>99</v>
      </c>
      <c r="I686" s="15">
        <v>45184</v>
      </c>
      <c r="J686" s="15" t="s">
        <v>234</v>
      </c>
      <c r="K686" s="6">
        <v>5.9027777777777776E-2</v>
      </c>
      <c r="L686" t="s">
        <v>142</v>
      </c>
      <c r="M686">
        <v>200000</v>
      </c>
      <c r="N686" t="s">
        <v>201</v>
      </c>
      <c r="O686" t="s">
        <v>152</v>
      </c>
      <c r="P686">
        <v>78</v>
      </c>
      <c r="Q686" t="s">
        <v>157</v>
      </c>
    </row>
    <row r="687" spans="1:17" x14ac:dyDescent="0.2">
      <c r="A687">
        <v>482277</v>
      </c>
      <c r="B687">
        <v>1808</v>
      </c>
      <c r="C687" s="1" t="s">
        <v>107</v>
      </c>
      <c r="D687" s="10">
        <v>45257.963888888888</v>
      </c>
      <c r="E687" t="s">
        <v>98</v>
      </c>
      <c r="F687" t="s">
        <v>90</v>
      </c>
      <c r="G687">
        <v>5415</v>
      </c>
      <c r="H687" s="5" t="s">
        <v>107</v>
      </c>
      <c r="I687" s="15">
        <v>45257</v>
      </c>
      <c r="J687" s="15" t="s">
        <v>295</v>
      </c>
      <c r="K687" s="6">
        <v>0.46388888888888891</v>
      </c>
      <c r="L687" t="s">
        <v>142</v>
      </c>
      <c r="M687">
        <v>150000</v>
      </c>
      <c r="N687" t="s">
        <v>208</v>
      </c>
      <c r="O687" t="s">
        <v>152</v>
      </c>
      <c r="P687">
        <v>28</v>
      </c>
      <c r="Q687" t="s">
        <v>157</v>
      </c>
    </row>
    <row r="688" spans="1:17" x14ac:dyDescent="0.2">
      <c r="A688">
        <v>482282</v>
      </c>
      <c r="B688">
        <v>852</v>
      </c>
      <c r="C688" s="1" t="s">
        <v>99</v>
      </c>
      <c r="D688" s="10">
        <v>45154.043055555558</v>
      </c>
      <c r="E688" t="s">
        <v>96</v>
      </c>
      <c r="F688" t="s">
        <v>43</v>
      </c>
      <c r="G688">
        <v>348</v>
      </c>
      <c r="H688" s="5" t="s">
        <v>99</v>
      </c>
      <c r="I688" s="15">
        <v>45154</v>
      </c>
      <c r="J688" s="15" t="s">
        <v>234</v>
      </c>
      <c r="K688" s="6">
        <v>4.3055555555555555E-2</v>
      </c>
      <c r="L688" t="s">
        <v>145</v>
      </c>
      <c r="M688">
        <v>1000000</v>
      </c>
      <c r="N688" t="s">
        <v>203</v>
      </c>
      <c r="O688" t="s">
        <v>151</v>
      </c>
      <c r="P688">
        <v>84</v>
      </c>
      <c r="Q688" t="s">
        <v>155</v>
      </c>
    </row>
    <row r="689" spans="1:17" x14ac:dyDescent="0.2">
      <c r="A689">
        <v>482555</v>
      </c>
      <c r="B689">
        <v>506</v>
      </c>
      <c r="C689" s="1" t="s">
        <v>99</v>
      </c>
      <c r="D689" s="10">
        <v>44951.697222222225</v>
      </c>
      <c r="E689" t="s">
        <v>97</v>
      </c>
      <c r="F689" t="s">
        <v>91</v>
      </c>
      <c r="G689">
        <v>6355</v>
      </c>
      <c r="H689" s="5" t="s">
        <v>99</v>
      </c>
      <c r="I689" s="15">
        <v>44951</v>
      </c>
      <c r="J689" s="15" t="s">
        <v>232</v>
      </c>
      <c r="K689" s="6">
        <v>0.19722222222222222</v>
      </c>
      <c r="L689" t="s">
        <v>142</v>
      </c>
      <c r="M689">
        <v>100000</v>
      </c>
      <c r="N689" t="s">
        <v>213</v>
      </c>
      <c r="O689" t="s">
        <v>151</v>
      </c>
      <c r="P689">
        <v>45</v>
      </c>
      <c r="Q689" t="s">
        <v>155</v>
      </c>
    </row>
    <row r="690" spans="1:17" x14ac:dyDescent="0.2">
      <c r="A690">
        <v>483229</v>
      </c>
      <c r="B690">
        <v>577</v>
      </c>
      <c r="C690" s="1" t="s">
        <v>100</v>
      </c>
      <c r="D690" s="10">
        <v>44970.046527777777</v>
      </c>
      <c r="E690" t="s">
        <v>97</v>
      </c>
      <c r="F690" t="s">
        <v>78</v>
      </c>
      <c r="G690">
        <v>1958</v>
      </c>
      <c r="H690" s="5" t="s">
        <v>100</v>
      </c>
      <c r="I690" s="15">
        <v>44970</v>
      </c>
      <c r="J690" s="15" t="s">
        <v>232</v>
      </c>
      <c r="K690" s="6">
        <v>4.6527777777777779E-2</v>
      </c>
      <c r="L690" t="s">
        <v>143</v>
      </c>
      <c r="M690">
        <v>200000</v>
      </c>
      <c r="N690" t="s">
        <v>215</v>
      </c>
      <c r="O690" t="s">
        <v>152</v>
      </c>
      <c r="P690">
        <v>74</v>
      </c>
      <c r="Q690" t="s">
        <v>155</v>
      </c>
    </row>
    <row r="691" spans="1:17" x14ac:dyDescent="0.2">
      <c r="A691">
        <v>484489</v>
      </c>
      <c r="B691">
        <v>439</v>
      </c>
      <c r="C691" s="1" t="s">
        <v>105</v>
      </c>
      <c r="D691" s="10">
        <v>45256.01666666667</v>
      </c>
      <c r="E691" t="s">
        <v>191</v>
      </c>
      <c r="F691" t="s">
        <v>29</v>
      </c>
      <c r="G691">
        <v>6346</v>
      </c>
      <c r="H691" s="5" t="s">
        <v>105</v>
      </c>
      <c r="I691" s="15">
        <v>45256</v>
      </c>
      <c r="J691" s="15" t="s">
        <v>295</v>
      </c>
      <c r="K691" s="6">
        <v>0.51666666666666672</v>
      </c>
      <c r="L691" t="s">
        <v>143</v>
      </c>
      <c r="M691">
        <v>150000</v>
      </c>
      <c r="N691" t="s">
        <v>214</v>
      </c>
      <c r="O691" t="s">
        <v>151</v>
      </c>
      <c r="P691">
        <v>74</v>
      </c>
      <c r="Q691" t="s">
        <v>154</v>
      </c>
    </row>
    <row r="692" spans="1:17" x14ac:dyDescent="0.2">
      <c r="A692">
        <v>484525</v>
      </c>
      <c r="B692">
        <v>961</v>
      </c>
      <c r="C692" s="1" t="s">
        <v>99</v>
      </c>
      <c r="D692" s="10">
        <v>45270.996527777781</v>
      </c>
      <c r="E692" t="s">
        <v>191</v>
      </c>
      <c r="F692" t="s">
        <v>34</v>
      </c>
      <c r="G692">
        <v>3218</v>
      </c>
      <c r="H692" s="5" t="s">
        <v>99</v>
      </c>
      <c r="I692" s="15">
        <v>45270</v>
      </c>
      <c r="J692" s="15" t="s">
        <v>295</v>
      </c>
      <c r="K692" s="6">
        <v>0.49652777777777779</v>
      </c>
      <c r="L692" t="s">
        <v>144</v>
      </c>
      <c r="M692">
        <v>150000</v>
      </c>
      <c r="N692" t="s">
        <v>218</v>
      </c>
      <c r="O692" t="s">
        <v>152</v>
      </c>
      <c r="P692">
        <v>82</v>
      </c>
      <c r="Q692" t="s">
        <v>155</v>
      </c>
    </row>
    <row r="693" spans="1:17" x14ac:dyDescent="0.2">
      <c r="A693">
        <v>484688</v>
      </c>
      <c r="B693">
        <v>841</v>
      </c>
      <c r="C693" s="1" t="s">
        <v>99</v>
      </c>
      <c r="D693" s="10">
        <v>45068.005555555559</v>
      </c>
      <c r="E693" t="s">
        <v>97</v>
      </c>
      <c r="F693" t="s">
        <v>87</v>
      </c>
      <c r="G693">
        <v>5991</v>
      </c>
      <c r="H693" s="5" t="s">
        <v>99</v>
      </c>
      <c r="I693" s="15">
        <v>45068</v>
      </c>
      <c r="J693" s="15" t="s">
        <v>233</v>
      </c>
      <c r="K693" s="6">
        <v>0.50555555555555554</v>
      </c>
      <c r="L693" t="s">
        <v>144</v>
      </c>
      <c r="M693">
        <v>100000</v>
      </c>
      <c r="N693" t="s">
        <v>216</v>
      </c>
      <c r="O693" t="s">
        <v>152</v>
      </c>
      <c r="P693">
        <v>42</v>
      </c>
      <c r="Q693" t="s">
        <v>155</v>
      </c>
    </row>
    <row r="694" spans="1:17" x14ac:dyDescent="0.2">
      <c r="A694">
        <v>485583</v>
      </c>
      <c r="B694">
        <v>399</v>
      </c>
      <c r="C694" s="1" t="s">
        <v>113</v>
      </c>
      <c r="D694" s="10">
        <v>45000.064583333333</v>
      </c>
      <c r="E694" t="s">
        <v>98</v>
      </c>
      <c r="F694" t="s">
        <v>40</v>
      </c>
      <c r="G694">
        <v>5485</v>
      </c>
      <c r="H694" s="5" t="s">
        <v>113</v>
      </c>
      <c r="I694" s="15">
        <v>45000</v>
      </c>
      <c r="J694" s="15" t="s">
        <v>232</v>
      </c>
      <c r="K694" s="6">
        <v>6.458333333333334E-2</v>
      </c>
      <c r="L694" t="s">
        <v>142</v>
      </c>
      <c r="M694">
        <v>150000</v>
      </c>
      <c r="N694" t="s">
        <v>207</v>
      </c>
      <c r="O694" t="s">
        <v>152</v>
      </c>
      <c r="P694">
        <v>83</v>
      </c>
      <c r="Q694" t="s">
        <v>154</v>
      </c>
    </row>
    <row r="695" spans="1:17" x14ac:dyDescent="0.2">
      <c r="A695">
        <v>485658</v>
      </c>
      <c r="B695">
        <v>1222</v>
      </c>
      <c r="C695" s="1" t="s">
        <v>105</v>
      </c>
      <c r="D695" s="10">
        <v>44988.00277777778</v>
      </c>
      <c r="E695" t="s">
        <v>191</v>
      </c>
      <c r="F695" t="s">
        <v>69</v>
      </c>
      <c r="G695">
        <v>6370</v>
      </c>
      <c r="H695" s="5" t="s">
        <v>105</v>
      </c>
      <c r="I695" s="15">
        <v>44988</v>
      </c>
      <c r="J695" s="15" t="s">
        <v>232</v>
      </c>
      <c r="K695" s="6">
        <v>0.50277777777777777</v>
      </c>
      <c r="L695" t="s">
        <v>146</v>
      </c>
      <c r="M695">
        <v>250000</v>
      </c>
      <c r="N695" t="s">
        <v>225</v>
      </c>
      <c r="O695" t="s">
        <v>152</v>
      </c>
      <c r="P695">
        <v>58</v>
      </c>
      <c r="Q695" t="s">
        <v>156</v>
      </c>
    </row>
    <row r="696" spans="1:17" x14ac:dyDescent="0.2">
      <c r="A696">
        <v>487191</v>
      </c>
      <c r="B696">
        <v>404</v>
      </c>
      <c r="C696" s="1" t="s">
        <v>109</v>
      </c>
      <c r="D696" s="10">
        <v>44964.040277777778</v>
      </c>
      <c r="E696" t="s">
        <v>191</v>
      </c>
      <c r="F696" t="s">
        <v>85</v>
      </c>
      <c r="G696">
        <v>4492</v>
      </c>
      <c r="H696" s="5" t="s">
        <v>109</v>
      </c>
      <c r="I696" s="15">
        <v>44964</v>
      </c>
      <c r="J696" s="15" t="s">
        <v>232</v>
      </c>
      <c r="K696" s="6">
        <v>0.54027777777777775</v>
      </c>
      <c r="L696" t="s">
        <v>146</v>
      </c>
      <c r="M696">
        <v>100000</v>
      </c>
      <c r="N696" t="s">
        <v>212</v>
      </c>
      <c r="O696" t="s">
        <v>152</v>
      </c>
      <c r="P696">
        <v>26</v>
      </c>
      <c r="Q696" t="s">
        <v>154</v>
      </c>
    </row>
    <row r="697" spans="1:17" x14ac:dyDescent="0.2">
      <c r="A697">
        <v>488698</v>
      </c>
      <c r="B697">
        <v>1714</v>
      </c>
      <c r="C697" s="1" t="s">
        <v>105</v>
      </c>
      <c r="D697" s="10">
        <v>44996.052083333336</v>
      </c>
      <c r="E697" t="s">
        <v>98</v>
      </c>
      <c r="F697" t="s">
        <v>43</v>
      </c>
      <c r="G697">
        <v>5107</v>
      </c>
      <c r="H697" s="5" t="s">
        <v>105</v>
      </c>
      <c r="I697" s="15">
        <v>44996</v>
      </c>
      <c r="J697" s="15" t="s">
        <v>232</v>
      </c>
      <c r="K697" s="6">
        <v>5.2083333333333336E-2</v>
      </c>
      <c r="L697" t="s">
        <v>145</v>
      </c>
      <c r="M697">
        <v>1000000</v>
      </c>
      <c r="N697" t="s">
        <v>203</v>
      </c>
      <c r="O697" t="s">
        <v>151</v>
      </c>
      <c r="P697">
        <v>33</v>
      </c>
      <c r="Q697" t="s">
        <v>157</v>
      </c>
    </row>
    <row r="698" spans="1:17" x14ac:dyDescent="0.2">
      <c r="A698">
        <v>489692</v>
      </c>
      <c r="B698">
        <v>1249</v>
      </c>
      <c r="C698" s="1" t="s">
        <v>99</v>
      </c>
      <c r="D698" s="10">
        <v>45192.015972222223</v>
      </c>
      <c r="E698" t="s">
        <v>191</v>
      </c>
      <c r="F698" t="s">
        <v>81</v>
      </c>
      <c r="G698">
        <v>9580</v>
      </c>
      <c r="H698" s="5" t="s">
        <v>99</v>
      </c>
      <c r="I698" s="15">
        <v>45192</v>
      </c>
      <c r="J698" s="15" t="s">
        <v>234</v>
      </c>
      <c r="K698" s="6">
        <v>0.51597222222222228</v>
      </c>
      <c r="L698" t="s">
        <v>143</v>
      </c>
      <c r="M698">
        <v>250000</v>
      </c>
      <c r="N698" t="s">
        <v>221</v>
      </c>
      <c r="O698" t="s">
        <v>152</v>
      </c>
      <c r="P698">
        <v>76</v>
      </c>
      <c r="Q698" t="s">
        <v>156</v>
      </c>
    </row>
    <row r="699" spans="1:17" x14ac:dyDescent="0.2">
      <c r="A699">
        <v>489835</v>
      </c>
      <c r="B699">
        <v>974</v>
      </c>
      <c r="C699" s="1" t="s">
        <v>100</v>
      </c>
      <c r="D699" s="10">
        <v>45208.05972222222</v>
      </c>
      <c r="E699" t="s">
        <v>96</v>
      </c>
      <c r="F699" t="s">
        <v>71</v>
      </c>
      <c r="G699">
        <v>6589</v>
      </c>
      <c r="H699" s="5" t="s">
        <v>100</v>
      </c>
      <c r="I699" s="15">
        <v>45208</v>
      </c>
      <c r="J699" s="15" t="s">
        <v>295</v>
      </c>
      <c r="K699" s="6">
        <v>5.9722222222222225E-2</v>
      </c>
      <c r="L699" t="s">
        <v>145</v>
      </c>
      <c r="M699">
        <v>150000</v>
      </c>
      <c r="N699" t="s">
        <v>226</v>
      </c>
      <c r="O699" t="s">
        <v>151</v>
      </c>
      <c r="P699">
        <v>60</v>
      </c>
      <c r="Q699" t="s">
        <v>155</v>
      </c>
    </row>
    <row r="700" spans="1:17" x14ac:dyDescent="0.2">
      <c r="A700">
        <v>490691</v>
      </c>
      <c r="B700">
        <v>1658</v>
      </c>
      <c r="C700" s="1" t="s">
        <v>99</v>
      </c>
      <c r="D700" s="10">
        <v>45290.052777777775</v>
      </c>
      <c r="E700" t="s">
        <v>97</v>
      </c>
      <c r="F700" t="s">
        <v>7</v>
      </c>
      <c r="G700">
        <v>6947</v>
      </c>
      <c r="H700" s="5" t="s">
        <v>99</v>
      </c>
      <c r="I700" s="15">
        <v>45290</v>
      </c>
      <c r="J700" s="15" t="s">
        <v>295</v>
      </c>
      <c r="K700" s="6">
        <v>5.2777777777777778E-2</v>
      </c>
      <c r="L700" t="s">
        <v>144</v>
      </c>
      <c r="M700">
        <v>150000</v>
      </c>
      <c r="N700" t="s">
        <v>200</v>
      </c>
      <c r="O700" t="s">
        <v>152</v>
      </c>
      <c r="P700">
        <v>41</v>
      </c>
      <c r="Q700" t="s">
        <v>157</v>
      </c>
    </row>
    <row r="701" spans="1:17" x14ac:dyDescent="0.2">
      <c r="A701">
        <v>491960</v>
      </c>
      <c r="B701">
        <v>564</v>
      </c>
      <c r="C701" s="1" t="s">
        <v>99</v>
      </c>
      <c r="D701" s="10">
        <v>45117.005555555559</v>
      </c>
      <c r="E701" t="s">
        <v>96</v>
      </c>
      <c r="F701" t="s">
        <v>27</v>
      </c>
      <c r="G701">
        <v>1650</v>
      </c>
      <c r="H701" s="5" t="s">
        <v>99</v>
      </c>
      <c r="I701" s="15">
        <v>45117</v>
      </c>
      <c r="J701" s="15" t="s">
        <v>234</v>
      </c>
      <c r="K701" s="6">
        <v>0.50555555555555554</v>
      </c>
      <c r="L701" t="s">
        <v>142</v>
      </c>
      <c r="M701">
        <v>1000000</v>
      </c>
      <c r="N701" t="s">
        <v>209</v>
      </c>
      <c r="O701" t="s">
        <v>152</v>
      </c>
      <c r="P701">
        <v>83</v>
      </c>
      <c r="Q701" t="s">
        <v>155</v>
      </c>
    </row>
    <row r="702" spans="1:17" x14ac:dyDescent="0.2">
      <c r="A702">
        <v>492855</v>
      </c>
      <c r="B702">
        <v>1294</v>
      </c>
      <c r="C702" s="1" t="s">
        <v>100</v>
      </c>
      <c r="D702" s="10">
        <v>45285.959722222222</v>
      </c>
      <c r="E702" t="s">
        <v>97</v>
      </c>
      <c r="F702" t="s">
        <v>65</v>
      </c>
      <c r="G702">
        <v>9532</v>
      </c>
      <c r="H702" s="5" t="s">
        <v>100</v>
      </c>
      <c r="I702" s="15">
        <v>45285</v>
      </c>
      <c r="J702" s="15" t="s">
        <v>295</v>
      </c>
      <c r="K702" s="6">
        <v>0.4597222222222222</v>
      </c>
      <c r="L702" t="s">
        <v>146</v>
      </c>
      <c r="M702">
        <v>200000</v>
      </c>
      <c r="N702" t="s">
        <v>225</v>
      </c>
      <c r="O702" t="s">
        <v>152</v>
      </c>
      <c r="P702">
        <v>54</v>
      </c>
      <c r="Q702" t="s">
        <v>156</v>
      </c>
    </row>
    <row r="703" spans="1:17" x14ac:dyDescent="0.2">
      <c r="A703">
        <v>492948</v>
      </c>
      <c r="B703">
        <v>1109</v>
      </c>
      <c r="C703" s="1" t="s">
        <v>113</v>
      </c>
      <c r="D703" s="10">
        <v>45160.036805555559</v>
      </c>
      <c r="E703" t="s">
        <v>98</v>
      </c>
      <c r="F703" t="s">
        <v>24</v>
      </c>
      <c r="G703">
        <v>709</v>
      </c>
      <c r="H703" s="5" t="s">
        <v>113</v>
      </c>
      <c r="I703" s="15">
        <v>45160</v>
      </c>
      <c r="J703" s="15" t="s">
        <v>234</v>
      </c>
      <c r="K703" s="6">
        <v>0.53680555555555554</v>
      </c>
      <c r="L703" t="s">
        <v>143</v>
      </c>
      <c r="M703">
        <v>200000</v>
      </c>
      <c r="N703" t="s">
        <v>214</v>
      </c>
      <c r="O703" t="s">
        <v>152</v>
      </c>
      <c r="P703">
        <v>86</v>
      </c>
      <c r="Q703" t="s">
        <v>156</v>
      </c>
    </row>
    <row r="704" spans="1:17" x14ac:dyDescent="0.2">
      <c r="A704">
        <v>493043</v>
      </c>
      <c r="B704">
        <v>1357</v>
      </c>
      <c r="C704" s="1" t="s">
        <v>111</v>
      </c>
      <c r="D704" s="10">
        <v>45181.954861111109</v>
      </c>
      <c r="E704" t="s">
        <v>96</v>
      </c>
      <c r="F704" t="s">
        <v>27</v>
      </c>
      <c r="G704">
        <v>852</v>
      </c>
      <c r="H704" s="5" t="s">
        <v>111</v>
      </c>
      <c r="I704" s="15">
        <v>45181</v>
      </c>
      <c r="J704" s="15" t="s">
        <v>234</v>
      </c>
      <c r="K704" s="6">
        <v>0.4548611111111111</v>
      </c>
      <c r="L704" t="s">
        <v>142</v>
      </c>
      <c r="M704">
        <v>1000000</v>
      </c>
      <c r="N704" t="s">
        <v>209</v>
      </c>
      <c r="O704" t="s">
        <v>151</v>
      </c>
      <c r="P704">
        <v>43</v>
      </c>
      <c r="Q704" t="s">
        <v>156</v>
      </c>
    </row>
    <row r="705" spans="1:17" x14ac:dyDescent="0.2">
      <c r="A705">
        <v>493111</v>
      </c>
      <c r="B705">
        <v>1962</v>
      </c>
      <c r="C705" s="1" t="s">
        <v>99</v>
      </c>
      <c r="D705" s="10">
        <v>44935.963888888888</v>
      </c>
      <c r="E705" t="s">
        <v>97</v>
      </c>
      <c r="F705" t="s">
        <v>66</v>
      </c>
      <c r="G705">
        <v>6279</v>
      </c>
      <c r="H705" s="5" t="s">
        <v>99</v>
      </c>
      <c r="I705" s="15">
        <v>44935</v>
      </c>
      <c r="J705" s="15" t="s">
        <v>232</v>
      </c>
      <c r="K705" s="6">
        <v>0.46388888888888891</v>
      </c>
      <c r="L705" t="s">
        <v>144</v>
      </c>
      <c r="M705">
        <v>150000</v>
      </c>
      <c r="N705" t="s">
        <v>224</v>
      </c>
      <c r="O705" t="s">
        <v>151</v>
      </c>
      <c r="P705">
        <v>23</v>
      </c>
      <c r="Q705" t="s">
        <v>157</v>
      </c>
    </row>
    <row r="706" spans="1:17" x14ac:dyDescent="0.2">
      <c r="A706">
        <v>493809</v>
      </c>
      <c r="B706">
        <v>799</v>
      </c>
      <c r="C706" s="1" t="s">
        <v>99</v>
      </c>
      <c r="D706" s="10">
        <v>44969.083333333336</v>
      </c>
      <c r="E706" t="s">
        <v>191</v>
      </c>
      <c r="F706" t="s">
        <v>78</v>
      </c>
      <c r="G706">
        <v>8809</v>
      </c>
      <c r="H706" s="5" t="s">
        <v>99</v>
      </c>
      <c r="I706" s="15">
        <v>44969</v>
      </c>
      <c r="J706" s="15" t="s">
        <v>232</v>
      </c>
      <c r="K706" s="6">
        <v>8.3333333333333329E-2</v>
      </c>
      <c r="L706" t="s">
        <v>143</v>
      </c>
      <c r="M706">
        <v>200000</v>
      </c>
      <c r="N706" t="s">
        <v>215</v>
      </c>
      <c r="O706" t="s">
        <v>152</v>
      </c>
      <c r="P706">
        <v>59</v>
      </c>
      <c r="Q706" t="s">
        <v>155</v>
      </c>
    </row>
    <row r="707" spans="1:17" x14ac:dyDescent="0.2">
      <c r="A707">
        <v>493810</v>
      </c>
      <c r="B707">
        <v>1040</v>
      </c>
      <c r="C707" s="1" t="s">
        <v>113</v>
      </c>
      <c r="D707" s="10">
        <v>45122.958333333336</v>
      </c>
      <c r="E707" t="s">
        <v>97</v>
      </c>
      <c r="F707" t="s">
        <v>77</v>
      </c>
      <c r="G707">
        <v>1550</v>
      </c>
      <c r="H707" s="5" t="s">
        <v>113</v>
      </c>
      <c r="I707" s="15">
        <v>45122</v>
      </c>
      <c r="J707" s="15" t="s">
        <v>234</v>
      </c>
      <c r="K707" s="6">
        <v>0.45833333333333331</v>
      </c>
      <c r="L707" t="s">
        <v>146</v>
      </c>
      <c r="M707">
        <v>100000</v>
      </c>
      <c r="N707" t="s">
        <v>222</v>
      </c>
      <c r="O707" t="s">
        <v>152</v>
      </c>
      <c r="P707">
        <v>63</v>
      </c>
      <c r="Q707" t="s">
        <v>156</v>
      </c>
    </row>
    <row r="708" spans="1:17" x14ac:dyDescent="0.2">
      <c r="A708">
        <v>495154</v>
      </c>
      <c r="B708">
        <v>1911</v>
      </c>
      <c r="C708" s="1" t="s">
        <v>101</v>
      </c>
      <c r="D708" s="10">
        <v>44991.996527777781</v>
      </c>
      <c r="E708" t="s">
        <v>97</v>
      </c>
      <c r="F708" t="s">
        <v>64</v>
      </c>
      <c r="G708">
        <v>5800</v>
      </c>
      <c r="H708" s="5" t="s">
        <v>101</v>
      </c>
      <c r="I708" s="15">
        <v>44991</v>
      </c>
      <c r="J708" s="15" t="s">
        <v>232</v>
      </c>
      <c r="K708" s="6">
        <v>0.49652777777777779</v>
      </c>
      <c r="L708" t="s">
        <v>143</v>
      </c>
      <c r="M708">
        <v>100000</v>
      </c>
      <c r="N708" t="s">
        <v>223</v>
      </c>
      <c r="O708" t="s">
        <v>152</v>
      </c>
      <c r="P708">
        <v>78</v>
      </c>
      <c r="Q708" t="s">
        <v>157</v>
      </c>
    </row>
    <row r="709" spans="1:17" x14ac:dyDescent="0.2">
      <c r="A709">
        <v>495680</v>
      </c>
      <c r="B709">
        <v>276</v>
      </c>
      <c r="C709" s="1" t="s">
        <v>113</v>
      </c>
      <c r="D709" s="10">
        <v>45103.03402777778</v>
      </c>
      <c r="E709" t="s">
        <v>97</v>
      </c>
      <c r="F709" t="s">
        <v>30</v>
      </c>
      <c r="G709">
        <v>2665</v>
      </c>
      <c r="H709" s="5" t="s">
        <v>113</v>
      </c>
      <c r="I709" s="15">
        <v>45103</v>
      </c>
      <c r="J709" s="15" t="s">
        <v>233</v>
      </c>
      <c r="K709" s="6">
        <v>0.53402777777777777</v>
      </c>
      <c r="L709" t="s">
        <v>144</v>
      </c>
      <c r="M709">
        <v>200000</v>
      </c>
      <c r="N709" t="s">
        <v>216</v>
      </c>
      <c r="O709" t="s">
        <v>152</v>
      </c>
      <c r="P709">
        <v>59</v>
      </c>
      <c r="Q709" t="s">
        <v>154</v>
      </c>
    </row>
    <row r="710" spans="1:17" x14ac:dyDescent="0.2">
      <c r="A710">
        <v>497302</v>
      </c>
      <c r="B710">
        <v>1539</v>
      </c>
      <c r="C710" s="1" t="s">
        <v>99</v>
      </c>
      <c r="D710" s="10">
        <v>45177.978472222225</v>
      </c>
      <c r="E710" t="s">
        <v>98</v>
      </c>
      <c r="F710" t="s">
        <v>53</v>
      </c>
      <c r="G710">
        <v>7579</v>
      </c>
      <c r="H710" s="5" t="s">
        <v>99</v>
      </c>
      <c r="I710" s="15">
        <v>45177</v>
      </c>
      <c r="J710" s="15" t="s">
        <v>234</v>
      </c>
      <c r="K710" s="6">
        <v>0.47847222222222224</v>
      </c>
      <c r="L710" t="s">
        <v>142</v>
      </c>
      <c r="M710">
        <v>100000</v>
      </c>
      <c r="N710" t="s">
        <v>207</v>
      </c>
      <c r="O710" t="s">
        <v>152</v>
      </c>
      <c r="P710">
        <v>73</v>
      </c>
      <c r="Q710" t="s">
        <v>157</v>
      </c>
    </row>
    <row r="711" spans="1:17" x14ac:dyDescent="0.2">
      <c r="A711">
        <v>497663</v>
      </c>
      <c r="B711">
        <v>596</v>
      </c>
      <c r="C711" s="1" t="s">
        <v>102</v>
      </c>
      <c r="D711" s="10">
        <v>45236.002083333333</v>
      </c>
      <c r="E711" t="s">
        <v>96</v>
      </c>
      <c r="F711" t="s">
        <v>85</v>
      </c>
      <c r="G711">
        <v>6580</v>
      </c>
      <c r="H711" s="5" t="s">
        <v>102</v>
      </c>
      <c r="I711" s="15">
        <v>45236</v>
      </c>
      <c r="J711" s="15" t="s">
        <v>295</v>
      </c>
      <c r="K711" s="6">
        <v>0.50208333333333333</v>
      </c>
      <c r="L711" t="s">
        <v>146</v>
      </c>
      <c r="M711">
        <v>100000</v>
      </c>
      <c r="N711" t="s">
        <v>212</v>
      </c>
      <c r="O711" t="s">
        <v>151</v>
      </c>
      <c r="P711">
        <v>66</v>
      </c>
      <c r="Q711" t="s">
        <v>155</v>
      </c>
    </row>
    <row r="712" spans="1:17" x14ac:dyDescent="0.2">
      <c r="A712">
        <v>498278</v>
      </c>
      <c r="B712">
        <v>540</v>
      </c>
      <c r="C712" s="1" t="s">
        <v>101</v>
      </c>
      <c r="D712" s="10">
        <v>45090.046527777777</v>
      </c>
      <c r="E712" t="s">
        <v>96</v>
      </c>
      <c r="F712" t="s">
        <v>51</v>
      </c>
      <c r="G712">
        <v>4974</v>
      </c>
      <c r="H712" s="5" t="s">
        <v>101</v>
      </c>
      <c r="I712" s="15">
        <v>45090</v>
      </c>
      <c r="J712" s="15" t="s">
        <v>233</v>
      </c>
      <c r="K712" s="6">
        <v>4.6527777777777779E-2</v>
      </c>
      <c r="L712" t="s">
        <v>145</v>
      </c>
      <c r="M712">
        <v>100000</v>
      </c>
      <c r="N712" t="s">
        <v>217</v>
      </c>
      <c r="O712" t="s">
        <v>151</v>
      </c>
      <c r="P712">
        <v>27</v>
      </c>
      <c r="Q712" t="s">
        <v>155</v>
      </c>
    </row>
    <row r="713" spans="1:17" x14ac:dyDescent="0.2">
      <c r="A713">
        <v>498746</v>
      </c>
      <c r="B713">
        <v>1475</v>
      </c>
      <c r="C713" s="1" t="s">
        <v>105</v>
      </c>
      <c r="D713" s="10">
        <v>45080.006249999999</v>
      </c>
      <c r="E713" t="s">
        <v>97</v>
      </c>
      <c r="F713" t="s">
        <v>68</v>
      </c>
      <c r="G713">
        <v>6335</v>
      </c>
      <c r="H713" s="5" t="s">
        <v>105</v>
      </c>
      <c r="I713" s="15">
        <v>45080</v>
      </c>
      <c r="J713" s="15" t="s">
        <v>233</v>
      </c>
      <c r="K713" s="6">
        <v>0.50624999999999998</v>
      </c>
      <c r="L713" t="s">
        <v>144</v>
      </c>
      <c r="M713">
        <v>100000</v>
      </c>
      <c r="N713" t="s">
        <v>200</v>
      </c>
      <c r="O713" t="s">
        <v>152</v>
      </c>
      <c r="P713">
        <v>25</v>
      </c>
      <c r="Q713" t="s">
        <v>156</v>
      </c>
    </row>
    <row r="714" spans="1:17" x14ac:dyDescent="0.2">
      <c r="A714">
        <v>499145</v>
      </c>
      <c r="B714">
        <v>61</v>
      </c>
      <c r="C714" s="1" t="s">
        <v>105</v>
      </c>
      <c r="D714" s="10">
        <v>45168.95416666667</v>
      </c>
      <c r="E714" t="s">
        <v>98</v>
      </c>
      <c r="F714" t="s">
        <v>43</v>
      </c>
      <c r="G714">
        <v>165</v>
      </c>
      <c r="H714" s="5" t="s">
        <v>105</v>
      </c>
      <c r="I714" s="15">
        <v>45168</v>
      </c>
      <c r="J714" s="15" t="s">
        <v>234</v>
      </c>
      <c r="K714" s="6">
        <v>0.45416666666666666</v>
      </c>
      <c r="L714" t="s">
        <v>145</v>
      </c>
      <c r="M714">
        <v>1000000</v>
      </c>
      <c r="N714" t="s">
        <v>203</v>
      </c>
      <c r="O714" t="s">
        <v>152</v>
      </c>
      <c r="P714">
        <v>47</v>
      </c>
      <c r="Q714" t="s">
        <v>154</v>
      </c>
    </row>
    <row r="715" spans="1:17" x14ac:dyDescent="0.2">
      <c r="A715">
        <v>499301</v>
      </c>
      <c r="B715">
        <v>125</v>
      </c>
      <c r="C715" s="1" t="s">
        <v>105</v>
      </c>
      <c r="D715" s="10">
        <v>45215.061111111114</v>
      </c>
      <c r="E715" t="s">
        <v>98</v>
      </c>
      <c r="F715" t="s">
        <v>27</v>
      </c>
      <c r="G715">
        <v>8557</v>
      </c>
      <c r="H715" s="5" t="s">
        <v>105</v>
      </c>
      <c r="I715" s="15">
        <v>45215</v>
      </c>
      <c r="J715" s="15" t="s">
        <v>295</v>
      </c>
      <c r="K715" s="6">
        <v>6.1111111111111109E-2</v>
      </c>
      <c r="L715" t="s">
        <v>142</v>
      </c>
      <c r="M715">
        <v>1000000</v>
      </c>
      <c r="N715" t="s">
        <v>209</v>
      </c>
      <c r="O715" t="s">
        <v>152</v>
      </c>
      <c r="P715">
        <v>58</v>
      </c>
      <c r="Q715" t="s">
        <v>154</v>
      </c>
    </row>
    <row r="716" spans="1:17" x14ac:dyDescent="0.2">
      <c r="A716">
        <v>499444</v>
      </c>
      <c r="B716">
        <v>122</v>
      </c>
      <c r="C716" s="1" t="s">
        <v>105</v>
      </c>
      <c r="D716" s="10">
        <v>45131.002083333333</v>
      </c>
      <c r="E716" t="s">
        <v>98</v>
      </c>
      <c r="F716" t="s">
        <v>69</v>
      </c>
      <c r="G716">
        <v>9615</v>
      </c>
      <c r="H716" s="5" t="s">
        <v>105</v>
      </c>
      <c r="I716" s="15">
        <v>45131</v>
      </c>
      <c r="J716" s="15" t="s">
        <v>234</v>
      </c>
      <c r="K716" s="6">
        <v>0.50208333333333333</v>
      </c>
      <c r="L716" t="s">
        <v>146</v>
      </c>
      <c r="M716">
        <v>250000</v>
      </c>
      <c r="N716" t="s">
        <v>225</v>
      </c>
      <c r="O716" t="s">
        <v>151</v>
      </c>
      <c r="P716">
        <v>41</v>
      </c>
      <c r="Q716" t="s">
        <v>154</v>
      </c>
    </row>
    <row r="717" spans="1:17" x14ac:dyDescent="0.2">
      <c r="A717">
        <v>500116</v>
      </c>
      <c r="B717">
        <v>1317</v>
      </c>
      <c r="C717" s="1" t="s">
        <v>100</v>
      </c>
      <c r="D717" s="10">
        <v>45072.044444444444</v>
      </c>
      <c r="E717" t="s">
        <v>96</v>
      </c>
      <c r="F717" t="s">
        <v>43</v>
      </c>
      <c r="G717">
        <v>4269</v>
      </c>
      <c r="H717" s="5" t="s">
        <v>100</v>
      </c>
      <c r="I717" s="15">
        <v>45072</v>
      </c>
      <c r="J717" s="15" t="s">
        <v>233</v>
      </c>
      <c r="K717" s="6">
        <v>4.4444444444444446E-2</v>
      </c>
      <c r="L717" t="s">
        <v>145</v>
      </c>
      <c r="M717">
        <v>1000000</v>
      </c>
      <c r="N717" t="s">
        <v>203</v>
      </c>
      <c r="O717" t="s">
        <v>151</v>
      </c>
      <c r="P717">
        <v>54</v>
      </c>
      <c r="Q717" t="s">
        <v>156</v>
      </c>
    </row>
    <row r="718" spans="1:17" x14ac:dyDescent="0.2">
      <c r="A718">
        <v>500630</v>
      </c>
      <c r="B718">
        <v>548</v>
      </c>
      <c r="C718" s="1" t="s">
        <v>99</v>
      </c>
      <c r="D718" s="10">
        <v>45091.020138888889</v>
      </c>
      <c r="E718" t="s">
        <v>96</v>
      </c>
      <c r="F718" t="s">
        <v>22</v>
      </c>
      <c r="G718">
        <v>3906</v>
      </c>
      <c r="H718" s="5" t="s">
        <v>99</v>
      </c>
      <c r="I718" s="15">
        <v>45091</v>
      </c>
      <c r="J718" s="15" t="s">
        <v>233</v>
      </c>
      <c r="K718" s="6">
        <v>0.52013888888888893</v>
      </c>
      <c r="L718" t="s">
        <v>144</v>
      </c>
      <c r="M718">
        <v>100000</v>
      </c>
      <c r="N718" t="s">
        <v>202</v>
      </c>
      <c r="O718" t="s">
        <v>151</v>
      </c>
      <c r="P718">
        <v>48</v>
      </c>
      <c r="Q718" t="s">
        <v>155</v>
      </c>
    </row>
    <row r="719" spans="1:17" x14ac:dyDescent="0.2">
      <c r="A719">
        <v>501314</v>
      </c>
      <c r="B719">
        <v>319</v>
      </c>
      <c r="C719" s="1" t="s">
        <v>113</v>
      </c>
      <c r="D719" s="10">
        <v>44963.950694444444</v>
      </c>
      <c r="E719" t="s">
        <v>98</v>
      </c>
      <c r="F719" t="s">
        <v>4</v>
      </c>
      <c r="G719">
        <v>2512</v>
      </c>
      <c r="H719" s="5" t="s">
        <v>113</v>
      </c>
      <c r="I719" s="15">
        <v>44963</v>
      </c>
      <c r="J719" s="15" t="s">
        <v>232</v>
      </c>
      <c r="K719" s="6">
        <v>0.45069444444444445</v>
      </c>
      <c r="L719" t="s">
        <v>142</v>
      </c>
      <c r="M719">
        <v>200000</v>
      </c>
      <c r="N719" t="s">
        <v>197</v>
      </c>
      <c r="O719" t="s">
        <v>152</v>
      </c>
      <c r="P719">
        <v>39</v>
      </c>
      <c r="Q719" t="s">
        <v>154</v>
      </c>
    </row>
    <row r="720" spans="1:17" x14ac:dyDescent="0.2">
      <c r="A720">
        <v>502404</v>
      </c>
      <c r="B720">
        <v>62</v>
      </c>
      <c r="C720" s="1" t="s">
        <v>99</v>
      </c>
      <c r="D720" s="10">
        <v>44973.993750000001</v>
      </c>
      <c r="E720" t="s">
        <v>97</v>
      </c>
      <c r="F720" t="s">
        <v>19</v>
      </c>
      <c r="G720">
        <v>3368</v>
      </c>
      <c r="H720" s="5" t="s">
        <v>99</v>
      </c>
      <c r="I720" s="15">
        <v>44973</v>
      </c>
      <c r="J720" s="15" t="s">
        <v>232</v>
      </c>
      <c r="K720" s="6">
        <v>0.49375000000000002</v>
      </c>
      <c r="L720" t="s">
        <v>142</v>
      </c>
      <c r="M720">
        <v>150000</v>
      </c>
      <c r="N720" t="s">
        <v>211</v>
      </c>
      <c r="O720" t="s">
        <v>152</v>
      </c>
      <c r="P720">
        <v>42</v>
      </c>
      <c r="Q720" t="s">
        <v>154</v>
      </c>
    </row>
    <row r="721" spans="1:17" x14ac:dyDescent="0.2">
      <c r="A721">
        <v>503957</v>
      </c>
      <c r="B721">
        <v>1442</v>
      </c>
      <c r="C721" s="1" t="s">
        <v>99</v>
      </c>
      <c r="D721" s="10">
        <v>45187.04583333333</v>
      </c>
      <c r="E721" t="s">
        <v>97</v>
      </c>
      <c r="F721" t="s">
        <v>35</v>
      </c>
      <c r="G721">
        <v>2938</v>
      </c>
      <c r="H721" s="5" t="s">
        <v>99</v>
      </c>
      <c r="I721" s="15">
        <v>45187</v>
      </c>
      <c r="J721" s="15" t="s">
        <v>234</v>
      </c>
      <c r="K721" s="6">
        <v>4.583333333333333E-2</v>
      </c>
      <c r="L721" t="s">
        <v>144</v>
      </c>
      <c r="M721">
        <v>100000</v>
      </c>
      <c r="N721" t="s">
        <v>219</v>
      </c>
      <c r="O721" t="s">
        <v>151</v>
      </c>
      <c r="P721">
        <v>82</v>
      </c>
      <c r="Q721" t="s">
        <v>156</v>
      </c>
    </row>
    <row r="722" spans="1:17" x14ac:dyDescent="0.2">
      <c r="A722">
        <v>504071</v>
      </c>
      <c r="B722">
        <v>1811</v>
      </c>
      <c r="C722" s="1" t="s">
        <v>99</v>
      </c>
      <c r="D722" s="10">
        <v>45152.022222222222</v>
      </c>
      <c r="E722" t="s">
        <v>191</v>
      </c>
      <c r="F722" t="s">
        <v>15</v>
      </c>
      <c r="G722">
        <v>2261</v>
      </c>
      <c r="H722" s="5" t="s">
        <v>99</v>
      </c>
      <c r="I722" s="15">
        <v>45152</v>
      </c>
      <c r="J722" s="15" t="s">
        <v>234</v>
      </c>
      <c r="K722" s="6">
        <v>0.52222222222222225</v>
      </c>
      <c r="L722" t="s">
        <v>143</v>
      </c>
      <c r="M722">
        <v>150000</v>
      </c>
      <c r="N722" t="s">
        <v>198</v>
      </c>
      <c r="O722" t="s">
        <v>152</v>
      </c>
      <c r="P722">
        <v>79</v>
      </c>
      <c r="Q722" t="s">
        <v>157</v>
      </c>
    </row>
    <row r="723" spans="1:17" x14ac:dyDescent="0.2">
      <c r="A723">
        <v>504938</v>
      </c>
      <c r="B723">
        <v>84</v>
      </c>
      <c r="C723" s="1" t="s">
        <v>99</v>
      </c>
      <c r="D723" s="10">
        <v>45117.98333333333</v>
      </c>
      <c r="E723" t="s">
        <v>192</v>
      </c>
      <c r="F723" t="s">
        <v>28</v>
      </c>
      <c r="G723">
        <v>6541</v>
      </c>
      <c r="H723" s="5" t="s">
        <v>99</v>
      </c>
      <c r="I723" s="15">
        <v>45117</v>
      </c>
      <c r="J723" s="15" t="s">
        <v>234</v>
      </c>
      <c r="K723" s="6">
        <v>0.48333333333333334</v>
      </c>
      <c r="L723" t="s">
        <v>143</v>
      </c>
      <c r="M723">
        <v>100000</v>
      </c>
      <c r="N723" t="s">
        <v>215</v>
      </c>
      <c r="O723" t="s">
        <v>151</v>
      </c>
      <c r="P723">
        <v>85</v>
      </c>
      <c r="Q723" t="s">
        <v>154</v>
      </c>
    </row>
    <row r="724" spans="1:17" x14ac:dyDescent="0.2">
      <c r="A724">
        <v>505298</v>
      </c>
      <c r="B724">
        <v>1854</v>
      </c>
      <c r="C724" s="1" t="s">
        <v>99</v>
      </c>
      <c r="D724" s="10">
        <v>45111.023611111108</v>
      </c>
      <c r="E724" t="s">
        <v>96</v>
      </c>
      <c r="F724" t="s">
        <v>78</v>
      </c>
      <c r="G724">
        <v>7393</v>
      </c>
      <c r="H724" s="5" t="s">
        <v>99</v>
      </c>
      <c r="I724" s="15">
        <v>45111</v>
      </c>
      <c r="J724" s="15" t="s">
        <v>234</v>
      </c>
      <c r="K724" s="6">
        <v>0.52361111111111114</v>
      </c>
      <c r="L724" t="s">
        <v>143</v>
      </c>
      <c r="M724">
        <v>200000</v>
      </c>
      <c r="N724" t="s">
        <v>215</v>
      </c>
      <c r="O724" t="s">
        <v>152</v>
      </c>
      <c r="P724">
        <v>87</v>
      </c>
      <c r="Q724" t="s">
        <v>157</v>
      </c>
    </row>
    <row r="725" spans="1:17" x14ac:dyDescent="0.2">
      <c r="A725">
        <v>506188</v>
      </c>
      <c r="B725">
        <v>515</v>
      </c>
      <c r="C725" s="1" t="s">
        <v>105</v>
      </c>
      <c r="D725" s="10">
        <v>44970.025000000001</v>
      </c>
      <c r="E725" t="s">
        <v>96</v>
      </c>
      <c r="F725" t="s">
        <v>27</v>
      </c>
      <c r="G725">
        <v>2177</v>
      </c>
      <c r="H725" s="5" t="s">
        <v>105</v>
      </c>
      <c r="I725" s="15">
        <v>44970</v>
      </c>
      <c r="J725" s="15" t="s">
        <v>232</v>
      </c>
      <c r="K725" s="6">
        <v>0.52500000000000002</v>
      </c>
      <c r="L725" t="s">
        <v>142</v>
      </c>
      <c r="M725">
        <v>1000000</v>
      </c>
      <c r="N725" t="s">
        <v>209</v>
      </c>
      <c r="O725" t="s">
        <v>152</v>
      </c>
      <c r="P725">
        <v>37</v>
      </c>
      <c r="Q725" t="s">
        <v>155</v>
      </c>
    </row>
    <row r="726" spans="1:17" x14ac:dyDescent="0.2">
      <c r="A726">
        <v>506560</v>
      </c>
      <c r="B726">
        <v>301</v>
      </c>
      <c r="C726" s="1" t="s">
        <v>113</v>
      </c>
      <c r="D726" s="10">
        <v>44952.013888888891</v>
      </c>
      <c r="E726" t="s">
        <v>97</v>
      </c>
      <c r="F726" t="s">
        <v>46</v>
      </c>
      <c r="G726">
        <v>2071</v>
      </c>
      <c r="H726" s="5" t="s">
        <v>113</v>
      </c>
      <c r="I726" s="15">
        <v>44952</v>
      </c>
      <c r="J726" s="15" t="s">
        <v>232</v>
      </c>
      <c r="K726" s="6">
        <v>0.51388888888888884</v>
      </c>
      <c r="L726" t="s">
        <v>142</v>
      </c>
      <c r="M726">
        <v>200000</v>
      </c>
      <c r="N726" t="s">
        <v>211</v>
      </c>
      <c r="O726" t="s">
        <v>151</v>
      </c>
      <c r="P726">
        <v>46</v>
      </c>
      <c r="Q726" t="s">
        <v>154</v>
      </c>
    </row>
    <row r="727" spans="1:17" x14ac:dyDescent="0.2">
      <c r="A727">
        <v>506882</v>
      </c>
      <c r="B727">
        <v>197</v>
      </c>
      <c r="C727" s="1" t="s">
        <v>99</v>
      </c>
      <c r="D727" s="10">
        <v>45232.05972222222</v>
      </c>
      <c r="E727" t="s">
        <v>98</v>
      </c>
      <c r="F727" t="s">
        <v>27</v>
      </c>
      <c r="G727">
        <v>3087</v>
      </c>
      <c r="H727" s="5" t="s">
        <v>99</v>
      </c>
      <c r="I727" s="15">
        <v>45232</v>
      </c>
      <c r="J727" s="15" t="s">
        <v>295</v>
      </c>
      <c r="K727" s="6">
        <v>5.9722222222222225E-2</v>
      </c>
      <c r="L727" t="s">
        <v>142</v>
      </c>
      <c r="M727">
        <v>1000000</v>
      </c>
      <c r="N727" t="s">
        <v>209</v>
      </c>
      <c r="O727" t="s">
        <v>151</v>
      </c>
      <c r="P727">
        <v>38</v>
      </c>
      <c r="Q727" t="s">
        <v>154</v>
      </c>
    </row>
    <row r="728" spans="1:17" x14ac:dyDescent="0.2">
      <c r="A728">
        <v>507043</v>
      </c>
      <c r="B728">
        <v>933</v>
      </c>
      <c r="C728" s="1" t="s">
        <v>99</v>
      </c>
      <c r="D728" s="10">
        <v>45126.073611111111</v>
      </c>
      <c r="E728" t="s">
        <v>191</v>
      </c>
      <c r="F728" t="s">
        <v>27</v>
      </c>
      <c r="G728">
        <v>6796</v>
      </c>
      <c r="H728" s="5" t="s">
        <v>99</v>
      </c>
      <c r="I728" s="15">
        <v>45126</v>
      </c>
      <c r="J728" s="15" t="s">
        <v>234</v>
      </c>
      <c r="K728" s="6">
        <v>7.3611111111111113E-2</v>
      </c>
      <c r="L728" t="s">
        <v>142</v>
      </c>
      <c r="M728">
        <v>1000000</v>
      </c>
      <c r="N728" t="s">
        <v>209</v>
      </c>
      <c r="O728" t="s">
        <v>152</v>
      </c>
      <c r="P728">
        <v>24</v>
      </c>
      <c r="Q728" t="s">
        <v>155</v>
      </c>
    </row>
    <row r="729" spans="1:17" x14ac:dyDescent="0.2">
      <c r="A729">
        <v>508458</v>
      </c>
      <c r="B729">
        <v>864</v>
      </c>
      <c r="C729" s="1" t="s">
        <v>99</v>
      </c>
      <c r="D729" s="10">
        <v>45086.057638888888</v>
      </c>
      <c r="E729" t="s">
        <v>98</v>
      </c>
      <c r="F729" t="s">
        <v>18</v>
      </c>
      <c r="G729">
        <v>1522</v>
      </c>
      <c r="H729" s="5" t="s">
        <v>99</v>
      </c>
      <c r="I729" s="15">
        <v>45086</v>
      </c>
      <c r="J729" s="15" t="s">
        <v>233</v>
      </c>
      <c r="K729" s="6">
        <v>5.7638888888888892E-2</v>
      </c>
      <c r="L729" t="s">
        <v>145</v>
      </c>
      <c r="M729">
        <v>200000</v>
      </c>
      <c r="N729" t="s">
        <v>210</v>
      </c>
      <c r="O729" t="s">
        <v>152</v>
      </c>
      <c r="P729">
        <v>78</v>
      </c>
      <c r="Q729" t="s">
        <v>155</v>
      </c>
    </row>
    <row r="730" spans="1:17" x14ac:dyDescent="0.2">
      <c r="A730">
        <v>508989</v>
      </c>
      <c r="B730">
        <v>1307</v>
      </c>
      <c r="C730" s="1" t="s">
        <v>100</v>
      </c>
      <c r="D730" s="10">
        <v>44988.04583333333</v>
      </c>
      <c r="E730" t="s">
        <v>96</v>
      </c>
      <c r="F730" t="s">
        <v>76</v>
      </c>
      <c r="G730">
        <v>3733</v>
      </c>
      <c r="H730" s="5" t="s">
        <v>100</v>
      </c>
      <c r="I730" s="15">
        <v>44988</v>
      </c>
      <c r="J730" s="15" t="s">
        <v>232</v>
      </c>
      <c r="K730" s="6">
        <v>4.583333333333333E-2</v>
      </c>
      <c r="L730" t="s">
        <v>142</v>
      </c>
      <c r="M730">
        <v>80000</v>
      </c>
      <c r="N730" t="s">
        <v>201</v>
      </c>
      <c r="O730" t="s">
        <v>152</v>
      </c>
      <c r="P730">
        <v>78</v>
      </c>
      <c r="Q730" t="s">
        <v>156</v>
      </c>
    </row>
    <row r="731" spans="1:17" x14ac:dyDescent="0.2">
      <c r="A731">
        <v>509663</v>
      </c>
      <c r="B731">
        <v>1437</v>
      </c>
      <c r="C731" s="1" t="s">
        <v>99</v>
      </c>
      <c r="D731" s="10">
        <v>45102.002083333333</v>
      </c>
      <c r="E731" t="s">
        <v>97</v>
      </c>
      <c r="F731" t="s">
        <v>81</v>
      </c>
      <c r="G731">
        <v>6211</v>
      </c>
      <c r="H731" s="5" t="s">
        <v>99</v>
      </c>
      <c r="I731" s="15">
        <v>45102</v>
      </c>
      <c r="J731" s="15" t="s">
        <v>233</v>
      </c>
      <c r="K731" s="6">
        <v>0.50208333333333333</v>
      </c>
      <c r="L731" t="s">
        <v>143</v>
      </c>
      <c r="M731">
        <v>250000</v>
      </c>
      <c r="N731" t="s">
        <v>221</v>
      </c>
      <c r="O731" t="s">
        <v>151</v>
      </c>
      <c r="P731">
        <v>80</v>
      </c>
      <c r="Q731" t="s">
        <v>156</v>
      </c>
    </row>
    <row r="732" spans="1:17" x14ac:dyDescent="0.2">
      <c r="A732">
        <v>510478</v>
      </c>
      <c r="B732">
        <v>12</v>
      </c>
      <c r="C732" s="1" t="s">
        <v>105</v>
      </c>
      <c r="D732" s="10">
        <v>44998.968055555553</v>
      </c>
      <c r="E732" t="s">
        <v>97</v>
      </c>
      <c r="F732" t="s">
        <v>88</v>
      </c>
      <c r="G732">
        <v>4788</v>
      </c>
      <c r="H732" s="5" t="s">
        <v>105</v>
      </c>
      <c r="I732" s="15">
        <v>44998</v>
      </c>
      <c r="J732" s="15" t="s">
        <v>232</v>
      </c>
      <c r="K732" s="6">
        <v>0.46805555555555556</v>
      </c>
      <c r="L732" t="s">
        <v>144</v>
      </c>
      <c r="M732">
        <v>100000</v>
      </c>
      <c r="N732" t="s">
        <v>200</v>
      </c>
      <c r="O732" t="s">
        <v>152</v>
      </c>
      <c r="P732">
        <v>65</v>
      </c>
      <c r="Q732" t="s">
        <v>154</v>
      </c>
    </row>
    <row r="733" spans="1:17" x14ac:dyDescent="0.2">
      <c r="A733">
        <v>510541</v>
      </c>
      <c r="B733">
        <v>1007</v>
      </c>
      <c r="C733" s="1" t="s">
        <v>99</v>
      </c>
      <c r="D733" s="10">
        <v>44988.007638888892</v>
      </c>
      <c r="E733" t="s">
        <v>191</v>
      </c>
      <c r="F733" t="s">
        <v>86</v>
      </c>
      <c r="G733">
        <v>8601</v>
      </c>
      <c r="H733" s="5" t="s">
        <v>99</v>
      </c>
      <c r="I733" s="15">
        <v>44988</v>
      </c>
      <c r="J733" s="15" t="s">
        <v>232</v>
      </c>
      <c r="K733" s="6">
        <v>0.50763888888888886</v>
      </c>
      <c r="L733" t="s">
        <v>144</v>
      </c>
      <c r="M733">
        <v>100000</v>
      </c>
      <c r="N733" t="s">
        <v>216</v>
      </c>
      <c r="O733" t="s">
        <v>152</v>
      </c>
      <c r="P733">
        <v>62</v>
      </c>
      <c r="Q733" t="s">
        <v>156</v>
      </c>
    </row>
    <row r="734" spans="1:17" x14ac:dyDescent="0.2">
      <c r="A734">
        <v>510910</v>
      </c>
      <c r="B734">
        <v>1461</v>
      </c>
      <c r="C734" s="1" t="s">
        <v>99</v>
      </c>
      <c r="D734" s="10">
        <v>44929.981944444444</v>
      </c>
      <c r="E734" t="s">
        <v>191</v>
      </c>
      <c r="F734" t="s">
        <v>8</v>
      </c>
      <c r="G734">
        <v>1323</v>
      </c>
      <c r="H734" s="5" t="s">
        <v>99</v>
      </c>
      <c r="I734" s="15">
        <v>44929</v>
      </c>
      <c r="J734" s="15" t="s">
        <v>232</v>
      </c>
      <c r="K734" s="6">
        <v>0.48194444444444445</v>
      </c>
      <c r="L734" t="s">
        <v>142</v>
      </c>
      <c r="M734">
        <v>200000</v>
      </c>
      <c r="N734" t="s">
        <v>201</v>
      </c>
      <c r="O734" t="s">
        <v>151</v>
      </c>
      <c r="P734">
        <v>77</v>
      </c>
      <c r="Q734" t="s">
        <v>156</v>
      </c>
    </row>
    <row r="735" spans="1:17" x14ac:dyDescent="0.2">
      <c r="A735">
        <v>510973</v>
      </c>
      <c r="B735">
        <v>679</v>
      </c>
      <c r="C735" s="1" t="s">
        <v>106</v>
      </c>
      <c r="D735" s="10">
        <v>44976.044444444444</v>
      </c>
      <c r="E735" t="s">
        <v>96</v>
      </c>
      <c r="F735" t="s">
        <v>90</v>
      </c>
      <c r="G735">
        <v>7192</v>
      </c>
      <c r="H735" s="5" t="s">
        <v>106</v>
      </c>
      <c r="I735" s="15">
        <v>44976</v>
      </c>
      <c r="J735" s="15" t="s">
        <v>232</v>
      </c>
      <c r="K735" s="6">
        <v>4.4444444444444446E-2</v>
      </c>
      <c r="L735" t="s">
        <v>142</v>
      </c>
      <c r="M735">
        <v>150000</v>
      </c>
      <c r="N735" t="s">
        <v>208</v>
      </c>
      <c r="O735" t="s">
        <v>151</v>
      </c>
      <c r="P735">
        <v>34</v>
      </c>
      <c r="Q735" t="s">
        <v>155</v>
      </c>
    </row>
    <row r="736" spans="1:17" x14ac:dyDescent="0.2">
      <c r="A736">
        <v>511431</v>
      </c>
      <c r="B736">
        <v>1125</v>
      </c>
      <c r="C736" s="1" t="s">
        <v>106</v>
      </c>
      <c r="D736" s="10">
        <v>45145.065972222219</v>
      </c>
      <c r="E736" t="s">
        <v>97</v>
      </c>
      <c r="F736" t="s">
        <v>43</v>
      </c>
      <c r="G736">
        <v>1624</v>
      </c>
      <c r="H736" s="5" t="s">
        <v>106</v>
      </c>
      <c r="I736" s="15">
        <v>45145</v>
      </c>
      <c r="J736" s="15" t="s">
        <v>234</v>
      </c>
      <c r="K736" s="6">
        <v>6.5972222222222224E-2</v>
      </c>
      <c r="L736" t="s">
        <v>145</v>
      </c>
      <c r="M736">
        <v>1000000</v>
      </c>
      <c r="N736" t="s">
        <v>203</v>
      </c>
      <c r="O736" t="s">
        <v>151</v>
      </c>
      <c r="P736">
        <v>18</v>
      </c>
      <c r="Q736" t="s">
        <v>156</v>
      </c>
    </row>
    <row r="737" spans="1:17" x14ac:dyDescent="0.2">
      <c r="A737">
        <v>512440</v>
      </c>
      <c r="B737">
        <v>99</v>
      </c>
      <c r="C737" s="1" t="s">
        <v>101</v>
      </c>
      <c r="D737" s="10">
        <v>45084.03125</v>
      </c>
      <c r="E737" t="s">
        <v>97</v>
      </c>
      <c r="F737" t="s">
        <v>91</v>
      </c>
      <c r="G737">
        <v>4280</v>
      </c>
      <c r="H737" s="5" t="s">
        <v>101</v>
      </c>
      <c r="I737" s="15">
        <v>45084</v>
      </c>
      <c r="J737" s="15" t="s">
        <v>233</v>
      </c>
      <c r="K737" s="6">
        <v>0.53125</v>
      </c>
      <c r="L737" t="s">
        <v>142</v>
      </c>
      <c r="M737">
        <v>100000</v>
      </c>
      <c r="N737" t="s">
        <v>213</v>
      </c>
      <c r="O737" t="s">
        <v>152</v>
      </c>
      <c r="P737">
        <v>79</v>
      </c>
      <c r="Q737" t="s">
        <v>154</v>
      </c>
    </row>
    <row r="738" spans="1:17" x14ac:dyDescent="0.2">
      <c r="A738">
        <v>513417</v>
      </c>
      <c r="B738">
        <v>1836</v>
      </c>
      <c r="C738" s="1" t="s">
        <v>100</v>
      </c>
      <c r="D738" s="10">
        <v>45190.033333333333</v>
      </c>
      <c r="E738" t="s">
        <v>96</v>
      </c>
      <c r="F738" t="s">
        <v>78</v>
      </c>
      <c r="G738">
        <v>2613</v>
      </c>
      <c r="H738" s="5" t="s">
        <v>100</v>
      </c>
      <c r="I738" s="15">
        <v>45190</v>
      </c>
      <c r="J738" s="15" t="s">
        <v>234</v>
      </c>
      <c r="K738" s="6">
        <v>0.53333333333333333</v>
      </c>
      <c r="L738" t="s">
        <v>143</v>
      </c>
      <c r="M738">
        <v>200000</v>
      </c>
      <c r="N738" t="s">
        <v>215</v>
      </c>
      <c r="O738" t="s">
        <v>151</v>
      </c>
      <c r="P738">
        <v>36</v>
      </c>
      <c r="Q738" t="s">
        <v>157</v>
      </c>
    </row>
    <row r="739" spans="1:17" x14ac:dyDescent="0.2">
      <c r="A739">
        <v>513459</v>
      </c>
      <c r="B739">
        <v>961</v>
      </c>
      <c r="C739" s="1" t="s">
        <v>99</v>
      </c>
      <c r="D739" s="10">
        <v>44966.004166666666</v>
      </c>
      <c r="E739" t="s">
        <v>96</v>
      </c>
      <c r="F739" t="s">
        <v>29</v>
      </c>
      <c r="G739">
        <v>9907</v>
      </c>
      <c r="H739" s="5" t="s">
        <v>99</v>
      </c>
      <c r="I739" s="15">
        <v>44966</v>
      </c>
      <c r="J739" s="15" t="s">
        <v>232</v>
      </c>
      <c r="K739" s="6">
        <v>0.50416666666666665</v>
      </c>
      <c r="L739" t="s">
        <v>143</v>
      </c>
      <c r="M739">
        <v>150000</v>
      </c>
      <c r="N739" t="s">
        <v>214</v>
      </c>
      <c r="O739" t="s">
        <v>152</v>
      </c>
      <c r="P739">
        <v>82</v>
      </c>
      <c r="Q739" t="s">
        <v>155</v>
      </c>
    </row>
    <row r="740" spans="1:17" x14ac:dyDescent="0.2">
      <c r="A740">
        <v>514198</v>
      </c>
      <c r="B740">
        <v>1617</v>
      </c>
      <c r="C740" s="1" t="s">
        <v>104</v>
      </c>
      <c r="D740" s="10">
        <v>45253.051388888889</v>
      </c>
      <c r="E740" t="s">
        <v>96</v>
      </c>
      <c r="F740" t="s">
        <v>34</v>
      </c>
      <c r="G740">
        <v>9711</v>
      </c>
      <c r="H740" s="5" t="s">
        <v>104</v>
      </c>
      <c r="I740" s="15">
        <v>45253</v>
      </c>
      <c r="J740" s="15" t="s">
        <v>295</v>
      </c>
      <c r="K740" s="6">
        <v>5.1388888888888887E-2</v>
      </c>
      <c r="L740" t="s">
        <v>144</v>
      </c>
      <c r="M740">
        <v>150000</v>
      </c>
      <c r="N740" t="s">
        <v>218</v>
      </c>
      <c r="O740" t="s">
        <v>151</v>
      </c>
      <c r="P740">
        <v>50</v>
      </c>
      <c r="Q740" t="s">
        <v>157</v>
      </c>
    </row>
    <row r="741" spans="1:17" x14ac:dyDescent="0.2">
      <c r="A741">
        <v>514550</v>
      </c>
      <c r="B741">
        <v>178</v>
      </c>
      <c r="C741" s="1" t="s">
        <v>113</v>
      </c>
      <c r="D741" s="10">
        <v>45078.067361111112</v>
      </c>
      <c r="E741" t="s">
        <v>97</v>
      </c>
      <c r="F741" t="s">
        <v>68</v>
      </c>
      <c r="G741">
        <v>9871</v>
      </c>
      <c r="H741" s="5" t="s">
        <v>113</v>
      </c>
      <c r="I741" s="15">
        <v>45078</v>
      </c>
      <c r="J741" s="15" t="s">
        <v>233</v>
      </c>
      <c r="K741" s="6">
        <v>6.7361111111111108E-2</v>
      </c>
      <c r="L741" t="s">
        <v>144</v>
      </c>
      <c r="M741">
        <v>100000</v>
      </c>
      <c r="N741" t="s">
        <v>200</v>
      </c>
      <c r="O741" t="s">
        <v>152</v>
      </c>
      <c r="P741">
        <v>24</v>
      </c>
      <c r="Q741" t="s">
        <v>154</v>
      </c>
    </row>
    <row r="742" spans="1:17" x14ac:dyDescent="0.2">
      <c r="A742">
        <v>515145</v>
      </c>
      <c r="B742">
        <v>667</v>
      </c>
      <c r="C742" s="1" t="s">
        <v>100</v>
      </c>
      <c r="D742" s="10">
        <v>45251.938194444447</v>
      </c>
      <c r="E742" t="s">
        <v>96</v>
      </c>
      <c r="F742" t="s">
        <v>40</v>
      </c>
      <c r="G742">
        <v>6458</v>
      </c>
      <c r="H742" s="5" t="s">
        <v>100</v>
      </c>
      <c r="I742" s="15">
        <v>45251</v>
      </c>
      <c r="J742" s="15" t="s">
        <v>295</v>
      </c>
      <c r="K742" s="6">
        <v>0.43819444444444444</v>
      </c>
      <c r="L742" t="s">
        <v>142</v>
      </c>
      <c r="M742">
        <v>150000</v>
      </c>
      <c r="N742" t="s">
        <v>207</v>
      </c>
      <c r="O742" t="s">
        <v>151</v>
      </c>
      <c r="P742">
        <v>64</v>
      </c>
      <c r="Q742" t="s">
        <v>155</v>
      </c>
    </row>
    <row r="743" spans="1:17" x14ac:dyDescent="0.2">
      <c r="A743">
        <v>515694</v>
      </c>
      <c r="B743">
        <v>1034</v>
      </c>
      <c r="C743" s="1" t="s">
        <v>107</v>
      </c>
      <c r="D743" s="10">
        <v>45262.0625</v>
      </c>
      <c r="E743" t="s">
        <v>96</v>
      </c>
      <c r="F743" t="s">
        <v>69</v>
      </c>
      <c r="G743">
        <v>462</v>
      </c>
      <c r="H743" s="5" t="s">
        <v>107</v>
      </c>
      <c r="I743" s="15">
        <v>45262</v>
      </c>
      <c r="J743" s="15" t="s">
        <v>295</v>
      </c>
      <c r="K743" s="6">
        <v>6.25E-2</v>
      </c>
      <c r="L743" t="s">
        <v>146</v>
      </c>
      <c r="M743">
        <v>250000</v>
      </c>
      <c r="N743" t="s">
        <v>225</v>
      </c>
      <c r="O743" t="s">
        <v>152</v>
      </c>
      <c r="P743">
        <v>31</v>
      </c>
      <c r="Q743" t="s">
        <v>156</v>
      </c>
    </row>
    <row r="744" spans="1:17" x14ac:dyDescent="0.2">
      <c r="A744">
        <v>517514</v>
      </c>
      <c r="B744">
        <v>459</v>
      </c>
      <c r="C744" s="1" t="s">
        <v>107</v>
      </c>
      <c r="D744" s="10">
        <v>45029.954861111109</v>
      </c>
      <c r="E744" t="s">
        <v>96</v>
      </c>
      <c r="F744" t="s">
        <v>42</v>
      </c>
      <c r="G744">
        <v>1379</v>
      </c>
      <c r="H744" s="5" t="s">
        <v>107</v>
      </c>
      <c r="I744" s="15">
        <v>45029</v>
      </c>
      <c r="J744" s="15" t="s">
        <v>233</v>
      </c>
      <c r="K744" s="6">
        <v>0.4548611111111111</v>
      </c>
      <c r="L744" t="s">
        <v>144</v>
      </c>
      <c r="M744">
        <v>100000</v>
      </c>
      <c r="N744" t="s">
        <v>219</v>
      </c>
      <c r="O744" t="s">
        <v>152</v>
      </c>
      <c r="P744">
        <v>30</v>
      </c>
      <c r="Q744" t="s">
        <v>154</v>
      </c>
    </row>
    <row r="745" spans="1:17" x14ac:dyDescent="0.2">
      <c r="A745">
        <v>517568</v>
      </c>
      <c r="B745">
        <v>1475</v>
      </c>
      <c r="C745" s="1" t="s">
        <v>105</v>
      </c>
      <c r="D745" s="10">
        <v>45200.020833333336</v>
      </c>
      <c r="E745" t="s">
        <v>96</v>
      </c>
      <c r="F745" t="s">
        <v>43</v>
      </c>
      <c r="G745">
        <v>794</v>
      </c>
      <c r="H745" s="5" t="s">
        <v>105</v>
      </c>
      <c r="I745" s="15">
        <v>45200</v>
      </c>
      <c r="J745" s="15" t="s">
        <v>295</v>
      </c>
      <c r="K745" s="6">
        <v>0.52083333333333337</v>
      </c>
      <c r="L745" t="s">
        <v>145</v>
      </c>
      <c r="M745">
        <v>1000000</v>
      </c>
      <c r="N745" t="s">
        <v>203</v>
      </c>
      <c r="O745" t="s">
        <v>152</v>
      </c>
      <c r="P745">
        <v>25</v>
      </c>
      <c r="Q745" t="s">
        <v>156</v>
      </c>
    </row>
    <row r="746" spans="1:17" x14ac:dyDescent="0.2">
      <c r="A746">
        <v>517712</v>
      </c>
      <c r="B746">
        <v>817</v>
      </c>
      <c r="C746" s="1" t="s">
        <v>99</v>
      </c>
      <c r="D746" s="10">
        <v>45158.039583333331</v>
      </c>
      <c r="E746" t="s">
        <v>96</v>
      </c>
      <c r="F746" t="s">
        <v>44</v>
      </c>
      <c r="G746">
        <v>8560</v>
      </c>
      <c r="H746" s="5" t="s">
        <v>99</v>
      </c>
      <c r="I746" s="15">
        <v>45158</v>
      </c>
      <c r="J746" s="15" t="s">
        <v>234</v>
      </c>
      <c r="K746" s="6">
        <v>0.5395833333333333</v>
      </c>
      <c r="L746" t="s">
        <v>144</v>
      </c>
      <c r="M746">
        <v>150000</v>
      </c>
      <c r="N746" t="s">
        <v>199</v>
      </c>
      <c r="O746" t="s">
        <v>151</v>
      </c>
      <c r="P746">
        <v>39</v>
      </c>
      <c r="Q746" t="s">
        <v>155</v>
      </c>
    </row>
    <row r="747" spans="1:17" x14ac:dyDescent="0.2">
      <c r="A747">
        <v>519130</v>
      </c>
      <c r="B747">
        <v>1036</v>
      </c>
      <c r="C747" s="1" t="s">
        <v>113</v>
      </c>
      <c r="D747" s="10">
        <v>45197.024305555555</v>
      </c>
      <c r="E747" t="s">
        <v>98</v>
      </c>
      <c r="F747" t="s">
        <v>81</v>
      </c>
      <c r="G747">
        <v>6750</v>
      </c>
      <c r="H747" s="5" t="s">
        <v>113</v>
      </c>
      <c r="I747" s="15">
        <v>45197</v>
      </c>
      <c r="J747" s="15" t="s">
        <v>234</v>
      </c>
      <c r="K747" s="6">
        <v>0.52430555555555558</v>
      </c>
      <c r="L747" t="s">
        <v>143</v>
      </c>
      <c r="M747">
        <v>250000</v>
      </c>
      <c r="N747" t="s">
        <v>221</v>
      </c>
      <c r="O747" t="s">
        <v>152</v>
      </c>
      <c r="P747">
        <v>29</v>
      </c>
      <c r="Q747" t="s">
        <v>156</v>
      </c>
    </row>
    <row r="748" spans="1:17" x14ac:dyDescent="0.2">
      <c r="A748">
        <v>520080</v>
      </c>
      <c r="B748">
        <v>922</v>
      </c>
      <c r="C748" s="1" t="s">
        <v>110</v>
      </c>
      <c r="D748" s="10">
        <v>45217.06527777778</v>
      </c>
      <c r="E748" t="s">
        <v>191</v>
      </c>
      <c r="F748" t="s">
        <v>71</v>
      </c>
      <c r="G748">
        <v>917</v>
      </c>
      <c r="H748" s="5" t="s">
        <v>110</v>
      </c>
      <c r="I748" s="15">
        <v>45217</v>
      </c>
      <c r="J748" s="15" t="s">
        <v>295</v>
      </c>
      <c r="K748" s="6">
        <v>6.5277777777777782E-2</v>
      </c>
      <c r="L748" t="s">
        <v>145</v>
      </c>
      <c r="M748">
        <v>150000</v>
      </c>
      <c r="N748" t="s">
        <v>226</v>
      </c>
      <c r="O748" t="s">
        <v>152</v>
      </c>
      <c r="P748">
        <v>31</v>
      </c>
      <c r="Q748" t="s">
        <v>155</v>
      </c>
    </row>
    <row r="749" spans="1:17" x14ac:dyDescent="0.2">
      <c r="A749">
        <v>520860</v>
      </c>
      <c r="B749">
        <v>848</v>
      </c>
      <c r="C749" s="1" t="s">
        <v>99</v>
      </c>
      <c r="D749" s="10">
        <v>44949.943749999999</v>
      </c>
      <c r="E749" t="s">
        <v>97</v>
      </c>
      <c r="F749" t="s">
        <v>6</v>
      </c>
      <c r="G749">
        <v>7161</v>
      </c>
      <c r="H749" s="5" t="s">
        <v>99</v>
      </c>
      <c r="I749" s="15">
        <v>44949</v>
      </c>
      <c r="J749" s="15" t="s">
        <v>232</v>
      </c>
      <c r="K749" s="6">
        <v>0.44374999999999998</v>
      </c>
      <c r="L749" t="s">
        <v>144</v>
      </c>
      <c r="M749">
        <v>100000</v>
      </c>
      <c r="N749" t="s">
        <v>199</v>
      </c>
      <c r="O749" t="s">
        <v>152</v>
      </c>
      <c r="P749">
        <v>44</v>
      </c>
      <c r="Q749" t="s">
        <v>155</v>
      </c>
    </row>
    <row r="750" spans="1:17" x14ac:dyDescent="0.2">
      <c r="A750">
        <v>520868</v>
      </c>
      <c r="B750">
        <v>1941</v>
      </c>
      <c r="C750" s="1" t="s">
        <v>105</v>
      </c>
      <c r="D750" s="10">
        <v>45254.029861111114</v>
      </c>
      <c r="E750" t="s">
        <v>96</v>
      </c>
      <c r="F750" t="s">
        <v>7</v>
      </c>
      <c r="G750">
        <v>870</v>
      </c>
      <c r="H750" s="5" t="s">
        <v>105</v>
      </c>
      <c r="I750" s="15">
        <v>45254</v>
      </c>
      <c r="J750" s="15" t="s">
        <v>295</v>
      </c>
      <c r="K750" s="6">
        <v>0.52986111111111112</v>
      </c>
      <c r="L750" t="s">
        <v>144</v>
      </c>
      <c r="M750">
        <v>150000</v>
      </c>
      <c r="N750" t="s">
        <v>200</v>
      </c>
      <c r="O750" t="s">
        <v>152</v>
      </c>
      <c r="P750">
        <v>86</v>
      </c>
      <c r="Q750" t="s">
        <v>157</v>
      </c>
    </row>
    <row r="751" spans="1:17" x14ac:dyDescent="0.2">
      <c r="A751">
        <v>521015</v>
      </c>
      <c r="B751">
        <v>1351</v>
      </c>
      <c r="C751" s="1" t="s">
        <v>105</v>
      </c>
      <c r="D751" s="10">
        <v>45020.04791666667</v>
      </c>
      <c r="E751" t="s">
        <v>98</v>
      </c>
      <c r="F751" t="s">
        <v>27</v>
      </c>
      <c r="G751">
        <v>9200</v>
      </c>
      <c r="H751" s="5" t="s">
        <v>105</v>
      </c>
      <c r="I751" s="15">
        <v>45020</v>
      </c>
      <c r="J751" s="15" t="s">
        <v>233</v>
      </c>
      <c r="K751" s="6">
        <v>4.791666666666667E-2</v>
      </c>
      <c r="L751" t="s">
        <v>142</v>
      </c>
      <c r="M751">
        <v>1000000</v>
      </c>
      <c r="N751" t="s">
        <v>209</v>
      </c>
      <c r="O751" t="s">
        <v>152</v>
      </c>
      <c r="P751">
        <v>42</v>
      </c>
      <c r="Q751" t="s">
        <v>156</v>
      </c>
    </row>
    <row r="752" spans="1:17" x14ac:dyDescent="0.2">
      <c r="A752">
        <v>521330</v>
      </c>
      <c r="B752">
        <v>1714</v>
      </c>
      <c r="C752" s="1" t="s">
        <v>105</v>
      </c>
      <c r="D752" s="10">
        <v>45144.97152777778</v>
      </c>
      <c r="E752" t="s">
        <v>98</v>
      </c>
      <c r="F752" t="s">
        <v>43</v>
      </c>
      <c r="G752">
        <v>9321</v>
      </c>
      <c r="H752" s="5" t="s">
        <v>105</v>
      </c>
      <c r="I752" s="15">
        <v>45144</v>
      </c>
      <c r="J752" s="15" t="s">
        <v>234</v>
      </c>
      <c r="K752" s="6">
        <v>0.47152777777777777</v>
      </c>
      <c r="L752" t="s">
        <v>145</v>
      </c>
      <c r="M752">
        <v>1000000</v>
      </c>
      <c r="N752" t="s">
        <v>203</v>
      </c>
      <c r="O752" t="s">
        <v>151</v>
      </c>
      <c r="P752">
        <v>33</v>
      </c>
      <c r="Q752" t="s">
        <v>157</v>
      </c>
    </row>
    <row r="753" spans="1:17" x14ac:dyDescent="0.2">
      <c r="A753">
        <v>521761</v>
      </c>
      <c r="B753">
        <v>1504</v>
      </c>
      <c r="C753" s="1" t="s">
        <v>100</v>
      </c>
      <c r="D753" s="10">
        <v>45113.975694444445</v>
      </c>
      <c r="E753" t="s">
        <v>191</v>
      </c>
      <c r="F753" t="s">
        <v>69</v>
      </c>
      <c r="G753">
        <v>4462</v>
      </c>
      <c r="H753" s="5" t="s">
        <v>100</v>
      </c>
      <c r="I753" s="15">
        <v>45113</v>
      </c>
      <c r="J753" s="15" t="s">
        <v>234</v>
      </c>
      <c r="K753" s="6">
        <v>0.47569444444444442</v>
      </c>
      <c r="L753" t="s">
        <v>146</v>
      </c>
      <c r="M753">
        <v>250000</v>
      </c>
      <c r="N753" t="s">
        <v>225</v>
      </c>
      <c r="O753" t="s">
        <v>152</v>
      </c>
      <c r="P753">
        <v>33</v>
      </c>
      <c r="Q753" t="s">
        <v>157</v>
      </c>
    </row>
    <row r="754" spans="1:17" x14ac:dyDescent="0.2">
      <c r="A754">
        <v>522201</v>
      </c>
      <c r="B754">
        <v>760</v>
      </c>
      <c r="C754" s="1" t="s">
        <v>113</v>
      </c>
      <c r="D754" s="10">
        <v>45240.990277777775</v>
      </c>
      <c r="E754" t="s">
        <v>96</v>
      </c>
      <c r="F754" t="s">
        <v>24</v>
      </c>
      <c r="G754">
        <v>9296</v>
      </c>
      <c r="H754" s="5" t="s">
        <v>113</v>
      </c>
      <c r="I754" s="15">
        <v>45240</v>
      </c>
      <c r="J754" s="15" t="s">
        <v>295</v>
      </c>
      <c r="K754" s="6">
        <v>0.49027777777777776</v>
      </c>
      <c r="L754" t="s">
        <v>143</v>
      </c>
      <c r="M754">
        <v>200000</v>
      </c>
      <c r="N754" t="s">
        <v>214</v>
      </c>
      <c r="O754" t="s">
        <v>151</v>
      </c>
      <c r="P754">
        <v>22</v>
      </c>
      <c r="Q754" t="s">
        <v>155</v>
      </c>
    </row>
    <row r="755" spans="1:17" x14ac:dyDescent="0.2">
      <c r="A755">
        <v>525192</v>
      </c>
      <c r="B755">
        <v>1484</v>
      </c>
      <c r="C755" s="1" t="s">
        <v>99</v>
      </c>
      <c r="D755" s="10">
        <v>44952.006249999999</v>
      </c>
      <c r="E755" t="s">
        <v>96</v>
      </c>
      <c r="F755" t="s">
        <v>21</v>
      </c>
      <c r="G755">
        <v>2431</v>
      </c>
      <c r="H755" s="5" t="s">
        <v>99</v>
      </c>
      <c r="I755" s="15">
        <v>44952</v>
      </c>
      <c r="J755" s="15" t="s">
        <v>232</v>
      </c>
      <c r="K755" s="6">
        <v>0.50624999999999998</v>
      </c>
      <c r="L755" t="s">
        <v>142</v>
      </c>
      <c r="M755">
        <v>150000</v>
      </c>
      <c r="N755" t="s">
        <v>211</v>
      </c>
      <c r="O755" t="s">
        <v>152</v>
      </c>
      <c r="P755">
        <v>84</v>
      </c>
      <c r="Q755" t="s">
        <v>156</v>
      </c>
    </row>
    <row r="756" spans="1:17" x14ac:dyDescent="0.2">
      <c r="A756">
        <v>525405</v>
      </c>
      <c r="B756">
        <v>796</v>
      </c>
      <c r="C756" s="1" t="s">
        <v>102</v>
      </c>
      <c r="D756" s="10">
        <v>44943.010416666664</v>
      </c>
      <c r="E756" t="s">
        <v>98</v>
      </c>
      <c r="F756" t="s">
        <v>66</v>
      </c>
      <c r="G756">
        <v>6640</v>
      </c>
      <c r="H756" s="5" t="s">
        <v>102</v>
      </c>
      <c r="I756" s="15">
        <v>44943</v>
      </c>
      <c r="J756" s="15" t="s">
        <v>232</v>
      </c>
      <c r="K756" s="6">
        <v>0.51041666666666663</v>
      </c>
      <c r="L756" t="s">
        <v>144</v>
      </c>
      <c r="M756">
        <v>150000</v>
      </c>
      <c r="N756" t="s">
        <v>224</v>
      </c>
      <c r="O756" t="s">
        <v>152</v>
      </c>
      <c r="P756">
        <v>27</v>
      </c>
      <c r="Q756" t="s">
        <v>155</v>
      </c>
    </row>
    <row r="757" spans="1:17" x14ac:dyDescent="0.2">
      <c r="A757">
        <v>525500</v>
      </c>
      <c r="B757">
        <v>299</v>
      </c>
      <c r="C757" s="1" t="s">
        <v>113</v>
      </c>
      <c r="D757" s="10">
        <v>45111.05</v>
      </c>
      <c r="E757" t="s">
        <v>96</v>
      </c>
      <c r="F757" t="s">
        <v>29</v>
      </c>
      <c r="G757">
        <v>9056</v>
      </c>
      <c r="H757" s="5" t="s">
        <v>113</v>
      </c>
      <c r="I757" s="15">
        <v>45111</v>
      </c>
      <c r="J757" s="15" t="s">
        <v>234</v>
      </c>
      <c r="K757" s="6">
        <v>0.05</v>
      </c>
      <c r="L757" t="s">
        <v>143</v>
      </c>
      <c r="M757">
        <v>150000</v>
      </c>
      <c r="N757" t="s">
        <v>214</v>
      </c>
      <c r="O757" t="s">
        <v>151</v>
      </c>
      <c r="P757">
        <v>58</v>
      </c>
      <c r="Q757" t="s">
        <v>154</v>
      </c>
    </row>
    <row r="758" spans="1:17" x14ac:dyDescent="0.2">
      <c r="A758">
        <v>525782</v>
      </c>
      <c r="B758">
        <v>833</v>
      </c>
      <c r="C758" s="1" t="s">
        <v>110</v>
      </c>
      <c r="D758" s="10">
        <v>45079.01666666667</v>
      </c>
      <c r="E758" t="s">
        <v>96</v>
      </c>
      <c r="F758" t="s">
        <v>9</v>
      </c>
      <c r="G758">
        <v>257</v>
      </c>
      <c r="H758" s="5" t="s">
        <v>110</v>
      </c>
      <c r="I758" s="15">
        <v>45079</v>
      </c>
      <c r="J758" s="15" t="s">
        <v>233</v>
      </c>
      <c r="K758" s="6">
        <v>0.51666666666666672</v>
      </c>
      <c r="L758" t="s">
        <v>144</v>
      </c>
      <c r="M758">
        <v>150000</v>
      </c>
      <c r="N758" t="s">
        <v>202</v>
      </c>
      <c r="O758" t="s">
        <v>152</v>
      </c>
      <c r="P758">
        <v>52</v>
      </c>
      <c r="Q758" t="s">
        <v>155</v>
      </c>
    </row>
    <row r="759" spans="1:17" x14ac:dyDescent="0.2">
      <c r="A759">
        <v>528569</v>
      </c>
      <c r="B759">
        <v>1993</v>
      </c>
      <c r="C759" s="1" t="s">
        <v>99</v>
      </c>
      <c r="D759" s="10">
        <v>45103.070833333331</v>
      </c>
      <c r="E759" t="s">
        <v>97</v>
      </c>
      <c r="F759" t="s">
        <v>64</v>
      </c>
      <c r="G759">
        <v>613</v>
      </c>
      <c r="H759" s="5" t="s">
        <v>99</v>
      </c>
      <c r="I759" s="15">
        <v>45103</v>
      </c>
      <c r="J759" s="15" t="s">
        <v>233</v>
      </c>
      <c r="K759" s="6">
        <v>7.0833333333333331E-2</v>
      </c>
      <c r="L759" t="s">
        <v>143</v>
      </c>
      <c r="M759">
        <v>100000</v>
      </c>
      <c r="N759" t="s">
        <v>223</v>
      </c>
      <c r="O759" t="s">
        <v>151</v>
      </c>
      <c r="P759">
        <v>61</v>
      </c>
      <c r="Q759" t="s">
        <v>157</v>
      </c>
    </row>
    <row r="760" spans="1:17" x14ac:dyDescent="0.2">
      <c r="A760">
        <v>529245</v>
      </c>
      <c r="B760">
        <v>650</v>
      </c>
      <c r="C760" s="1" t="s">
        <v>100</v>
      </c>
      <c r="D760" s="10">
        <v>44973.015972222223</v>
      </c>
      <c r="E760" t="s">
        <v>191</v>
      </c>
      <c r="F760" t="s">
        <v>30</v>
      </c>
      <c r="G760">
        <v>1465</v>
      </c>
      <c r="H760" s="5" t="s">
        <v>100</v>
      </c>
      <c r="I760" s="15">
        <v>44973</v>
      </c>
      <c r="J760" s="15" t="s">
        <v>232</v>
      </c>
      <c r="K760" s="6">
        <v>0.51597222222222228</v>
      </c>
      <c r="L760" t="s">
        <v>144</v>
      </c>
      <c r="M760">
        <v>200000</v>
      </c>
      <c r="N760" t="s">
        <v>216</v>
      </c>
      <c r="O760" t="s">
        <v>152</v>
      </c>
      <c r="P760">
        <v>38</v>
      </c>
      <c r="Q760" t="s">
        <v>155</v>
      </c>
    </row>
    <row r="761" spans="1:17" x14ac:dyDescent="0.2">
      <c r="A761">
        <v>529816</v>
      </c>
      <c r="B761">
        <v>424</v>
      </c>
      <c r="C761" s="1" t="s">
        <v>105</v>
      </c>
      <c r="D761" s="10">
        <v>45173.992361111108</v>
      </c>
      <c r="E761" t="s">
        <v>98</v>
      </c>
      <c r="F761" t="s">
        <v>53</v>
      </c>
      <c r="G761">
        <v>4135</v>
      </c>
      <c r="H761" s="5" t="s">
        <v>105</v>
      </c>
      <c r="I761" s="15">
        <v>45173</v>
      </c>
      <c r="J761" s="15" t="s">
        <v>234</v>
      </c>
      <c r="K761" s="6">
        <v>0.49236111111111114</v>
      </c>
      <c r="L761" t="s">
        <v>142</v>
      </c>
      <c r="M761">
        <v>100000</v>
      </c>
      <c r="N761" t="s">
        <v>207</v>
      </c>
      <c r="O761" t="s">
        <v>151</v>
      </c>
      <c r="P761">
        <v>66</v>
      </c>
      <c r="Q761" t="s">
        <v>154</v>
      </c>
    </row>
    <row r="762" spans="1:17" x14ac:dyDescent="0.2">
      <c r="A762">
        <v>530067</v>
      </c>
      <c r="B762">
        <v>1126</v>
      </c>
      <c r="C762" s="1" t="s">
        <v>100</v>
      </c>
      <c r="D762" s="10">
        <v>45155.053472222222</v>
      </c>
      <c r="E762" t="s">
        <v>96</v>
      </c>
      <c r="F762" t="s">
        <v>85</v>
      </c>
      <c r="G762">
        <v>8259</v>
      </c>
      <c r="H762" s="5" t="s">
        <v>100</v>
      </c>
      <c r="I762" s="15">
        <v>45155</v>
      </c>
      <c r="J762" s="15" t="s">
        <v>234</v>
      </c>
      <c r="K762" s="6">
        <v>5.347222222222222E-2</v>
      </c>
      <c r="L762" t="s">
        <v>146</v>
      </c>
      <c r="M762">
        <v>100000</v>
      </c>
      <c r="N762" t="s">
        <v>212</v>
      </c>
      <c r="O762" t="s">
        <v>151</v>
      </c>
      <c r="P762">
        <v>65</v>
      </c>
      <c r="Q762" t="s">
        <v>156</v>
      </c>
    </row>
    <row r="763" spans="1:17" x14ac:dyDescent="0.2">
      <c r="A763">
        <v>531173</v>
      </c>
      <c r="B763">
        <v>27</v>
      </c>
      <c r="C763" s="1" t="s">
        <v>99</v>
      </c>
      <c r="D763" s="10">
        <v>45146.083333333336</v>
      </c>
      <c r="E763" t="s">
        <v>97</v>
      </c>
      <c r="F763" t="s">
        <v>34</v>
      </c>
      <c r="G763">
        <v>9787</v>
      </c>
      <c r="H763" s="5" t="s">
        <v>99</v>
      </c>
      <c r="I763" s="15">
        <v>45146</v>
      </c>
      <c r="J763" s="15" t="s">
        <v>234</v>
      </c>
      <c r="K763" s="6">
        <v>8.3333333333333329E-2</v>
      </c>
      <c r="L763" t="s">
        <v>144</v>
      </c>
      <c r="M763">
        <v>150000</v>
      </c>
      <c r="N763" t="s">
        <v>218</v>
      </c>
      <c r="O763" t="s">
        <v>152</v>
      </c>
      <c r="P763">
        <v>66</v>
      </c>
      <c r="Q763" t="s">
        <v>154</v>
      </c>
    </row>
    <row r="764" spans="1:17" x14ac:dyDescent="0.2">
      <c r="A764">
        <v>531700</v>
      </c>
      <c r="B764">
        <v>925</v>
      </c>
      <c r="C764" s="1" t="s">
        <v>99</v>
      </c>
      <c r="D764" s="10">
        <v>45082.035416666666</v>
      </c>
      <c r="E764" t="s">
        <v>97</v>
      </c>
      <c r="F764" t="s">
        <v>68</v>
      </c>
      <c r="G764">
        <v>8597</v>
      </c>
      <c r="H764" s="5" t="s">
        <v>99</v>
      </c>
      <c r="I764" s="15">
        <v>45082</v>
      </c>
      <c r="J764" s="15" t="s">
        <v>233</v>
      </c>
      <c r="K764" s="6">
        <v>0.53541666666666665</v>
      </c>
      <c r="L764" t="s">
        <v>144</v>
      </c>
      <c r="M764">
        <v>100000</v>
      </c>
      <c r="N764" t="s">
        <v>200</v>
      </c>
      <c r="O764" t="s">
        <v>152</v>
      </c>
      <c r="P764">
        <v>34</v>
      </c>
      <c r="Q764" t="s">
        <v>155</v>
      </c>
    </row>
    <row r="765" spans="1:17" x14ac:dyDescent="0.2">
      <c r="A765">
        <v>532196</v>
      </c>
      <c r="B765">
        <v>1019</v>
      </c>
      <c r="C765" s="1" t="s">
        <v>107</v>
      </c>
      <c r="D765" s="10">
        <v>45207.033333333333</v>
      </c>
      <c r="E765" t="s">
        <v>96</v>
      </c>
      <c r="F765" t="s">
        <v>69</v>
      </c>
      <c r="G765">
        <v>3019</v>
      </c>
      <c r="H765" s="5" t="s">
        <v>107</v>
      </c>
      <c r="I765" s="15">
        <v>45207</v>
      </c>
      <c r="J765" s="15" t="s">
        <v>295</v>
      </c>
      <c r="K765" s="6">
        <v>0.53333333333333333</v>
      </c>
      <c r="L765" t="s">
        <v>146</v>
      </c>
      <c r="M765">
        <v>250000</v>
      </c>
      <c r="N765" t="s">
        <v>225</v>
      </c>
      <c r="O765" t="s">
        <v>152</v>
      </c>
      <c r="P765">
        <v>64</v>
      </c>
      <c r="Q765" t="s">
        <v>156</v>
      </c>
    </row>
    <row r="766" spans="1:17" x14ac:dyDescent="0.2">
      <c r="A766">
        <v>532654</v>
      </c>
      <c r="B766">
        <v>1948</v>
      </c>
      <c r="C766" s="1" t="s">
        <v>99</v>
      </c>
      <c r="D766" s="10">
        <v>45239.068055555559</v>
      </c>
      <c r="E766" t="s">
        <v>98</v>
      </c>
      <c r="F766" t="s">
        <v>43</v>
      </c>
      <c r="G766">
        <v>3310</v>
      </c>
      <c r="H766" s="5" t="s">
        <v>99</v>
      </c>
      <c r="I766" s="15">
        <v>45239</v>
      </c>
      <c r="J766" s="15" t="s">
        <v>295</v>
      </c>
      <c r="K766" s="6">
        <v>6.805555555555555E-2</v>
      </c>
      <c r="L766" t="s">
        <v>145</v>
      </c>
      <c r="M766">
        <v>1000000</v>
      </c>
      <c r="N766" t="s">
        <v>203</v>
      </c>
      <c r="O766" t="s">
        <v>152</v>
      </c>
      <c r="P766">
        <v>79</v>
      </c>
      <c r="Q766" t="s">
        <v>157</v>
      </c>
    </row>
    <row r="767" spans="1:17" x14ac:dyDescent="0.2">
      <c r="A767">
        <v>533187</v>
      </c>
      <c r="B767">
        <v>1510</v>
      </c>
      <c r="C767" s="1" t="s">
        <v>103</v>
      </c>
      <c r="D767" s="10">
        <v>44998.044444444444</v>
      </c>
      <c r="E767" t="s">
        <v>96</v>
      </c>
      <c r="F767" t="s">
        <v>27</v>
      </c>
      <c r="G767">
        <v>825</v>
      </c>
      <c r="H767" s="5" t="s">
        <v>103</v>
      </c>
      <c r="I767" s="15">
        <v>44998</v>
      </c>
      <c r="J767" s="15" t="s">
        <v>232</v>
      </c>
      <c r="K767" s="6">
        <v>4.4444444444444446E-2</v>
      </c>
      <c r="L767" t="s">
        <v>142</v>
      </c>
      <c r="M767">
        <v>1000000</v>
      </c>
      <c r="N767" t="s">
        <v>209</v>
      </c>
      <c r="O767" t="s">
        <v>151</v>
      </c>
      <c r="P767">
        <v>23</v>
      </c>
      <c r="Q767" t="s">
        <v>157</v>
      </c>
    </row>
    <row r="768" spans="1:17" x14ac:dyDescent="0.2">
      <c r="A768">
        <v>533511</v>
      </c>
      <c r="B768">
        <v>615</v>
      </c>
      <c r="C768" s="1" t="s">
        <v>100</v>
      </c>
      <c r="D768" s="10">
        <v>45008.00277777778</v>
      </c>
      <c r="E768" t="s">
        <v>98</v>
      </c>
      <c r="F768" t="s">
        <v>69</v>
      </c>
      <c r="G768">
        <v>4159</v>
      </c>
      <c r="H768" s="5" t="s">
        <v>100</v>
      </c>
      <c r="I768" s="15">
        <v>45008</v>
      </c>
      <c r="J768" s="15" t="s">
        <v>232</v>
      </c>
      <c r="K768" s="6">
        <v>0.50277777777777777</v>
      </c>
      <c r="L768" t="s">
        <v>146</v>
      </c>
      <c r="M768">
        <v>250000</v>
      </c>
      <c r="N768" t="s">
        <v>225</v>
      </c>
      <c r="O768" t="s">
        <v>152</v>
      </c>
      <c r="P768">
        <v>53</v>
      </c>
      <c r="Q768" t="s">
        <v>155</v>
      </c>
    </row>
    <row r="769" spans="1:17" x14ac:dyDescent="0.2">
      <c r="A769">
        <v>533763</v>
      </c>
      <c r="B769">
        <v>1008</v>
      </c>
      <c r="C769" s="1" t="s">
        <v>106</v>
      </c>
      <c r="D769" s="10">
        <v>45103.020138888889</v>
      </c>
      <c r="E769" t="s">
        <v>97</v>
      </c>
      <c r="F769" t="s">
        <v>43</v>
      </c>
      <c r="G769">
        <v>4873</v>
      </c>
      <c r="H769" s="5" t="s">
        <v>106</v>
      </c>
      <c r="I769" s="15">
        <v>45103</v>
      </c>
      <c r="J769" s="15" t="s">
        <v>233</v>
      </c>
      <c r="K769" s="6">
        <v>0.52013888888888893</v>
      </c>
      <c r="L769" t="s">
        <v>145</v>
      </c>
      <c r="M769">
        <v>1000000</v>
      </c>
      <c r="N769" t="s">
        <v>203</v>
      </c>
      <c r="O769" t="s">
        <v>152</v>
      </c>
      <c r="P769">
        <v>27</v>
      </c>
      <c r="Q769" t="s">
        <v>156</v>
      </c>
    </row>
    <row r="770" spans="1:17" x14ac:dyDescent="0.2">
      <c r="A770">
        <v>533914</v>
      </c>
      <c r="B770">
        <v>1884</v>
      </c>
      <c r="C770" s="1" t="s">
        <v>99</v>
      </c>
      <c r="D770" s="10">
        <v>45076.955555555556</v>
      </c>
      <c r="E770" t="s">
        <v>96</v>
      </c>
      <c r="F770" t="s">
        <v>22</v>
      </c>
      <c r="G770">
        <v>5436</v>
      </c>
      <c r="H770" s="5" t="s">
        <v>99</v>
      </c>
      <c r="I770" s="15">
        <v>45076</v>
      </c>
      <c r="J770" s="15" t="s">
        <v>233</v>
      </c>
      <c r="K770" s="6">
        <v>0.45555555555555555</v>
      </c>
      <c r="L770" t="s">
        <v>144</v>
      </c>
      <c r="M770">
        <v>100000</v>
      </c>
      <c r="N770" t="s">
        <v>202</v>
      </c>
      <c r="O770" t="s">
        <v>152</v>
      </c>
      <c r="P770">
        <v>31</v>
      </c>
      <c r="Q770" t="s">
        <v>157</v>
      </c>
    </row>
    <row r="771" spans="1:17" x14ac:dyDescent="0.2">
      <c r="A771">
        <v>534259</v>
      </c>
      <c r="B771">
        <v>249</v>
      </c>
      <c r="C771" s="1" t="s">
        <v>99</v>
      </c>
      <c r="D771" s="10">
        <v>45049.96875</v>
      </c>
      <c r="E771" t="s">
        <v>96</v>
      </c>
      <c r="F771" t="s">
        <v>41</v>
      </c>
      <c r="G771">
        <v>3939</v>
      </c>
      <c r="H771" s="5" t="s">
        <v>99</v>
      </c>
      <c r="I771" s="15">
        <v>45049</v>
      </c>
      <c r="J771" s="15" t="s">
        <v>233</v>
      </c>
      <c r="K771" s="6">
        <v>0.46875</v>
      </c>
      <c r="L771" t="s">
        <v>145</v>
      </c>
      <c r="M771">
        <v>150000</v>
      </c>
      <c r="N771" t="s">
        <v>203</v>
      </c>
      <c r="O771" t="s">
        <v>151</v>
      </c>
      <c r="P771">
        <v>58</v>
      </c>
      <c r="Q771" t="s">
        <v>154</v>
      </c>
    </row>
    <row r="772" spans="1:17" x14ac:dyDescent="0.2">
      <c r="A772">
        <v>534263</v>
      </c>
      <c r="B772">
        <v>109</v>
      </c>
      <c r="C772" s="1" t="s">
        <v>99</v>
      </c>
      <c r="D772" s="10">
        <v>45093.023611111108</v>
      </c>
      <c r="E772" t="s">
        <v>97</v>
      </c>
      <c r="F772" t="s">
        <v>19</v>
      </c>
      <c r="G772">
        <v>3129</v>
      </c>
      <c r="H772" s="5" t="s">
        <v>99</v>
      </c>
      <c r="I772" s="15">
        <v>45093</v>
      </c>
      <c r="J772" s="15" t="s">
        <v>233</v>
      </c>
      <c r="K772" s="6">
        <v>0.52361111111111114</v>
      </c>
      <c r="L772" t="s">
        <v>142</v>
      </c>
      <c r="M772">
        <v>150000</v>
      </c>
      <c r="N772" t="s">
        <v>211</v>
      </c>
      <c r="O772" t="s">
        <v>152</v>
      </c>
      <c r="P772">
        <v>32</v>
      </c>
      <c r="Q772" t="s">
        <v>154</v>
      </c>
    </row>
    <row r="773" spans="1:17" x14ac:dyDescent="0.2">
      <c r="A773">
        <v>534708</v>
      </c>
      <c r="B773">
        <v>854</v>
      </c>
      <c r="C773" s="1" t="s">
        <v>99</v>
      </c>
      <c r="D773" s="10">
        <v>45179.036111111112</v>
      </c>
      <c r="E773" t="s">
        <v>96</v>
      </c>
      <c r="F773" t="s">
        <v>35</v>
      </c>
      <c r="G773">
        <v>577</v>
      </c>
      <c r="H773" s="5" t="s">
        <v>99</v>
      </c>
      <c r="I773" s="15">
        <v>45179</v>
      </c>
      <c r="J773" s="15" t="s">
        <v>234</v>
      </c>
      <c r="K773" s="6">
        <v>0.53611111111111109</v>
      </c>
      <c r="L773" t="s">
        <v>144</v>
      </c>
      <c r="M773">
        <v>100000</v>
      </c>
      <c r="N773" t="s">
        <v>219</v>
      </c>
      <c r="O773" t="s">
        <v>152</v>
      </c>
      <c r="P773">
        <v>61</v>
      </c>
      <c r="Q773" t="s">
        <v>155</v>
      </c>
    </row>
    <row r="774" spans="1:17" x14ac:dyDescent="0.2">
      <c r="A774">
        <v>535104</v>
      </c>
      <c r="B774">
        <v>324</v>
      </c>
      <c r="C774" s="1" t="s">
        <v>101</v>
      </c>
      <c r="D774" s="10">
        <v>45229.967361111114</v>
      </c>
      <c r="E774" t="s">
        <v>191</v>
      </c>
      <c r="F774" t="s">
        <v>44</v>
      </c>
      <c r="G774">
        <v>7237</v>
      </c>
      <c r="H774" s="5" t="s">
        <v>101</v>
      </c>
      <c r="I774" s="15">
        <v>45229</v>
      </c>
      <c r="J774" s="15" t="s">
        <v>295</v>
      </c>
      <c r="K774" s="6">
        <v>0.46736111111111112</v>
      </c>
      <c r="L774" t="s">
        <v>144</v>
      </c>
      <c r="M774">
        <v>150000</v>
      </c>
      <c r="N774" t="s">
        <v>199</v>
      </c>
      <c r="O774" t="s">
        <v>152</v>
      </c>
      <c r="P774">
        <v>28</v>
      </c>
      <c r="Q774" t="s">
        <v>154</v>
      </c>
    </row>
    <row r="775" spans="1:17" x14ac:dyDescent="0.2">
      <c r="A775">
        <v>535213</v>
      </c>
      <c r="B775">
        <v>998</v>
      </c>
      <c r="C775" s="1" t="s">
        <v>103</v>
      </c>
      <c r="D775" s="10">
        <v>45158.04583333333</v>
      </c>
      <c r="E775" t="s">
        <v>98</v>
      </c>
      <c r="F775" t="s">
        <v>28</v>
      </c>
      <c r="G775">
        <v>1196</v>
      </c>
      <c r="H775" s="5" t="s">
        <v>103</v>
      </c>
      <c r="I775" s="15">
        <v>45158</v>
      </c>
      <c r="J775" s="15" t="s">
        <v>234</v>
      </c>
      <c r="K775" s="6">
        <v>4.583333333333333E-2</v>
      </c>
      <c r="L775" t="s">
        <v>143</v>
      </c>
      <c r="M775">
        <v>100000</v>
      </c>
      <c r="N775" t="s">
        <v>215</v>
      </c>
      <c r="O775" t="s">
        <v>152</v>
      </c>
      <c r="P775">
        <v>89</v>
      </c>
      <c r="Q775" t="s">
        <v>155</v>
      </c>
    </row>
    <row r="776" spans="1:17" x14ac:dyDescent="0.2">
      <c r="A776">
        <v>535352</v>
      </c>
      <c r="B776">
        <v>622</v>
      </c>
      <c r="C776" s="1" t="s">
        <v>113</v>
      </c>
      <c r="D776" s="10">
        <v>45130.976388888892</v>
      </c>
      <c r="E776" t="s">
        <v>98</v>
      </c>
      <c r="F776" t="s">
        <v>14</v>
      </c>
      <c r="G776">
        <v>9155</v>
      </c>
      <c r="H776" s="5" t="s">
        <v>113</v>
      </c>
      <c r="I776" s="15">
        <v>45130</v>
      </c>
      <c r="J776" s="15" t="s">
        <v>234</v>
      </c>
      <c r="K776" s="6">
        <v>0.47638888888888886</v>
      </c>
      <c r="L776" t="s">
        <v>142</v>
      </c>
      <c r="M776">
        <v>250000</v>
      </c>
      <c r="N776" t="s">
        <v>207</v>
      </c>
      <c r="O776" t="s">
        <v>151</v>
      </c>
      <c r="P776">
        <v>71</v>
      </c>
      <c r="Q776" t="s">
        <v>155</v>
      </c>
    </row>
    <row r="777" spans="1:17" x14ac:dyDescent="0.2">
      <c r="A777">
        <v>536530</v>
      </c>
      <c r="B777">
        <v>738</v>
      </c>
      <c r="C777" s="1" t="s">
        <v>100</v>
      </c>
      <c r="D777" s="10">
        <v>45043.998611111114</v>
      </c>
      <c r="E777" t="s">
        <v>191</v>
      </c>
      <c r="F777" t="s">
        <v>43</v>
      </c>
      <c r="G777">
        <v>891</v>
      </c>
      <c r="H777" s="5" t="s">
        <v>100</v>
      </c>
      <c r="I777" s="15">
        <v>45043</v>
      </c>
      <c r="J777" s="15" t="s">
        <v>233</v>
      </c>
      <c r="K777" s="6">
        <v>0.49861111111111112</v>
      </c>
      <c r="L777" t="s">
        <v>145</v>
      </c>
      <c r="M777">
        <v>1000000</v>
      </c>
      <c r="N777" t="s">
        <v>203</v>
      </c>
      <c r="O777" t="s">
        <v>151</v>
      </c>
      <c r="P777">
        <v>25</v>
      </c>
      <c r="Q777" t="s">
        <v>155</v>
      </c>
    </row>
    <row r="778" spans="1:17" x14ac:dyDescent="0.2">
      <c r="A778">
        <v>537418</v>
      </c>
      <c r="B778">
        <v>51</v>
      </c>
      <c r="C778" s="1" t="s">
        <v>99</v>
      </c>
      <c r="D778" s="10">
        <v>45128.940972222219</v>
      </c>
      <c r="E778" t="s">
        <v>191</v>
      </c>
      <c r="F778" t="s">
        <v>46</v>
      </c>
      <c r="G778">
        <v>7284</v>
      </c>
      <c r="H778" s="5" t="s">
        <v>99</v>
      </c>
      <c r="I778" s="15">
        <v>45128</v>
      </c>
      <c r="J778" s="15" t="s">
        <v>234</v>
      </c>
      <c r="K778" s="6">
        <v>0.44097222222222221</v>
      </c>
      <c r="L778" t="s">
        <v>142</v>
      </c>
      <c r="M778">
        <v>200000</v>
      </c>
      <c r="N778" t="s">
        <v>211</v>
      </c>
      <c r="O778" t="s">
        <v>152</v>
      </c>
      <c r="P778">
        <v>63</v>
      </c>
      <c r="Q778" t="s">
        <v>154</v>
      </c>
    </row>
    <row r="779" spans="1:17" x14ac:dyDescent="0.2">
      <c r="A779">
        <v>537514</v>
      </c>
      <c r="B779">
        <v>12</v>
      </c>
      <c r="C779" s="1" t="s">
        <v>105</v>
      </c>
      <c r="D779" s="10">
        <v>45207.039583333331</v>
      </c>
      <c r="E779" t="s">
        <v>192</v>
      </c>
      <c r="F779" t="s">
        <v>8</v>
      </c>
      <c r="G779">
        <v>8747</v>
      </c>
      <c r="H779" s="5" t="s">
        <v>105</v>
      </c>
      <c r="I779" s="15">
        <v>45207</v>
      </c>
      <c r="J779" s="15" t="s">
        <v>295</v>
      </c>
      <c r="K779" s="6">
        <v>0.5395833333333333</v>
      </c>
      <c r="L779" t="s">
        <v>142</v>
      </c>
      <c r="M779">
        <v>200000</v>
      </c>
      <c r="N779" t="s">
        <v>201</v>
      </c>
      <c r="O779" t="s">
        <v>152</v>
      </c>
      <c r="P779">
        <v>65</v>
      </c>
      <c r="Q779" t="s">
        <v>154</v>
      </c>
    </row>
    <row r="780" spans="1:17" x14ac:dyDescent="0.2">
      <c r="A780">
        <v>537900</v>
      </c>
      <c r="B780">
        <v>1009</v>
      </c>
      <c r="C780" s="1" t="s">
        <v>99</v>
      </c>
      <c r="D780" s="10">
        <v>44936.011805555558</v>
      </c>
      <c r="E780" t="s">
        <v>191</v>
      </c>
      <c r="F780" t="s">
        <v>46</v>
      </c>
      <c r="G780">
        <v>3462</v>
      </c>
      <c r="H780" s="5" t="s">
        <v>99</v>
      </c>
      <c r="I780" s="15">
        <v>44936</v>
      </c>
      <c r="J780" s="15" t="s">
        <v>232</v>
      </c>
      <c r="K780" s="6">
        <v>0.51180555555555551</v>
      </c>
      <c r="L780" t="s">
        <v>142</v>
      </c>
      <c r="M780">
        <v>200000</v>
      </c>
      <c r="N780" t="s">
        <v>211</v>
      </c>
      <c r="O780" t="s">
        <v>152</v>
      </c>
      <c r="P780">
        <v>44</v>
      </c>
      <c r="Q780" t="s">
        <v>156</v>
      </c>
    </row>
    <row r="781" spans="1:17" x14ac:dyDescent="0.2">
      <c r="A781">
        <v>538560</v>
      </c>
      <c r="B781">
        <v>31</v>
      </c>
      <c r="C781" s="1" t="s">
        <v>99</v>
      </c>
      <c r="D781" s="10">
        <v>45231.01458333333</v>
      </c>
      <c r="E781" t="s">
        <v>97</v>
      </c>
      <c r="F781" t="s">
        <v>27</v>
      </c>
      <c r="G781">
        <v>9928</v>
      </c>
      <c r="H781" s="5" t="s">
        <v>99</v>
      </c>
      <c r="I781" s="15">
        <v>45231</v>
      </c>
      <c r="J781" s="15" t="s">
        <v>295</v>
      </c>
      <c r="K781" s="6">
        <v>0.51458333333333328</v>
      </c>
      <c r="L781" t="s">
        <v>142</v>
      </c>
      <c r="M781">
        <v>1000000</v>
      </c>
      <c r="N781" t="s">
        <v>209</v>
      </c>
      <c r="O781" t="s">
        <v>151</v>
      </c>
      <c r="P781">
        <v>22</v>
      </c>
      <c r="Q781" t="s">
        <v>154</v>
      </c>
    </row>
    <row r="782" spans="1:17" x14ac:dyDescent="0.2">
      <c r="A782">
        <v>539212</v>
      </c>
      <c r="B782">
        <v>488</v>
      </c>
      <c r="C782" s="1" t="s">
        <v>99</v>
      </c>
      <c r="D782" s="10">
        <v>45259.077777777777</v>
      </c>
      <c r="E782" t="s">
        <v>191</v>
      </c>
      <c r="F782" t="s">
        <v>18</v>
      </c>
      <c r="G782">
        <v>8345</v>
      </c>
      <c r="H782" s="5" t="s">
        <v>99</v>
      </c>
      <c r="I782" s="15">
        <v>45259</v>
      </c>
      <c r="J782" s="15" t="s">
        <v>295</v>
      </c>
      <c r="K782" s="6">
        <v>7.7777777777777779E-2</v>
      </c>
      <c r="L782" t="s">
        <v>145</v>
      </c>
      <c r="M782">
        <v>200000</v>
      </c>
      <c r="N782" t="s">
        <v>210</v>
      </c>
      <c r="O782" t="s">
        <v>152</v>
      </c>
      <c r="P782">
        <v>19</v>
      </c>
      <c r="Q782" t="s">
        <v>154</v>
      </c>
    </row>
    <row r="783" spans="1:17" x14ac:dyDescent="0.2">
      <c r="A783">
        <v>539679</v>
      </c>
      <c r="B783">
        <v>668</v>
      </c>
      <c r="C783" s="1" t="s">
        <v>100</v>
      </c>
      <c r="D783" s="10">
        <v>45053.019444444442</v>
      </c>
      <c r="E783" t="s">
        <v>98</v>
      </c>
      <c r="F783" t="s">
        <v>90</v>
      </c>
      <c r="G783">
        <v>24</v>
      </c>
      <c r="H783" s="5" t="s">
        <v>100</v>
      </c>
      <c r="I783" s="15">
        <v>45053</v>
      </c>
      <c r="J783" s="15" t="s">
        <v>233</v>
      </c>
      <c r="K783" s="6">
        <v>0.51944444444444449</v>
      </c>
      <c r="L783" t="s">
        <v>142</v>
      </c>
      <c r="M783">
        <v>150000</v>
      </c>
      <c r="N783" t="s">
        <v>208</v>
      </c>
      <c r="O783" t="s">
        <v>152</v>
      </c>
      <c r="P783">
        <v>90</v>
      </c>
      <c r="Q783" t="s">
        <v>155</v>
      </c>
    </row>
    <row r="784" spans="1:17" x14ac:dyDescent="0.2">
      <c r="A784">
        <v>540823</v>
      </c>
      <c r="B784">
        <v>306</v>
      </c>
      <c r="C784" s="1" t="s">
        <v>113</v>
      </c>
      <c r="D784" s="10">
        <v>45260.015277777777</v>
      </c>
      <c r="E784" t="s">
        <v>97</v>
      </c>
      <c r="F784" t="s">
        <v>14</v>
      </c>
      <c r="G784">
        <v>3011</v>
      </c>
      <c r="H784" s="5" t="s">
        <v>113</v>
      </c>
      <c r="I784" s="15">
        <v>45260</v>
      </c>
      <c r="J784" s="15" t="s">
        <v>295</v>
      </c>
      <c r="K784" s="6">
        <v>0.51527777777777772</v>
      </c>
      <c r="L784" t="s">
        <v>142</v>
      </c>
      <c r="M784">
        <v>250000</v>
      </c>
      <c r="N784" t="s">
        <v>207</v>
      </c>
      <c r="O784" t="s">
        <v>152</v>
      </c>
      <c r="P784">
        <v>20</v>
      </c>
      <c r="Q784" t="s">
        <v>154</v>
      </c>
    </row>
    <row r="785" spans="1:17" x14ac:dyDescent="0.2">
      <c r="A785">
        <v>541612</v>
      </c>
      <c r="B785">
        <v>248</v>
      </c>
      <c r="C785" s="1" t="s">
        <v>99</v>
      </c>
      <c r="D785" s="10">
        <v>45236.018055555556</v>
      </c>
      <c r="E785" t="s">
        <v>97</v>
      </c>
      <c r="F785" t="s">
        <v>27</v>
      </c>
      <c r="G785">
        <v>3155</v>
      </c>
      <c r="H785" s="5" t="s">
        <v>99</v>
      </c>
      <c r="I785" s="15">
        <v>45236</v>
      </c>
      <c r="J785" s="15" t="s">
        <v>295</v>
      </c>
      <c r="K785" s="6">
        <v>0.5180555555555556</v>
      </c>
      <c r="L785" t="s">
        <v>142</v>
      </c>
      <c r="M785">
        <v>1000000</v>
      </c>
      <c r="N785" t="s">
        <v>209</v>
      </c>
      <c r="O785" t="s">
        <v>152</v>
      </c>
      <c r="P785">
        <v>47</v>
      </c>
      <c r="Q785" t="s">
        <v>154</v>
      </c>
    </row>
    <row r="786" spans="1:17" x14ac:dyDescent="0.2">
      <c r="A786">
        <v>541737</v>
      </c>
      <c r="B786">
        <v>1365</v>
      </c>
      <c r="C786" s="1" t="s">
        <v>99</v>
      </c>
      <c r="D786" s="10">
        <v>45283.015972222223</v>
      </c>
      <c r="E786" t="s">
        <v>191</v>
      </c>
      <c r="F786" t="s">
        <v>7</v>
      </c>
      <c r="G786">
        <v>1362</v>
      </c>
      <c r="H786" s="5" t="s">
        <v>99</v>
      </c>
      <c r="I786" s="15">
        <v>45283</v>
      </c>
      <c r="J786" s="15" t="s">
        <v>295</v>
      </c>
      <c r="K786" s="6">
        <v>0.51597222222222228</v>
      </c>
      <c r="L786" t="s">
        <v>144</v>
      </c>
      <c r="M786">
        <v>150000</v>
      </c>
      <c r="N786" t="s">
        <v>200</v>
      </c>
      <c r="O786" t="s">
        <v>152</v>
      </c>
      <c r="P786">
        <v>53</v>
      </c>
      <c r="Q786" t="s">
        <v>156</v>
      </c>
    </row>
    <row r="787" spans="1:17" x14ac:dyDescent="0.2">
      <c r="A787">
        <v>541762</v>
      </c>
      <c r="B787">
        <v>1492</v>
      </c>
      <c r="C787" s="1" t="s">
        <v>99</v>
      </c>
      <c r="D787" s="10">
        <v>45135.998611111114</v>
      </c>
      <c r="E787" t="s">
        <v>98</v>
      </c>
      <c r="F787" t="s">
        <v>9</v>
      </c>
      <c r="G787">
        <v>5062</v>
      </c>
      <c r="H787" s="5" t="s">
        <v>99</v>
      </c>
      <c r="I787" s="15">
        <v>45135</v>
      </c>
      <c r="J787" s="15" t="s">
        <v>234</v>
      </c>
      <c r="K787" s="6">
        <v>0.49861111111111112</v>
      </c>
      <c r="L787" t="s">
        <v>144</v>
      </c>
      <c r="M787">
        <v>150000</v>
      </c>
      <c r="N787" t="s">
        <v>202</v>
      </c>
      <c r="O787" t="s">
        <v>152</v>
      </c>
      <c r="P787">
        <v>78</v>
      </c>
      <c r="Q787" t="s">
        <v>156</v>
      </c>
    </row>
    <row r="788" spans="1:17" x14ac:dyDescent="0.2">
      <c r="A788">
        <v>541964</v>
      </c>
      <c r="B788">
        <v>465</v>
      </c>
      <c r="C788" s="1" t="s">
        <v>99</v>
      </c>
      <c r="D788" s="10">
        <v>45221.99722222222</v>
      </c>
      <c r="E788" t="s">
        <v>191</v>
      </c>
      <c r="F788" t="s">
        <v>48</v>
      </c>
      <c r="G788">
        <v>3372</v>
      </c>
      <c r="H788" s="5" t="s">
        <v>99</v>
      </c>
      <c r="I788" s="15">
        <v>45221</v>
      </c>
      <c r="J788" s="15" t="s">
        <v>295</v>
      </c>
      <c r="K788" s="6">
        <v>0.49722222222222223</v>
      </c>
      <c r="L788" t="s">
        <v>142</v>
      </c>
      <c r="M788">
        <v>100000</v>
      </c>
      <c r="N788" t="s">
        <v>209</v>
      </c>
      <c r="O788" t="s">
        <v>151</v>
      </c>
      <c r="P788">
        <v>49</v>
      </c>
      <c r="Q788" t="s">
        <v>154</v>
      </c>
    </row>
    <row r="789" spans="1:17" x14ac:dyDescent="0.2">
      <c r="A789">
        <v>542381</v>
      </c>
      <c r="B789">
        <v>1767</v>
      </c>
      <c r="C789" s="1" t="s">
        <v>100</v>
      </c>
      <c r="D789" s="10">
        <v>45286.009027777778</v>
      </c>
      <c r="E789" t="s">
        <v>191</v>
      </c>
      <c r="F789" t="s">
        <v>14</v>
      </c>
      <c r="G789">
        <v>6198</v>
      </c>
      <c r="H789" s="5" t="s">
        <v>100</v>
      </c>
      <c r="I789" s="15">
        <v>45286</v>
      </c>
      <c r="J789" s="15" t="s">
        <v>295</v>
      </c>
      <c r="K789" s="6">
        <v>0.50902777777777775</v>
      </c>
      <c r="L789" t="s">
        <v>142</v>
      </c>
      <c r="M789">
        <v>250000</v>
      </c>
      <c r="N789" t="s">
        <v>207</v>
      </c>
      <c r="O789" t="s">
        <v>152</v>
      </c>
      <c r="P789">
        <v>52</v>
      </c>
      <c r="Q789" t="s">
        <v>157</v>
      </c>
    </row>
    <row r="790" spans="1:17" x14ac:dyDescent="0.2">
      <c r="A790">
        <v>543294</v>
      </c>
      <c r="B790">
        <v>1504</v>
      </c>
      <c r="C790" s="1" t="s">
        <v>100</v>
      </c>
      <c r="D790" s="10">
        <v>45182.018750000003</v>
      </c>
      <c r="E790" t="s">
        <v>191</v>
      </c>
      <c r="F790" t="s">
        <v>61</v>
      </c>
      <c r="G790">
        <v>3639</v>
      </c>
      <c r="H790" s="5" t="s">
        <v>100</v>
      </c>
      <c r="I790" s="15">
        <v>45182</v>
      </c>
      <c r="J790" s="15" t="s">
        <v>234</v>
      </c>
      <c r="K790" s="6">
        <v>0.51875000000000004</v>
      </c>
      <c r="L790" t="s">
        <v>142</v>
      </c>
      <c r="M790">
        <v>80000</v>
      </c>
      <c r="N790" t="s">
        <v>197</v>
      </c>
      <c r="O790" t="s">
        <v>152</v>
      </c>
      <c r="P790">
        <v>33</v>
      </c>
      <c r="Q790" t="s">
        <v>157</v>
      </c>
    </row>
    <row r="791" spans="1:17" x14ac:dyDescent="0.2">
      <c r="A791">
        <v>543420</v>
      </c>
      <c r="B791">
        <v>1942</v>
      </c>
      <c r="C791" s="1" t="s">
        <v>99</v>
      </c>
      <c r="D791" s="10">
        <v>45092.989583333336</v>
      </c>
      <c r="E791" t="s">
        <v>98</v>
      </c>
      <c r="F791" t="s">
        <v>65</v>
      </c>
      <c r="G791">
        <v>4380</v>
      </c>
      <c r="H791" s="5" t="s">
        <v>99</v>
      </c>
      <c r="I791" s="15">
        <v>45092</v>
      </c>
      <c r="J791" s="15" t="s">
        <v>233</v>
      </c>
      <c r="K791" s="6">
        <v>0.48958333333333331</v>
      </c>
      <c r="L791" t="s">
        <v>146</v>
      </c>
      <c r="M791">
        <v>200000</v>
      </c>
      <c r="N791" t="s">
        <v>225</v>
      </c>
      <c r="O791" t="s">
        <v>152</v>
      </c>
      <c r="P791">
        <v>30</v>
      </c>
      <c r="Q791" t="s">
        <v>157</v>
      </c>
    </row>
    <row r="792" spans="1:17" x14ac:dyDescent="0.2">
      <c r="A792">
        <v>543688</v>
      </c>
      <c r="B792">
        <v>1393</v>
      </c>
      <c r="C792" s="1" t="s">
        <v>107</v>
      </c>
      <c r="D792" s="10">
        <v>45146.023611111108</v>
      </c>
      <c r="E792" t="s">
        <v>98</v>
      </c>
      <c r="F792" t="s">
        <v>17</v>
      </c>
      <c r="G792">
        <v>9836</v>
      </c>
      <c r="H792" s="5" t="s">
        <v>107</v>
      </c>
      <c r="I792" s="15">
        <v>45146</v>
      </c>
      <c r="J792" s="15" t="s">
        <v>234</v>
      </c>
      <c r="K792" s="6">
        <v>0.52361111111111114</v>
      </c>
      <c r="L792" t="s">
        <v>142</v>
      </c>
      <c r="M792">
        <v>100000</v>
      </c>
      <c r="N792" t="s">
        <v>209</v>
      </c>
      <c r="O792" t="s">
        <v>152</v>
      </c>
      <c r="P792">
        <v>76</v>
      </c>
      <c r="Q792" t="s">
        <v>156</v>
      </c>
    </row>
    <row r="793" spans="1:17" x14ac:dyDescent="0.2">
      <c r="A793">
        <v>544608</v>
      </c>
      <c r="B793">
        <v>643</v>
      </c>
      <c r="C793" s="1" t="s">
        <v>113</v>
      </c>
      <c r="D793" s="10">
        <v>45192.080555555556</v>
      </c>
      <c r="E793" t="s">
        <v>97</v>
      </c>
      <c r="F793" t="s">
        <v>18</v>
      </c>
      <c r="G793">
        <v>3678</v>
      </c>
      <c r="H793" s="5" t="s">
        <v>113</v>
      </c>
      <c r="I793" s="15">
        <v>45192</v>
      </c>
      <c r="J793" s="15" t="s">
        <v>234</v>
      </c>
      <c r="K793" s="6">
        <v>8.0555555555555561E-2</v>
      </c>
      <c r="L793" t="s">
        <v>145</v>
      </c>
      <c r="M793">
        <v>200000</v>
      </c>
      <c r="N793" t="s">
        <v>210</v>
      </c>
      <c r="O793" t="s">
        <v>152</v>
      </c>
      <c r="P793">
        <v>39</v>
      </c>
      <c r="Q793" t="s">
        <v>155</v>
      </c>
    </row>
    <row r="794" spans="1:17" x14ac:dyDescent="0.2">
      <c r="A794">
        <v>544675</v>
      </c>
      <c r="B794">
        <v>459</v>
      </c>
      <c r="C794" s="1" t="s">
        <v>107</v>
      </c>
      <c r="D794" s="10">
        <v>45059.078472222223</v>
      </c>
      <c r="E794" t="s">
        <v>191</v>
      </c>
      <c r="F794" t="s">
        <v>89</v>
      </c>
      <c r="G794">
        <v>6757</v>
      </c>
      <c r="H794" s="5" t="s">
        <v>107</v>
      </c>
      <c r="I794" s="15">
        <v>45059</v>
      </c>
      <c r="J794" s="15" t="s">
        <v>233</v>
      </c>
      <c r="K794" s="6">
        <v>7.8472222222222221E-2</v>
      </c>
      <c r="L794" t="s">
        <v>144</v>
      </c>
      <c r="M794">
        <v>150000</v>
      </c>
      <c r="N794" t="s">
        <v>218</v>
      </c>
      <c r="O794" t="s">
        <v>152</v>
      </c>
      <c r="P794">
        <v>30</v>
      </c>
      <c r="Q794" t="s">
        <v>154</v>
      </c>
    </row>
    <row r="795" spans="1:17" x14ac:dyDescent="0.2">
      <c r="A795">
        <v>545696</v>
      </c>
      <c r="B795">
        <v>1682</v>
      </c>
      <c r="C795" s="1" t="s">
        <v>100</v>
      </c>
      <c r="D795" s="10">
        <v>45085.045138888891</v>
      </c>
      <c r="E795" t="s">
        <v>97</v>
      </c>
      <c r="F795" t="s">
        <v>79</v>
      </c>
      <c r="G795">
        <v>9120</v>
      </c>
      <c r="H795" s="5" t="s">
        <v>100</v>
      </c>
      <c r="I795" s="15">
        <v>45085</v>
      </c>
      <c r="J795" s="15" t="s">
        <v>233</v>
      </c>
      <c r="K795" s="6">
        <v>4.5138888888888888E-2</v>
      </c>
      <c r="L795" t="s">
        <v>143</v>
      </c>
      <c r="M795">
        <v>50000</v>
      </c>
      <c r="N795" t="s">
        <v>204</v>
      </c>
      <c r="O795" t="s">
        <v>151</v>
      </c>
      <c r="P795">
        <v>72</v>
      </c>
      <c r="Q795" t="s">
        <v>157</v>
      </c>
    </row>
    <row r="796" spans="1:17" x14ac:dyDescent="0.2">
      <c r="A796">
        <v>546278</v>
      </c>
      <c r="B796">
        <v>1510</v>
      </c>
      <c r="C796" s="1" t="s">
        <v>103</v>
      </c>
      <c r="D796" s="10">
        <v>45081.047222222223</v>
      </c>
      <c r="E796" t="s">
        <v>191</v>
      </c>
      <c r="F796" t="s">
        <v>51</v>
      </c>
      <c r="G796">
        <v>5853</v>
      </c>
      <c r="H796" s="5" t="s">
        <v>103</v>
      </c>
      <c r="I796" s="15">
        <v>45081</v>
      </c>
      <c r="J796" s="15" t="s">
        <v>233</v>
      </c>
      <c r="K796" s="6">
        <v>4.7222222222222221E-2</v>
      </c>
      <c r="L796" t="s">
        <v>145</v>
      </c>
      <c r="M796">
        <v>100000</v>
      </c>
      <c r="N796" t="s">
        <v>217</v>
      </c>
      <c r="O796" t="s">
        <v>151</v>
      </c>
      <c r="P796">
        <v>23</v>
      </c>
      <c r="Q796" t="s">
        <v>157</v>
      </c>
    </row>
    <row r="797" spans="1:17" x14ac:dyDescent="0.2">
      <c r="A797">
        <v>546758</v>
      </c>
      <c r="B797">
        <v>1844</v>
      </c>
      <c r="C797" s="1" t="s">
        <v>106</v>
      </c>
      <c r="D797" s="10">
        <v>45140.03125</v>
      </c>
      <c r="E797" t="s">
        <v>96</v>
      </c>
      <c r="F797" t="s">
        <v>22</v>
      </c>
      <c r="G797">
        <v>316</v>
      </c>
      <c r="H797" s="5" t="s">
        <v>106</v>
      </c>
      <c r="I797" s="15">
        <v>45140</v>
      </c>
      <c r="J797" s="15" t="s">
        <v>234</v>
      </c>
      <c r="K797" s="6">
        <v>0.53125</v>
      </c>
      <c r="L797" t="s">
        <v>144</v>
      </c>
      <c r="M797">
        <v>100000</v>
      </c>
      <c r="N797" t="s">
        <v>202</v>
      </c>
      <c r="O797" t="s">
        <v>152</v>
      </c>
      <c r="P797">
        <v>88</v>
      </c>
      <c r="Q797" t="s">
        <v>157</v>
      </c>
    </row>
    <row r="798" spans="1:17" x14ac:dyDescent="0.2">
      <c r="A798">
        <v>546839</v>
      </c>
      <c r="B798">
        <v>1566</v>
      </c>
      <c r="C798" s="1" t="s">
        <v>99</v>
      </c>
      <c r="D798" s="10">
        <v>45270.039583333331</v>
      </c>
      <c r="E798" t="s">
        <v>191</v>
      </c>
      <c r="F798" t="s">
        <v>52</v>
      </c>
      <c r="G798">
        <v>8639</v>
      </c>
      <c r="H798" s="5" t="s">
        <v>99</v>
      </c>
      <c r="I798" s="15">
        <v>45270</v>
      </c>
      <c r="J798" s="15" t="s">
        <v>295</v>
      </c>
      <c r="K798" s="6">
        <v>0.5395833333333333</v>
      </c>
      <c r="L798" t="s">
        <v>143</v>
      </c>
      <c r="M798">
        <v>100000</v>
      </c>
      <c r="N798" t="s">
        <v>206</v>
      </c>
      <c r="O798" t="s">
        <v>151</v>
      </c>
      <c r="P798">
        <v>64</v>
      </c>
      <c r="Q798" t="s">
        <v>157</v>
      </c>
    </row>
    <row r="799" spans="1:17" x14ac:dyDescent="0.2">
      <c r="A799">
        <v>547144</v>
      </c>
      <c r="B799">
        <v>1666</v>
      </c>
      <c r="C799" s="1" t="s">
        <v>105</v>
      </c>
      <c r="D799" s="10">
        <v>44940.043055555558</v>
      </c>
      <c r="E799" t="s">
        <v>97</v>
      </c>
      <c r="F799" t="s">
        <v>39</v>
      </c>
      <c r="G799">
        <v>5455</v>
      </c>
      <c r="H799" s="5" t="s">
        <v>105</v>
      </c>
      <c r="I799" s="15">
        <v>44940</v>
      </c>
      <c r="J799" s="15" t="s">
        <v>232</v>
      </c>
      <c r="K799" s="6">
        <v>4.3055555555555555E-2</v>
      </c>
      <c r="L799" t="s">
        <v>146</v>
      </c>
      <c r="M799">
        <v>100000</v>
      </c>
      <c r="N799" t="s">
        <v>212</v>
      </c>
      <c r="O799" t="s">
        <v>152</v>
      </c>
      <c r="P799">
        <v>21</v>
      </c>
      <c r="Q799" t="s">
        <v>157</v>
      </c>
    </row>
    <row r="800" spans="1:17" x14ac:dyDescent="0.2">
      <c r="A800">
        <v>547283</v>
      </c>
      <c r="B800">
        <v>1363</v>
      </c>
      <c r="C800" s="1" t="s">
        <v>100</v>
      </c>
      <c r="D800" s="10">
        <v>45040.00277777778</v>
      </c>
      <c r="E800" t="s">
        <v>191</v>
      </c>
      <c r="F800" t="s">
        <v>92</v>
      </c>
      <c r="G800">
        <v>2149</v>
      </c>
      <c r="H800" s="5" t="s">
        <v>100</v>
      </c>
      <c r="I800" s="15">
        <v>45040</v>
      </c>
      <c r="J800" s="15" t="s">
        <v>233</v>
      </c>
      <c r="K800" s="6">
        <v>0.50277777777777777</v>
      </c>
      <c r="L800" t="s">
        <v>145</v>
      </c>
      <c r="M800">
        <v>30000</v>
      </c>
      <c r="N800" t="s">
        <v>226</v>
      </c>
      <c r="O800" t="s">
        <v>152</v>
      </c>
      <c r="P800">
        <v>81</v>
      </c>
      <c r="Q800" t="s">
        <v>156</v>
      </c>
    </row>
    <row r="801" spans="1:17" x14ac:dyDescent="0.2">
      <c r="A801">
        <v>548423</v>
      </c>
      <c r="B801">
        <v>1109</v>
      </c>
      <c r="C801" s="1" t="s">
        <v>113</v>
      </c>
      <c r="D801" s="10">
        <v>45190.052777777775</v>
      </c>
      <c r="E801" t="s">
        <v>96</v>
      </c>
      <c r="F801" t="s">
        <v>32</v>
      </c>
      <c r="G801">
        <v>3958</v>
      </c>
      <c r="H801" s="5" t="s">
        <v>113</v>
      </c>
      <c r="I801" s="15">
        <v>45190</v>
      </c>
      <c r="J801" s="15" t="s">
        <v>234</v>
      </c>
      <c r="K801" s="6">
        <v>5.2777777777777778E-2</v>
      </c>
      <c r="L801" t="s">
        <v>145</v>
      </c>
      <c r="M801">
        <v>80000</v>
      </c>
      <c r="N801" t="s">
        <v>217</v>
      </c>
      <c r="O801" t="s">
        <v>152</v>
      </c>
      <c r="P801">
        <v>86</v>
      </c>
      <c r="Q801" t="s">
        <v>156</v>
      </c>
    </row>
    <row r="802" spans="1:17" x14ac:dyDescent="0.2">
      <c r="A802">
        <v>548714</v>
      </c>
      <c r="B802">
        <v>1156</v>
      </c>
      <c r="C802" s="1" t="s">
        <v>103</v>
      </c>
      <c r="D802" s="10">
        <v>45099.021527777775</v>
      </c>
      <c r="E802" t="s">
        <v>97</v>
      </c>
      <c r="F802" t="s">
        <v>27</v>
      </c>
      <c r="G802">
        <v>6145</v>
      </c>
      <c r="H802" s="5" t="s">
        <v>103</v>
      </c>
      <c r="I802" s="15">
        <v>45099</v>
      </c>
      <c r="J802" s="15" t="s">
        <v>233</v>
      </c>
      <c r="K802" s="6">
        <v>0.52152777777777781</v>
      </c>
      <c r="L802" t="s">
        <v>142</v>
      </c>
      <c r="M802">
        <v>1000000</v>
      </c>
      <c r="N802" t="s">
        <v>209</v>
      </c>
      <c r="O802" t="s">
        <v>151</v>
      </c>
      <c r="P802">
        <v>35</v>
      </c>
      <c r="Q802" t="s">
        <v>156</v>
      </c>
    </row>
    <row r="803" spans="1:17" x14ac:dyDescent="0.2">
      <c r="A803">
        <v>549930</v>
      </c>
      <c r="B803">
        <v>685</v>
      </c>
      <c r="C803" s="1" t="s">
        <v>101</v>
      </c>
      <c r="D803" s="10">
        <v>45103.995833333334</v>
      </c>
      <c r="E803" t="s">
        <v>97</v>
      </c>
      <c r="F803" t="s">
        <v>5</v>
      </c>
      <c r="G803">
        <v>8311</v>
      </c>
      <c r="H803" s="5" t="s">
        <v>101</v>
      </c>
      <c r="I803" s="15">
        <v>45103</v>
      </c>
      <c r="J803" s="15" t="s">
        <v>233</v>
      </c>
      <c r="K803" s="6">
        <v>0.49583333333333335</v>
      </c>
      <c r="L803" t="s">
        <v>143</v>
      </c>
      <c r="M803">
        <v>200000</v>
      </c>
      <c r="N803" t="s">
        <v>198</v>
      </c>
      <c r="O803" t="s">
        <v>151</v>
      </c>
      <c r="P803">
        <v>50</v>
      </c>
      <c r="Q803" t="s">
        <v>155</v>
      </c>
    </row>
    <row r="804" spans="1:17" x14ac:dyDescent="0.2">
      <c r="A804">
        <v>550510</v>
      </c>
      <c r="B804">
        <v>536</v>
      </c>
      <c r="C804" s="1" t="s">
        <v>109</v>
      </c>
      <c r="D804" s="10">
        <v>45036.982638888891</v>
      </c>
      <c r="E804" t="s">
        <v>191</v>
      </c>
      <c r="F804" t="s">
        <v>16</v>
      </c>
      <c r="G804">
        <v>4540</v>
      </c>
      <c r="H804" s="5" t="s">
        <v>109</v>
      </c>
      <c r="I804" s="15">
        <v>45036</v>
      </c>
      <c r="J804" s="15" t="s">
        <v>233</v>
      </c>
      <c r="K804" s="6">
        <v>0.4826388888888889</v>
      </c>
      <c r="L804" t="s">
        <v>142</v>
      </c>
      <c r="M804">
        <v>80000</v>
      </c>
      <c r="N804" t="s">
        <v>208</v>
      </c>
      <c r="O804" t="s">
        <v>152</v>
      </c>
      <c r="P804">
        <v>69</v>
      </c>
      <c r="Q804" t="s">
        <v>155</v>
      </c>
    </row>
    <row r="805" spans="1:17" x14ac:dyDescent="0.2">
      <c r="A805">
        <v>551810</v>
      </c>
      <c r="B805">
        <v>477</v>
      </c>
      <c r="C805" s="1" t="s">
        <v>101</v>
      </c>
      <c r="D805" s="10">
        <v>45085.024305555555</v>
      </c>
      <c r="E805" t="s">
        <v>97</v>
      </c>
      <c r="F805" t="s">
        <v>74</v>
      </c>
      <c r="G805">
        <v>8174</v>
      </c>
      <c r="H805" s="5" t="s">
        <v>101</v>
      </c>
      <c r="I805" s="15">
        <v>45085</v>
      </c>
      <c r="J805" s="15" t="s">
        <v>233</v>
      </c>
      <c r="K805" s="6">
        <v>0.52430555555555558</v>
      </c>
      <c r="L805" t="s">
        <v>145</v>
      </c>
      <c r="M805">
        <v>150000</v>
      </c>
      <c r="N805" t="s">
        <v>226</v>
      </c>
      <c r="O805" t="s">
        <v>151</v>
      </c>
      <c r="P805">
        <v>31</v>
      </c>
      <c r="Q805" t="s">
        <v>154</v>
      </c>
    </row>
    <row r="806" spans="1:17" x14ac:dyDescent="0.2">
      <c r="A806">
        <v>551997</v>
      </c>
      <c r="B806">
        <v>1620</v>
      </c>
      <c r="C806" s="1" t="s">
        <v>99</v>
      </c>
      <c r="D806" s="10">
        <v>45195.973611111112</v>
      </c>
      <c r="E806" t="s">
        <v>191</v>
      </c>
      <c r="F806" t="s">
        <v>4</v>
      </c>
      <c r="G806">
        <v>5017</v>
      </c>
      <c r="H806" s="5" t="s">
        <v>99</v>
      </c>
      <c r="I806" s="15">
        <v>45195</v>
      </c>
      <c r="J806" s="15" t="s">
        <v>234</v>
      </c>
      <c r="K806" s="6">
        <v>0.47361111111111109</v>
      </c>
      <c r="L806" t="s">
        <v>142</v>
      </c>
      <c r="M806">
        <v>200000</v>
      </c>
      <c r="N806" t="s">
        <v>197</v>
      </c>
      <c r="O806" t="s">
        <v>152</v>
      </c>
      <c r="P806">
        <v>61</v>
      </c>
      <c r="Q806" t="s">
        <v>157</v>
      </c>
    </row>
    <row r="807" spans="1:17" x14ac:dyDescent="0.2">
      <c r="A807">
        <v>552382</v>
      </c>
      <c r="B807">
        <v>375</v>
      </c>
      <c r="C807" s="1" t="s">
        <v>101</v>
      </c>
      <c r="D807" s="10">
        <v>45048.020138888889</v>
      </c>
      <c r="E807" t="s">
        <v>98</v>
      </c>
      <c r="F807" t="s">
        <v>14</v>
      </c>
      <c r="G807">
        <v>626</v>
      </c>
      <c r="H807" s="5" t="s">
        <v>101</v>
      </c>
      <c r="I807" s="15">
        <v>45048</v>
      </c>
      <c r="J807" s="15" t="s">
        <v>233</v>
      </c>
      <c r="K807" s="6">
        <v>0.52013888888888893</v>
      </c>
      <c r="L807" t="s">
        <v>142</v>
      </c>
      <c r="M807">
        <v>250000</v>
      </c>
      <c r="N807" t="s">
        <v>207</v>
      </c>
      <c r="O807" t="s">
        <v>152</v>
      </c>
      <c r="P807">
        <v>45</v>
      </c>
      <c r="Q807" t="s">
        <v>154</v>
      </c>
    </row>
    <row r="808" spans="1:17" x14ac:dyDescent="0.2">
      <c r="A808">
        <v>552420</v>
      </c>
      <c r="B808">
        <v>31</v>
      </c>
      <c r="C808" s="1" t="s">
        <v>99</v>
      </c>
      <c r="D808" s="10">
        <v>45131.981249999997</v>
      </c>
      <c r="E808" t="s">
        <v>96</v>
      </c>
      <c r="F808" t="s">
        <v>6</v>
      </c>
      <c r="G808">
        <v>3937</v>
      </c>
      <c r="H808" s="5" t="s">
        <v>99</v>
      </c>
      <c r="I808" s="15">
        <v>45131</v>
      </c>
      <c r="J808" s="15" t="s">
        <v>234</v>
      </c>
      <c r="K808" s="6">
        <v>0.48125000000000001</v>
      </c>
      <c r="L808" t="s">
        <v>144</v>
      </c>
      <c r="M808">
        <v>100000</v>
      </c>
      <c r="N808" t="s">
        <v>199</v>
      </c>
      <c r="O808" t="s">
        <v>151</v>
      </c>
      <c r="P808">
        <v>22</v>
      </c>
      <c r="Q808" t="s">
        <v>154</v>
      </c>
    </row>
    <row r="809" spans="1:17" x14ac:dyDescent="0.2">
      <c r="A809">
        <v>552683</v>
      </c>
      <c r="B809">
        <v>131</v>
      </c>
      <c r="C809" s="1" t="s">
        <v>107</v>
      </c>
      <c r="D809" s="10">
        <v>45054.05972222222</v>
      </c>
      <c r="E809" t="s">
        <v>96</v>
      </c>
      <c r="F809" t="s">
        <v>7</v>
      </c>
      <c r="G809">
        <v>6578</v>
      </c>
      <c r="H809" s="5" t="s">
        <v>107</v>
      </c>
      <c r="I809" s="15">
        <v>45054</v>
      </c>
      <c r="J809" s="15" t="s">
        <v>233</v>
      </c>
      <c r="K809" s="6">
        <v>5.9722222222222225E-2</v>
      </c>
      <c r="L809" t="s">
        <v>144</v>
      </c>
      <c r="M809">
        <v>150000</v>
      </c>
      <c r="N809" t="s">
        <v>200</v>
      </c>
      <c r="O809" t="s">
        <v>152</v>
      </c>
      <c r="P809">
        <v>90</v>
      </c>
      <c r="Q809" t="s">
        <v>154</v>
      </c>
    </row>
    <row r="810" spans="1:17" x14ac:dyDescent="0.2">
      <c r="A810">
        <v>554150</v>
      </c>
      <c r="B810">
        <v>343</v>
      </c>
      <c r="C810" s="1" t="s">
        <v>113</v>
      </c>
      <c r="D810" s="10">
        <v>45051.002083333333</v>
      </c>
      <c r="E810" t="s">
        <v>98</v>
      </c>
      <c r="F810" t="s">
        <v>8</v>
      </c>
      <c r="G810">
        <v>1090</v>
      </c>
      <c r="H810" s="5" t="s">
        <v>113</v>
      </c>
      <c r="I810" s="15">
        <v>45051</v>
      </c>
      <c r="J810" s="15" t="s">
        <v>233</v>
      </c>
      <c r="K810" s="6">
        <v>0.50208333333333333</v>
      </c>
      <c r="L810" t="s">
        <v>142</v>
      </c>
      <c r="M810">
        <v>200000</v>
      </c>
      <c r="N810" t="s">
        <v>201</v>
      </c>
      <c r="O810" t="s">
        <v>152</v>
      </c>
      <c r="P810">
        <v>88</v>
      </c>
      <c r="Q810" t="s">
        <v>154</v>
      </c>
    </row>
    <row r="811" spans="1:17" x14ac:dyDescent="0.2">
      <c r="A811">
        <v>556001</v>
      </c>
      <c r="B811">
        <v>395</v>
      </c>
      <c r="C811" s="1" t="s">
        <v>113</v>
      </c>
      <c r="D811" s="10">
        <v>44954.012499999997</v>
      </c>
      <c r="E811" t="s">
        <v>96</v>
      </c>
      <c r="F811" t="s">
        <v>9</v>
      </c>
      <c r="G811">
        <v>8901</v>
      </c>
      <c r="H811" s="5" t="s">
        <v>113</v>
      </c>
      <c r="I811" s="15">
        <v>44954</v>
      </c>
      <c r="J811" s="15" t="s">
        <v>232</v>
      </c>
      <c r="K811" s="6">
        <v>0.51249999999999996</v>
      </c>
      <c r="L811" t="s">
        <v>144</v>
      </c>
      <c r="M811">
        <v>150000</v>
      </c>
      <c r="N811" t="s">
        <v>202</v>
      </c>
      <c r="O811" t="s">
        <v>152</v>
      </c>
      <c r="P811">
        <v>22</v>
      </c>
      <c r="Q811" t="s">
        <v>154</v>
      </c>
    </row>
    <row r="812" spans="1:17" x14ac:dyDescent="0.2">
      <c r="A812">
        <v>556930</v>
      </c>
      <c r="B812">
        <v>1847</v>
      </c>
      <c r="C812" s="1" t="s">
        <v>100</v>
      </c>
      <c r="D812" s="10">
        <v>44940.015972222223</v>
      </c>
      <c r="E812" t="s">
        <v>98</v>
      </c>
      <c r="F812" t="s">
        <v>10</v>
      </c>
      <c r="G812">
        <v>1675</v>
      </c>
      <c r="H812" s="5" t="s">
        <v>100</v>
      </c>
      <c r="I812" s="15">
        <v>44940</v>
      </c>
      <c r="J812" s="15" t="s">
        <v>232</v>
      </c>
      <c r="K812" s="6">
        <v>0.51597222222222228</v>
      </c>
      <c r="L812" t="s">
        <v>145</v>
      </c>
      <c r="M812">
        <v>150000</v>
      </c>
      <c r="N812" t="s">
        <v>203</v>
      </c>
      <c r="O812" t="s">
        <v>151</v>
      </c>
      <c r="P812">
        <v>33</v>
      </c>
      <c r="Q812" t="s">
        <v>157</v>
      </c>
    </row>
    <row r="813" spans="1:17" x14ac:dyDescent="0.2">
      <c r="A813">
        <v>557919</v>
      </c>
      <c r="B813">
        <v>736</v>
      </c>
      <c r="C813" s="1" t="s">
        <v>99</v>
      </c>
      <c r="D813" s="10">
        <v>45237.07708333333</v>
      </c>
      <c r="E813" t="s">
        <v>191</v>
      </c>
      <c r="F813" t="s">
        <v>11</v>
      </c>
      <c r="G813">
        <v>1848</v>
      </c>
      <c r="H813" s="5" t="s">
        <v>99</v>
      </c>
      <c r="I813" s="15">
        <v>45237</v>
      </c>
      <c r="J813" s="15" t="s">
        <v>295</v>
      </c>
      <c r="K813" s="6">
        <v>7.7083333333333337E-2</v>
      </c>
      <c r="L813" t="s">
        <v>143</v>
      </c>
      <c r="M813">
        <v>150000</v>
      </c>
      <c r="N813" t="s">
        <v>204</v>
      </c>
      <c r="O813" t="s">
        <v>151</v>
      </c>
      <c r="P813">
        <v>50</v>
      </c>
      <c r="Q813" t="s">
        <v>155</v>
      </c>
    </row>
    <row r="814" spans="1:17" x14ac:dyDescent="0.2">
      <c r="A814">
        <v>558573</v>
      </c>
      <c r="B814">
        <v>342</v>
      </c>
      <c r="C814" s="1" t="s">
        <v>113</v>
      </c>
      <c r="D814" s="10">
        <v>45192.024305555555</v>
      </c>
      <c r="E814" t="s">
        <v>96</v>
      </c>
      <c r="F814" t="s">
        <v>12</v>
      </c>
      <c r="G814">
        <v>2278</v>
      </c>
      <c r="H814" s="5" t="s">
        <v>113</v>
      </c>
      <c r="I814" s="15">
        <v>45192</v>
      </c>
      <c r="J814" s="15" t="s">
        <v>234</v>
      </c>
      <c r="K814" s="6">
        <v>0.52430555555555558</v>
      </c>
      <c r="L814" t="s">
        <v>143</v>
      </c>
      <c r="M814">
        <v>150000</v>
      </c>
      <c r="N814" t="s">
        <v>205</v>
      </c>
      <c r="O814" t="s">
        <v>152</v>
      </c>
      <c r="P814">
        <v>65</v>
      </c>
      <c r="Q814" t="s">
        <v>154</v>
      </c>
    </row>
    <row r="815" spans="1:17" x14ac:dyDescent="0.2">
      <c r="A815">
        <v>559015</v>
      </c>
      <c r="B815">
        <v>785</v>
      </c>
      <c r="C815" s="1" t="s">
        <v>111</v>
      </c>
      <c r="D815" s="10">
        <v>45059.031944444447</v>
      </c>
      <c r="E815" t="s">
        <v>96</v>
      </c>
      <c r="F815" t="s">
        <v>48</v>
      </c>
      <c r="G815">
        <v>9196</v>
      </c>
      <c r="H815" s="5" t="s">
        <v>111</v>
      </c>
      <c r="I815" s="15">
        <v>45059</v>
      </c>
      <c r="J815" s="15" t="s">
        <v>233</v>
      </c>
      <c r="K815" s="6">
        <v>0.53194444444444444</v>
      </c>
      <c r="L815" t="s">
        <v>142</v>
      </c>
      <c r="M815">
        <v>100000</v>
      </c>
      <c r="N815" t="s">
        <v>209</v>
      </c>
      <c r="O815" t="s">
        <v>151</v>
      </c>
      <c r="P815">
        <v>44</v>
      </c>
      <c r="Q815" t="s">
        <v>155</v>
      </c>
    </row>
    <row r="816" spans="1:17" x14ac:dyDescent="0.2">
      <c r="A816">
        <v>559948</v>
      </c>
      <c r="B816">
        <v>1548</v>
      </c>
      <c r="C816" s="1" t="s">
        <v>100</v>
      </c>
      <c r="D816" s="10">
        <v>45177.979166666664</v>
      </c>
      <c r="E816" t="s">
        <v>191</v>
      </c>
      <c r="F816" t="s">
        <v>14</v>
      </c>
      <c r="G816">
        <v>1404</v>
      </c>
      <c r="H816" s="5" t="s">
        <v>100</v>
      </c>
      <c r="I816" s="15">
        <v>45177</v>
      </c>
      <c r="J816" s="15" t="s">
        <v>234</v>
      </c>
      <c r="K816" s="6">
        <v>0.47916666666666669</v>
      </c>
      <c r="L816" t="s">
        <v>142</v>
      </c>
      <c r="M816">
        <v>250000</v>
      </c>
      <c r="N816" t="s">
        <v>207</v>
      </c>
      <c r="O816" t="s">
        <v>151</v>
      </c>
      <c r="P816">
        <v>46</v>
      </c>
      <c r="Q816" t="s">
        <v>157</v>
      </c>
    </row>
    <row r="817" spans="1:17" x14ac:dyDescent="0.2">
      <c r="A817">
        <v>560179</v>
      </c>
      <c r="B817">
        <v>1615</v>
      </c>
      <c r="C817" s="1" t="s">
        <v>105</v>
      </c>
      <c r="D817" s="10">
        <v>45112.044444444444</v>
      </c>
      <c r="E817" t="s">
        <v>191</v>
      </c>
      <c r="F817" t="s">
        <v>49</v>
      </c>
      <c r="G817">
        <v>227</v>
      </c>
      <c r="H817" s="5" t="s">
        <v>105</v>
      </c>
      <c r="I817" s="15">
        <v>45112</v>
      </c>
      <c r="J817" s="15" t="s">
        <v>234</v>
      </c>
      <c r="K817" s="6">
        <v>4.4444444444444446E-2</v>
      </c>
      <c r="L817" t="s">
        <v>146</v>
      </c>
      <c r="M817">
        <v>100000</v>
      </c>
      <c r="N817" t="s">
        <v>222</v>
      </c>
      <c r="O817" t="s">
        <v>151</v>
      </c>
      <c r="P817">
        <v>64</v>
      </c>
      <c r="Q817" t="s">
        <v>157</v>
      </c>
    </row>
    <row r="818" spans="1:17" x14ac:dyDescent="0.2">
      <c r="A818">
        <v>560929</v>
      </c>
      <c r="B818">
        <v>995</v>
      </c>
      <c r="C818" s="1" t="s">
        <v>100</v>
      </c>
      <c r="D818" s="10">
        <v>44947.002083333333</v>
      </c>
      <c r="E818" t="s">
        <v>96</v>
      </c>
      <c r="F818" t="s">
        <v>16</v>
      </c>
      <c r="G818">
        <v>2792</v>
      </c>
      <c r="H818" s="5" t="s">
        <v>100</v>
      </c>
      <c r="I818" s="15">
        <v>44947</v>
      </c>
      <c r="J818" s="15" t="s">
        <v>232</v>
      </c>
      <c r="K818" s="6">
        <v>0.50208333333333333</v>
      </c>
      <c r="L818" t="s">
        <v>142</v>
      </c>
      <c r="M818">
        <v>80000</v>
      </c>
      <c r="N818" t="s">
        <v>208</v>
      </c>
      <c r="O818" t="s">
        <v>152</v>
      </c>
      <c r="P818">
        <v>82</v>
      </c>
      <c r="Q818" t="s">
        <v>155</v>
      </c>
    </row>
    <row r="819" spans="1:17" x14ac:dyDescent="0.2">
      <c r="A819">
        <v>561027</v>
      </c>
      <c r="B819">
        <v>185</v>
      </c>
      <c r="C819" s="1" t="s">
        <v>104</v>
      </c>
      <c r="D819" s="10">
        <v>45255.055555555555</v>
      </c>
      <c r="E819" t="s">
        <v>191</v>
      </c>
      <c r="F819" t="s">
        <v>17</v>
      </c>
      <c r="G819">
        <v>9534</v>
      </c>
      <c r="H819" s="5" t="s">
        <v>104</v>
      </c>
      <c r="I819" s="15">
        <v>45255</v>
      </c>
      <c r="J819" s="15" t="s">
        <v>295</v>
      </c>
      <c r="K819" s="6">
        <v>5.5555555555555552E-2</v>
      </c>
      <c r="L819" t="s">
        <v>142</v>
      </c>
      <c r="M819">
        <v>100000</v>
      </c>
      <c r="N819" t="s">
        <v>209</v>
      </c>
      <c r="O819" t="s">
        <v>151</v>
      </c>
      <c r="P819">
        <v>86</v>
      </c>
      <c r="Q819" t="s">
        <v>154</v>
      </c>
    </row>
    <row r="820" spans="1:17" x14ac:dyDescent="0.2">
      <c r="A820">
        <v>561399</v>
      </c>
      <c r="B820">
        <v>761</v>
      </c>
      <c r="C820" s="1" t="s">
        <v>108</v>
      </c>
      <c r="D820" s="10">
        <v>45225.033333333333</v>
      </c>
      <c r="E820" t="s">
        <v>96</v>
      </c>
      <c r="F820" t="s">
        <v>18</v>
      </c>
      <c r="G820">
        <v>6729</v>
      </c>
      <c r="H820" s="5" t="s">
        <v>108</v>
      </c>
      <c r="I820" s="15">
        <v>45225</v>
      </c>
      <c r="J820" s="15" t="s">
        <v>295</v>
      </c>
      <c r="K820" s="6">
        <v>0.53333333333333333</v>
      </c>
      <c r="L820" t="s">
        <v>145</v>
      </c>
      <c r="M820">
        <v>200000</v>
      </c>
      <c r="N820" t="s">
        <v>210</v>
      </c>
      <c r="O820" t="s">
        <v>151</v>
      </c>
      <c r="P820">
        <v>42</v>
      </c>
      <c r="Q820" t="s">
        <v>155</v>
      </c>
    </row>
    <row r="821" spans="1:17" x14ac:dyDescent="0.2">
      <c r="A821">
        <v>561511</v>
      </c>
      <c r="B821">
        <v>690</v>
      </c>
      <c r="C821" s="1" t="s">
        <v>109</v>
      </c>
      <c r="D821" s="10">
        <v>45261.052083333336</v>
      </c>
      <c r="E821" t="s">
        <v>96</v>
      </c>
      <c r="F821" t="s">
        <v>19</v>
      </c>
      <c r="G821">
        <v>6808</v>
      </c>
      <c r="H821" s="5" t="s">
        <v>109</v>
      </c>
      <c r="I821" s="15">
        <v>45261</v>
      </c>
      <c r="J821" s="15" t="s">
        <v>295</v>
      </c>
      <c r="K821" s="6">
        <v>5.2083333333333336E-2</v>
      </c>
      <c r="L821" t="s">
        <v>142</v>
      </c>
      <c r="M821">
        <v>150000</v>
      </c>
      <c r="N821" t="s">
        <v>211</v>
      </c>
      <c r="O821" t="s">
        <v>151</v>
      </c>
      <c r="P821">
        <v>37</v>
      </c>
      <c r="Q821" t="s">
        <v>155</v>
      </c>
    </row>
    <row r="822" spans="1:17" x14ac:dyDescent="0.2">
      <c r="A822">
        <v>561728</v>
      </c>
      <c r="B822">
        <v>1193</v>
      </c>
      <c r="C822" s="1" t="s">
        <v>107</v>
      </c>
      <c r="D822" s="10">
        <v>45011.959722222222</v>
      </c>
      <c r="E822" t="s">
        <v>98</v>
      </c>
      <c r="F822" t="s">
        <v>50</v>
      </c>
      <c r="G822">
        <v>9790</v>
      </c>
      <c r="H822" s="5" t="s">
        <v>107</v>
      </c>
      <c r="I822" s="15">
        <v>45011</v>
      </c>
      <c r="J822" s="15" t="s">
        <v>232</v>
      </c>
      <c r="K822" s="6">
        <v>0.4597222222222222</v>
      </c>
      <c r="L822" t="s">
        <v>143</v>
      </c>
      <c r="M822">
        <v>30000</v>
      </c>
      <c r="N822" t="s">
        <v>223</v>
      </c>
      <c r="O822" t="s">
        <v>151</v>
      </c>
      <c r="P822">
        <v>69</v>
      </c>
      <c r="Q822" t="s">
        <v>156</v>
      </c>
    </row>
    <row r="823" spans="1:17" x14ac:dyDescent="0.2">
      <c r="A823">
        <v>561976</v>
      </c>
      <c r="B823">
        <v>286</v>
      </c>
      <c r="C823" s="1" t="s">
        <v>99</v>
      </c>
      <c r="D823" s="10">
        <v>45020.010416666664</v>
      </c>
      <c r="E823" t="s">
        <v>96</v>
      </c>
      <c r="F823" t="s">
        <v>51</v>
      </c>
      <c r="G823">
        <v>3146</v>
      </c>
      <c r="H823" s="5" t="s">
        <v>99</v>
      </c>
      <c r="I823" s="15">
        <v>45020</v>
      </c>
      <c r="J823" s="15" t="s">
        <v>233</v>
      </c>
      <c r="K823" s="6">
        <v>0.51041666666666663</v>
      </c>
      <c r="L823" t="s">
        <v>145</v>
      </c>
      <c r="M823">
        <v>100000</v>
      </c>
      <c r="N823" t="s">
        <v>217</v>
      </c>
      <c r="O823" t="s">
        <v>151</v>
      </c>
      <c r="P823">
        <v>79</v>
      </c>
      <c r="Q823" t="s">
        <v>154</v>
      </c>
    </row>
    <row r="824" spans="1:17" x14ac:dyDescent="0.2">
      <c r="A824">
        <v>562295</v>
      </c>
      <c r="B824">
        <v>853</v>
      </c>
      <c r="C824" s="1" t="s">
        <v>99</v>
      </c>
      <c r="D824" s="10">
        <v>45128.001388888886</v>
      </c>
      <c r="E824" t="s">
        <v>191</v>
      </c>
      <c r="F824" t="s">
        <v>22</v>
      </c>
      <c r="G824">
        <v>3046</v>
      </c>
      <c r="H824" s="5" t="s">
        <v>99</v>
      </c>
      <c r="I824" s="15">
        <v>45128</v>
      </c>
      <c r="J824" s="15" t="s">
        <v>234</v>
      </c>
      <c r="K824" s="6">
        <v>0.50138888888888888</v>
      </c>
      <c r="L824" t="s">
        <v>144</v>
      </c>
      <c r="M824">
        <v>100000</v>
      </c>
      <c r="N824" t="s">
        <v>202</v>
      </c>
      <c r="O824" t="s">
        <v>151</v>
      </c>
      <c r="P824">
        <v>57</v>
      </c>
      <c r="Q824" t="s">
        <v>155</v>
      </c>
    </row>
    <row r="825" spans="1:17" x14ac:dyDescent="0.2">
      <c r="A825">
        <v>563443</v>
      </c>
      <c r="B825">
        <v>173</v>
      </c>
      <c r="C825" s="1" t="s">
        <v>113</v>
      </c>
      <c r="D825" s="10">
        <v>45228.025000000001</v>
      </c>
      <c r="E825" t="s">
        <v>96</v>
      </c>
      <c r="F825" t="s">
        <v>4</v>
      </c>
      <c r="G825">
        <v>8023</v>
      </c>
      <c r="H825" s="5" t="s">
        <v>113</v>
      </c>
      <c r="I825" s="15">
        <v>45228</v>
      </c>
      <c r="J825" s="15" t="s">
        <v>295</v>
      </c>
      <c r="K825" s="6">
        <v>0.52500000000000002</v>
      </c>
      <c r="L825" t="s">
        <v>142</v>
      </c>
      <c r="M825">
        <v>200000</v>
      </c>
      <c r="N825" t="s">
        <v>197</v>
      </c>
      <c r="O825" t="s">
        <v>151</v>
      </c>
      <c r="P825">
        <v>59</v>
      </c>
      <c r="Q825" t="s">
        <v>154</v>
      </c>
    </row>
    <row r="826" spans="1:17" x14ac:dyDescent="0.2">
      <c r="A826">
        <v>563575</v>
      </c>
      <c r="B826">
        <v>947</v>
      </c>
      <c r="C826" s="1" t="s">
        <v>101</v>
      </c>
      <c r="D826" s="10">
        <v>45021.986805555556</v>
      </c>
      <c r="E826" t="s">
        <v>97</v>
      </c>
      <c r="F826" t="s">
        <v>39</v>
      </c>
      <c r="G826">
        <v>2260</v>
      </c>
      <c r="H826" s="5" t="s">
        <v>101</v>
      </c>
      <c r="I826" s="15">
        <v>45021</v>
      </c>
      <c r="J826" s="15" t="s">
        <v>233</v>
      </c>
      <c r="K826" s="6">
        <v>0.48680555555555555</v>
      </c>
      <c r="L826" t="s">
        <v>146</v>
      </c>
      <c r="M826">
        <v>100000</v>
      </c>
      <c r="N826" t="s">
        <v>212</v>
      </c>
      <c r="O826" t="s">
        <v>152</v>
      </c>
      <c r="P826">
        <v>22</v>
      </c>
      <c r="Q826" t="s">
        <v>155</v>
      </c>
    </row>
    <row r="827" spans="1:17" x14ac:dyDescent="0.2">
      <c r="A827">
        <v>564076</v>
      </c>
      <c r="B827">
        <v>1862</v>
      </c>
      <c r="C827" s="1" t="s">
        <v>101</v>
      </c>
      <c r="D827" s="10">
        <v>45076.993750000001</v>
      </c>
      <c r="E827" t="s">
        <v>97</v>
      </c>
      <c r="F827" t="s">
        <v>9</v>
      </c>
      <c r="G827">
        <v>7241</v>
      </c>
      <c r="H827" s="5" t="s">
        <v>101</v>
      </c>
      <c r="I827" s="15">
        <v>45076</v>
      </c>
      <c r="J827" s="15" t="s">
        <v>233</v>
      </c>
      <c r="K827" s="6">
        <v>0.49375000000000002</v>
      </c>
      <c r="L827" t="s">
        <v>144</v>
      </c>
      <c r="M827">
        <v>150000</v>
      </c>
      <c r="N827" t="s">
        <v>202</v>
      </c>
      <c r="O827" t="s">
        <v>152</v>
      </c>
      <c r="P827">
        <v>70</v>
      </c>
      <c r="Q827" t="s">
        <v>157</v>
      </c>
    </row>
    <row r="828" spans="1:17" x14ac:dyDescent="0.2">
      <c r="A828">
        <v>564478</v>
      </c>
      <c r="B828">
        <v>1827</v>
      </c>
      <c r="C828" s="1" t="s">
        <v>99</v>
      </c>
      <c r="D828" s="10">
        <v>44967.020138888889</v>
      </c>
      <c r="E828" t="s">
        <v>96</v>
      </c>
      <c r="F828" t="s">
        <v>32</v>
      </c>
      <c r="G828">
        <v>4891</v>
      </c>
      <c r="H828" s="5" t="s">
        <v>99</v>
      </c>
      <c r="I828" s="15">
        <v>44967</v>
      </c>
      <c r="J828" s="15" t="s">
        <v>232</v>
      </c>
      <c r="K828" s="6">
        <v>0.52013888888888893</v>
      </c>
      <c r="L828" t="s">
        <v>145</v>
      </c>
      <c r="M828">
        <v>80000</v>
      </c>
      <c r="N828" t="s">
        <v>217</v>
      </c>
      <c r="O828" t="s">
        <v>151</v>
      </c>
      <c r="P828">
        <v>61</v>
      </c>
      <c r="Q828" t="s">
        <v>157</v>
      </c>
    </row>
    <row r="829" spans="1:17" x14ac:dyDescent="0.2">
      <c r="A829">
        <v>565068</v>
      </c>
      <c r="B829">
        <v>1689</v>
      </c>
      <c r="C829" s="1" t="s">
        <v>101</v>
      </c>
      <c r="D829" s="10">
        <v>45087.972916666666</v>
      </c>
      <c r="E829" t="s">
        <v>191</v>
      </c>
      <c r="F829" t="s">
        <v>41</v>
      </c>
      <c r="G829">
        <v>1282</v>
      </c>
      <c r="H829" s="5" t="s">
        <v>101</v>
      </c>
      <c r="I829" s="15">
        <v>45087</v>
      </c>
      <c r="J829" s="15" t="s">
        <v>233</v>
      </c>
      <c r="K829" s="6">
        <v>0.47291666666666665</v>
      </c>
      <c r="L829" t="s">
        <v>145</v>
      </c>
      <c r="M829">
        <v>150000</v>
      </c>
      <c r="N829" t="s">
        <v>203</v>
      </c>
      <c r="O829" t="s">
        <v>151</v>
      </c>
      <c r="P829">
        <v>50</v>
      </c>
      <c r="Q829" t="s">
        <v>157</v>
      </c>
    </row>
    <row r="830" spans="1:17" x14ac:dyDescent="0.2">
      <c r="A830">
        <v>565931</v>
      </c>
      <c r="B830">
        <v>256</v>
      </c>
      <c r="C830" s="1" t="s">
        <v>101</v>
      </c>
      <c r="D830" s="10">
        <v>45129.013888888891</v>
      </c>
      <c r="E830" t="s">
        <v>191</v>
      </c>
      <c r="F830" t="s">
        <v>13</v>
      </c>
      <c r="G830">
        <v>9251</v>
      </c>
      <c r="H830" s="5" t="s">
        <v>101</v>
      </c>
      <c r="I830" s="15">
        <v>45129</v>
      </c>
      <c r="J830" s="15" t="s">
        <v>234</v>
      </c>
      <c r="K830" s="6">
        <v>0.51388888888888884</v>
      </c>
      <c r="L830" t="s">
        <v>143</v>
      </c>
      <c r="M830">
        <v>150000</v>
      </c>
      <c r="N830" t="s">
        <v>206</v>
      </c>
      <c r="O830" t="s">
        <v>151</v>
      </c>
      <c r="P830">
        <v>72</v>
      </c>
      <c r="Q830" t="s">
        <v>154</v>
      </c>
    </row>
    <row r="831" spans="1:17" x14ac:dyDescent="0.2">
      <c r="A831">
        <v>566436</v>
      </c>
      <c r="B831">
        <v>1406</v>
      </c>
      <c r="C831" s="1" t="s">
        <v>101</v>
      </c>
      <c r="D831" s="10">
        <v>45277.938888888886</v>
      </c>
      <c r="E831" t="s">
        <v>96</v>
      </c>
      <c r="F831" t="s">
        <v>27</v>
      </c>
      <c r="G831">
        <v>806</v>
      </c>
      <c r="H831" s="5" t="s">
        <v>101</v>
      </c>
      <c r="I831" s="15">
        <v>45277</v>
      </c>
      <c r="J831" s="15" t="s">
        <v>295</v>
      </c>
      <c r="K831" s="6">
        <v>0.43888888888888888</v>
      </c>
      <c r="L831" t="s">
        <v>142</v>
      </c>
      <c r="M831">
        <v>1000000</v>
      </c>
      <c r="N831" t="s">
        <v>209</v>
      </c>
      <c r="O831" t="s">
        <v>151</v>
      </c>
      <c r="P831">
        <v>18</v>
      </c>
      <c r="Q831" t="s">
        <v>156</v>
      </c>
    </row>
    <row r="832" spans="1:17" x14ac:dyDescent="0.2">
      <c r="A832">
        <v>566985</v>
      </c>
      <c r="B832">
        <v>146</v>
      </c>
      <c r="C832" s="1" t="s">
        <v>103</v>
      </c>
      <c r="D832" s="10">
        <v>45104.033333333333</v>
      </c>
      <c r="E832" t="s">
        <v>96</v>
      </c>
      <c r="F832" t="s">
        <v>76</v>
      </c>
      <c r="G832">
        <v>3344</v>
      </c>
      <c r="H832" s="5" t="s">
        <v>103</v>
      </c>
      <c r="I832" s="15">
        <v>45104</v>
      </c>
      <c r="J832" s="15" t="s">
        <v>233</v>
      </c>
      <c r="K832" s="6">
        <v>0.53333333333333333</v>
      </c>
      <c r="L832" t="s">
        <v>142</v>
      </c>
      <c r="M832">
        <v>80000</v>
      </c>
      <c r="N832" t="s">
        <v>201</v>
      </c>
      <c r="O832" t="s">
        <v>151</v>
      </c>
      <c r="P832">
        <v>85</v>
      </c>
      <c r="Q832" t="s">
        <v>154</v>
      </c>
    </row>
    <row r="833" spans="1:17" x14ac:dyDescent="0.2">
      <c r="A833">
        <v>568627</v>
      </c>
      <c r="B833">
        <v>428</v>
      </c>
      <c r="C833" s="1" t="s">
        <v>101</v>
      </c>
      <c r="D833" s="10">
        <v>44965.959027777775</v>
      </c>
      <c r="E833" t="s">
        <v>191</v>
      </c>
      <c r="F833" t="s">
        <v>81</v>
      </c>
      <c r="G833">
        <v>8884</v>
      </c>
      <c r="H833" s="5" t="s">
        <v>101</v>
      </c>
      <c r="I833" s="15">
        <v>44965</v>
      </c>
      <c r="J833" s="15" t="s">
        <v>232</v>
      </c>
      <c r="K833" s="6">
        <v>0.45902777777777776</v>
      </c>
      <c r="L833" t="s">
        <v>143</v>
      </c>
      <c r="M833">
        <v>250000</v>
      </c>
      <c r="N833" t="s">
        <v>221</v>
      </c>
      <c r="O833" t="s">
        <v>152</v>
      </c>
      <c r="P833">
        <v>87</v>
      </c>
      <c r="Q833" t="s">
        <v>154</v>
      </c>
    </row>
    <row r="834" spans="1:17" x14ac:dyDescent="0.2">
      <c r="A834">
        <v>568799</v>
      </c>
      <c r="B834">
        <v>1429</v>
      </c>
      <c r="C834" s="1" t="s">
        <v>104</v>
      </c>
      <c r="D834" s="10">
        <v>45210.993750000001</v>
      </c>
      <c r="E834" t="s">
        <v>96</v>
      </c>
      <c r="F834" t="s">
        <v>14</v>
      </c>
      <c r="G834">
        <v>9085</v>
      </c>
      <c r="H834" s="5" t="s">
        <v>104</v>
      </c>
      <c r="I834" s="15">
        <v>45210</v>
      </c>
      <c r="J834" s="15" t="s">
        <v>295</v>
      </c>
      <c r="K834" s="6">
        <v>0.49375000000000002</v>
      </c>
      <c r="L834" t="s">
        <v>142</v>
      </c>
      <c r="M834">
        <v>250000</v>
      </c>
      <c r="N834" t="s">
        <v>207</v>
      </c>
      <c r="O834" t="s">
        <v>152</v>
      </c>
      <c r="P834">
        <v>47</v>
      </c>
      <c r="Q834" t="s">
        <v>156</v>
      </c>
    </row>
    <row r="835" spans="1:17" x14ac:dyDescent="0.2">
      <c r="A835">
        <v>568873</v>
      </c>
      <c r="B835">
        <v>435</v>
      </c>
      <c r="C835" s="1" t="s">
        <v>113</v>
      </c>
      <c r="D835" s="10">
        <v>45031.945138888892</v>
      </c>
      <c r="E835" t="s">
        <v>96</v>
      </c>
      <c r="F835" t="s">
        <v>24</v>
      </c>
      <c r="G835">
        <v>8247</v>
      </c>
      <c r="H835" s="5" t="s">
        <v>113</v>
      </c>
      <c r="I835" s="15">
        <v>45031</v>
      </c>
      <c r="J835" s="15" t="s">
        <v>233</v>
      </c>
      <c r="K835" s="6">
        <v>0.44513888888888886</v>
      </c>
      <c r="L835" t="s">
        <v>143</v>
      </c>
      <c r="M835">
        <v>200000</v>
      </c>
      <c r="N835" t="s">
        <v>214</v>
      </c>
      <c r="O835" t="s">
        <v>152</v>
      </c>
      <c r="P835">
        <v>89</v>
      </c>
      <c r="Q835" t="s">
        <v>154</v>
      </c>
    </row>
    <row r="836" spans="1:17" x14ac:dyDescent="0.2">
      <c r="A836">
        <v>568908</v>
      </c>
      <c r="B836">
        <v>1297</v>
      </c>
      <c r="C836" s="1" t="s">
        <v>99</v>
      </c>
      <c r="D836" s="10">
        <v>45073.952777777777</v>
      </c>
      <c r="E836" t="s">
        <v>96</v>
      </c>
      <c r="F836" t="s">
        <v>86</v>
      </c>
      <c r="G836">
        <v>3377</v>
      </c>
      <c r="H836" s="5" t="s">
        <v>99</v>
      </c>
      <c r="I836" s="15">
        <v>45073</v>
      </c>
      <c r="J836" s="15" t="s">
        <v>233</v>
      </c>
      <c r="K836" s="6">
        <v>0.45277777777777778</v>
      </c>
      <c r="L836" t="s">
        <v>144</v>
      </c>
      <c r="M836">
        <v>100000</v>
      </c>
      <c r="N836" t="s">
        <v>216</v>
      </c>
      <c r="O836" t="s">
        <v>152</v>
      </c>
      <c r="P836">
        <v>86</v>
      </c>
      <c r="Q836" t="s">
        <v>156</v>
      </c>
    </row>
    <row r="837" spans="1:17" x14ac:dyDescent="0.2">
      <c r="A837">
        <v>569033</v>
      </c>
      <c r="B837">
        <v>674</v>
      </c>
      <c r="C837" s="1" t="s">
        <v>99</v>
      </c>
      <c r="D837" s="10">
        <v>45230.99722222222</v>
      </c>
      <c r="E837" t="s">
        <v>98</v>
      </c>
      <c r="F837" t="s">
        <v>8</v>
      </c>
      <c r="G837">
        <v>8931</v>
      </c>
      <c r="H837" s="5" t="s">
        <v>99</v>
      </c>
      <c r="I837" s="15">
        <v>45230</v>
      </c>
      <c r="J837" s="15" t="s">
        <v>295</v>
      </c>
      <c r="K837" s="6">
        <v>0.49722222222222223</v>
      </c>
      <c r="L837" t="s">
        <v>142</v>
      </c>
      <c r="M837">
        <v>200000</v>
      </c>
      <c r="N837" t="s">
        <v>201</v>
      </c>
      <c r="O837" t="s">
        <v>152</v>
      </c>
      <c r="P837">
        <v>71</v>
      </c>
      <c r="Q837" t="s">
        <v>155</v>
      </c>
    </row>
    <row r="838" spans="1:17" x14ac:dyDescent="0.2">
      <c r="A838">
        <v>569318</v>
      </c>
      <c r="B838">
        <v>30</v>
      </c>
      <c r="C838" s="1" t="s">
        <v>100</v>
      </c>
      <c r="D838" s="10">
        <v>44972.0625</v>
      </c>
      <c r="E838" t="s">
        <v>96</v>
      </c>
      <c r="F838" t="s">
        <v>90</v>
      </c>
      <c r="G838">
        <v>3887</v>
      </c>
      <c r="H838" s="5" t="s">
        <v>100</v>
      </c>
      <c r="I838" s="15">
        <v>44972</v>
      </c>
      <c r="J838" s="15" t="s">
        <v>232</v>
      </c>
      <c r="K838" s="6">
        <v>6.25E-2</v>
      </c>
      <c r="L838" t="s">
        <v>142</v>
      </c>
      <c r="M838">
        <v>150000</v>
      </c>
      <c r="N838" t="s">
        <v>208</v>
      </c>
      <c r="O838" t="s">
        <v>152</v>
      </c>
      <c r="P838">
        <v>72</v>
      </c>
      <c r="Q838" t="s">
        <v>154</v>
      </c>
    </row>
    <row r="839" spans="1:17" x14ac:dyDescent="0.2">
      <c r="A839">
        <v>569689</v>
      </c>
      <c r="B839">
        <v>1492</v>
      </c>
      <c r="C839" s="1" t="s">
        <v>99</v>
      </c>
      <c r="D839" s="10">
        <v>45227.072916666664</v>
      </c>
      <c r="E839" t="s">
        <v>98</v>
      </c>
      <c r="F839" t="s">
        <v>43</v>
      </c>
      <c r="G839">
        <v>2171</v>
      </c>
      <c r="H839" s="5" t="s">
        <v>99</v>
      </c>
      <c r="I839" s="15">
        <v>45227</v>
      </c>
      <c r="J839" s="15" t="s">
        <v>295</v>
      </c>
      <c r="K839" s="6">
        <v>7.2916666666666671E-2</v>
      </c>
      <c r="L839" t="s">
        <v>145</v>
      </c>
      <c r="M839">
        <v>1000000</v>
      </c>
      <c r="N839" t="s">
        <v>203</v>
      </c>
      <c r="O839" t="s">
        <v>152</v>
      </c>
      <c r="P839">
        <v>78</v>
      </c>
      <c r="Q839" t="s">
        <v>156</v>
      </c>
    </row>
    <row r="840" spans="1:17" x14ac:dyDescent="0.2">
      <c r="A840">
        <v>570816</v>
      </c>
      <c r="B840">
        <v>1266</v>
      </c>
      <c r="C840" s="1" t="s">
        <v>99</v>
      </c>
      <c r="D840" s="10">
        <v>44927.123611111114</v>
      </c>
      <c r="E840" t="s">
        <v>98</v>
      </c>
      <c r="F840" t="s">
        <v>91</v>
      </c>
      <c r="G840">
        <v>1195</v>
      </c>
      <c r="H840" s="5" t="s">
        <v>99</v>
      </c>
      <c r="I840" s="15">
        <v>44927</v>
      </c>
      <c r="J840" s="15" t="s">
        <v>232</v>
      </c>
      <c r="K840" s="6">
        <v>0.12361111111111112</v>
      </c>
      <c r="L840" t="s">
        <v>142</v>
      </c>
      <c r="M840">
        <v>100000</v>
      </c>
      <c r="N840" t="s">
        <v>213</v>
      </c>
      <c r="O840" t="s">
        <v>151</v>
      </c>
      <c r="P840">
        <v>42</v>
      </c>
      <c r="Q840" t="s">
        <v>156</v>
      </c>
    </row>
    <row r="841" spans="1:17" x14ac:dyDescent="0.2">
      <c r="A841">
        <v>571316</v>
      </c>
      <c r="B841">
        <v>1052</v>
      </c>
      <c r="C841" s="1" t="s">
        <v>109</v>
      </c>
      <c r="D841" s="10">
        <v>45064.082638888889</v>
      </c>
      <c r="E841" t="s">
        <v>98</v>
      </c>
      <c r="F841" t="s">
        <v>27</v>
      </c>
      <c r="G841">
        <v>1658</v>
      </c>
      <c r="H841" s="5" t="s">
        <v>109</v>
      </c>
      <c r="I841" s="15">
        <v>45064</v>
      </c>
      <c r="J841" s="15" t="s">
        <v>233</v>
      </c>
      <c r="K841" s="6">
        <v>8.2638888888888887E-2</v>
      </c>
      <c r="L841" t="s">
        <v>142</v>
      </c>
      <c r="M841">
        <v>1000000</v>
      </c>
      <c r="N841" t="s">
        <v>209</v>
      </c>
      <c r="O841" t="s">
        <v>151</v>
      </c>
      <c r="P841">
        <v>66</v>
      </c>
      <c r="Q841" t="s">
        <v>156</v>
      </c>
    </row>
    <row r="842" spans="1:17" x14ac:dyDescent="0.2">
      <c r="A842">
        <v>571695</v>
      </c>
      <c r="B842">
        <v>53</v>
      </c>
      <c r="C842" s="8" t="s">
        <v>107</v>
      </c>
      <c r="D842" s="10">
        <v>45140.027083333334</v>
      </c>
      <c r="E842" t="s">
        <v>97</v>
      </c>
      <c r="F842" t="s">
        <v>29</v>
      </c>
      <c r="G842">
        <v>832</v>
      </c>
      <c r="H842" s="5" t="s">
        <v>107</v>
      </c>
      <c r="I842" s="15">
        <v>45140</v>
      </c>
      <c r="J842" s="15" t="s">
        <v>234</v>
      </c>
      <c r="K842" s="6">
        <v>0.52708333333333335</v>
      </c>
      <c r="L842" t="s">
        <v>143</v>
      </c>
      <c r="M842">
        <v>150000</v>
      </c>
      <c r="N842" t="s">
        <v>214</v>
      </c>
      <c r="O842" t="s">
        <v>151</v>
      </c>
      <c r="P842">
        <v>62</v>
      </c>
      <c r="Q842" t="s">
        <v>154</v>
      </c>
    </row>
    <row r="843" spans="1:17" x14ac:dyDescent="0.2">
      <c r="A843">
        <v>571764</v>
      </c>
      <c r="B843">
        <v>568</v>
      </c>
      <c r="C843" s="5" t="s">
        <v>107</v>
      </c>
      <c r="D843" s="10">
        <v>45146.008333333331</v>
      </c>
      <c r="E843" t="s">
        <v>96</v>
      </c>
      <c r="F843" t="s">
        <v>34</v>
      </c>
      <c r="G843">
        <v>1895</v>
      </c>
      <c r="H843" s="5" t="s">
        <v>100</v>
      </c>
      <c r="I843" s="15">
        <v>45146</v>
      </c>
      <c r="J843" s="15" t="s">
        <v>234</v>
      </c>
      <c r="K843" s="6">
        <v>0.5083333333333333</v>
      </c>
      <c r="L843" t="s">
        <v>144</v>
      </c>
      <c r="M843">
        <v>150000</v>
      </c>
      <c r="N843" t="s">
        <v>218</v>
      </c>
      <c r="O843" t="s">
        <v>152</v>
      </c>
      <c r="P843">
        <v>82</v>
      </c>
      <c r="Q843" t="s">
        <v>155</v>
      </c>
    </row>
    <row r="844" spans="1:17" x14ac:dyDescent="0.2">
      <c r="A844">
        <v>572221</v>
      </c>
      <c r="B844">
        <v>1253</v>
      </c>
      <c r="C844" s="5" t="s">
        <v>99</v>
      </c>
      <c r="D844" s="10">
        <v>45132.977083333331</v>
      </c>
      <c r="E844" t="s">
        <v>191</v>
      </c>
      <c r="F844" t="s">
        <v>27</v>
      </c>
      <c r="G844">
        <v>9800</v>
      </c>
      <c r="H844" s="5" t="s">
        <v>99</v>
      </c>
      <c r="I844" s="15">
        <v>45132</v>
      </c>
      <c r="J844" s="15" t="s">
        <v>234</v>
      </c>
      <c r="K844" s="6">
        <v>0.47708333333333336</v>
      </c>
      <c r="L844" t="s">
        <v>142</v>
      </c>
      <c r="M844">
        <v>1000000</v>
      </c>
      <c r="N844" t="s">
        <v>209</v>
      </c>
      <c r="O844" t="s">
        <v>152</v>
      </c>
      <c r="P844">
        <v>79</v>
      </c>
      <c r="Q844" t="s">
        <v>156</v>
      </c>
    </row>
    <row r="845" spans="1:17" x14ac:dyDescent="0.2">
      <c r="A845">
        <v>572449</v>
      </c>
      <c r="B845">
        <v>43</v>
      </c>
      <c r="C845" s="5" t="s">
        <v>113</v>
      </c>
      <c r="D845" s="10">
        <v>45047.995833333334</v>
      </c>
      <c r="E845" t="s">
        <v>98</v>
      </c>
      <c r="F845" t="s">
        <v>87</v>
      </c>
      <c r="G845">
        <v>2289</v>
      </c>
      <c r="H845" s="5" t="s">
        <v>106</v>
      </c>
      <c r="I845" s="15">
        <v>45047</v>
      </c>
      <c r="J845" s="15" t="s">
        <v>233</v>
      </c>
      <c r="K845" s="6">
        <v>0.49583333333333335</v>
      </c>
      <c r="L845" t="s">
        <v>144</v>
      </c>
      <c r="M845">
        <v>100000</v>
      </c>
      <c r="N845" t="s">
        <v>216</v>
      </c>
      <c r="O845" t="s">
        <v>152</v>
      </c>
      <c r="P845">
        <v>55</v>
      </c>
      <c r="Q845" t="s">
        <v>154</v>
      </c>
    </row>
    <row r="846" spans="1:17" x14ac:dyDescent="0.2">
      <c r="A846">
        <v>573127</v>
      </c>
      <c r="B846">
        <v>1960</v>
      </c>
      <c r="C846" s="5" t="s">
        <v>100</v>
      </c>
      <c r="D846" s="10">
        <v>45277.938194444447</v>
      </c>
      <c r="E846" t="s">
        <v>96</v>
      </c>
      <c r="F846" t="s">
        <v>40</v>
      </c>
      <c r="G846">
        <v>7588</v>
      </c>
      <c r="H846" s="5" t="s">
        <v>111</v>
      </c>
      <c r="I846" s="15">
        <v>45277</v>
      </c>
      <c r="J846" s="15" t="s">
        <v>295</v>
      </c>
      <c r="K846" s="6">
        <v>0.43819444444444444</v>
      </c>
      <c r="L846" t="s">
        <v>142</v>
      </c>
      <c r="M846">
        <v>150000</v>
      </c>
      <c r="N846" t="s">
        <v>207</v>
      </c>
      <c r="O846" t="s">
        <v>152</v>
      </c>
      <c r="P846">
        <v>33</v>
      </c>
      <c r="Q846" t="s">
        <v>157</v>
      </c>
    </row>
    <row r="847" spans="1:17" x14ac:dyDescent="0.2">
      <c r="A847">
        <v>573331</v>
      </c>
      <c r="B847">
        <v>1045</v>
      </c>
      <c r="C847" s="5" t="s">
        <v>99</v>
      </c>
      <c r="D847" s="10">
        <v>45201.054861111108</v>
      </c>
      <c r="E847" t="s">
        <v>98</v>
      </c>
      <c r="F847" t="s">
        <v>11</v>
      </c>
      <c r="G847">
        <v>8506</v>
      </c>
      <c r="H847" s="5" t="s">
        <v>105</v>
      </c>
      <c r="I847" s="15">
        <v>45201</v>
      </c>
      <c r="J847" s="15" t="s">
        <v>295</v>
      </c>
      <c r="K847" s="6">
        <v>5.486111111111111E-2</v>
      </c>
      <c r="L847" t="s">
        <v>143</v>
      </c>
      <c r="M847">
        <v>150000</v>
      </c>
      <c r="N847" t="s">
        <v>204</v>
      </c>
      <c r="O847" t="s">
        <v>152</v>
      </c>
      <c r="P847">
        <v>19</v>
      </c>
      <c r="Q847" t="s">
        <v>156</v>
      </c>
    </row>
    <row r="848" spans="1:17" x14ac:dyDescent="0.2">
      <c r="A848">
        <v>573406</v>
      </c>
      <c r="B848">
        <v>695</v>
      </c>
      <c r="C848" s="5" t="s">
        <v>99</v>
      </c>
      <c r="D848" s="10">
        <v>45188.998611111114</v>
      </c>
      <c r="E848" t="s">
        <v>96</v>
      </c>
      <c r="F848" t="s">
        <v>42</v>
      </c>
      <c r="G848">
        <v>989</v>
      </c>
      <c r="H848" s="5" t="s">
        <v>100</v>
      </c>
      <c r="I848" s="15">
        <v>45188</v>
      </c>
      <c r="J848" s="15" t="s">
        <v>234</v>
      </c>
      <c r="K848" s="6">
        <v>0.49861111111111112</v>
      </c>
      <c r="L848" t="s">
        <v>144</v>
      </c>
      <c r="M848">
        <v>100000</v>
      </c>
      <c r="N848" t="s">
        <v>219</v>
      </c>
      <c r="O848" t="s">
        <v>151</v>
      </c>
      <c r="P848">
        <v>25</v>
      </c>
      <c r="Q848" t="s">
        <v>155</v>
      </c>
    </row>
    <row r="849" spans="1:17" x14ac:dyDescent="0.2">
      <c r="A849">
        <v>573466</v>
      </c>
      <c r="B849">
        <v>1010</v>
      </c>
      <c r="C849" s="1" t="s">
        <v>105</v>
      </c>
      <c r="D849" s="10">
        <v>45153.01666666667</v>
      </c>
      <c r="E849" t="s">
        <v>98</v>
      </c>
      <c r="F849" t="s">
        <v>43</v>
      </c>
      <c r="G849">
        <v>8552</v>
      </c>
      <c r="H849" s="5" t="s">
        <v>105</v>
      </c>
      <c r="I849" s="15">
        <v>45153</v>
      </c>
      <c r="J849" s="15" t="s">
        <v>234</v>
      </c>
      <c r="K849" s="6">
        <v>0.51666666666666672</v>
      </c>
      <c r="L849" t="s">
        <v>145</v>
      </c>
      <c r="M849">
        <v>1000000</v>
      </c>
      <c r="N849" t="s">
        <v>203</v>
      </c>
      <c r="O849" t="s">
        <v>152</v>
      </c>
      <c r="P849">
        <v>28</v>
      </c>
      <c r="Q849" t="s">
        <v>156</v>
      </c>
    </row>
    <row r="850" spans="1:17" x14ac:dyDescent="0.2">
      <c r="A850">
        <v>573585</v>
      </c>
      <c r="B850">
        <v>97</v>
      </c>
      <c r="C850" s="1" t="s">
        <v>99</v>
      </c>
      <c r="D850" s="10">
        <v>45065.986805555556</v>
      </c>
      <c r="E850" t="s">
        <v>191</v>
      </c>
      <c r="F850" t="s">
        <v>44</v>
      </c>
      <c r="G850">
        <v>3551</v>
      </c>
      <c r="H850" s="5" t="s">
        <v>99</v>
      </c>
      <c r="I850" s="15">
        <v>45065</v>
      </c>
      <c r="J850" s="15" t="s">
        <v>233</v>
      </c>
      <c r="K850" s="6">
        <v>0.48680555555555555</v>
      </c>
      <c r="L850" t="s">
        <v>144</v>
      </c>
      <c r="M850">
        <v>150000</v>
      </c>
      <c r="N850" t="s">
        <v>199</v>
      </c>
      <c r="O850" t="s">
        <v>152</v>
      </c>
      <c r="P850">
        <v>84</v>
      </c>
      <c r="Q850" t="s">
        <v>154</v>
      </c>
    </row>
    <row r="851" spans="1:17" x14ac:dyDescent="0.2">
      <c r="A851">
        <v>573613</v>
      </c>
      <c r="B851">
        <v>1477</v>
      </c>
      <c r="C851" s="1" t="s">
        <v>105</v>
      </c>
      <c r="D851" s="10">
        <v>45156.053472222222</v>
      </c>
      <c r="E851" t="s">
        <v>97</v>
      </c>
      <c r="F851" t="s">
        <v>81</v>
      </c>
      <c r="G851">
        <v>7954</v>
      </c>
      <c r="H851" s="5" t="s">
        <v>105</v>
      </c>
      <c r="I851" s="15">
        <v>45156</v>
      </c>
      <c r="J851" s="15" t="s">
        <v>234</v>
      </c>
      <c r="K851" s="6">
        <v>5.347222222222222E-2</v>
      </c>
      <c r="L851" t="s">
        <v>143</v>
      </c>
      <c r="M851">
        <v>250000</v>
      </c>
      <c r="N851" t="s">
        <v>221</v>
      </c>
      <c r="O851" t="s">
        <v>152</v>
      </c>
      <c r="P851">
        <v>73</v>
      </c>
      <c r="Q851" t="s">
        <v>156</v>
      </c>
    </row>
    <row r="852" spans="1:17" x14ac:dyDescent="0.2">
      <c r="A852">
        <v>573756</v>
      </c>
      <c r="B852">
        <v>1900</v>
      </c>
      <c r="C852" s="1" t="s">
        <v>106</v>
      </c>
      <c r="D852" s="10">
        <v>45179.052083333336</v>
      </c>
      <c r="E852" t="s">
        <v>191</v>
      </c>
      <c r="F852" t="s">
        <v>14</v>
      </c>
      <c r="G852">
        <v>7244</v>
      </c>
      <c r="H852" s="5" t="s">
        <v>106</v>
      </c>
      <c r="I852" s="15">
        <v>45179</v>
      </c>
      <c r="J852" s="15" t="s">
        <v>234</v>
      </c>
      <c r="K852" s="6">
        <v>5.2083333333333336E-2</v>
      </c>
      <c r="L852" t="s">
        <v>142</v>
      </c>
      <c r="M852">
        <v>250000</v>
      </c>
      <c r="N852" t="s">
        <v>207</v>
      </c>
      <c r="O852" t="s">
        <v>152</v>
      </c>
      <c r="P852">
        <v>28</v>
      </c>
      <c r="Q852" t="s">
        <v>157</v>
      </c>
    </row>
    <row r="853" spans="1:17" x14ac:dyDescent="0.2">
      <c r="A853">
        <v>574480</v>
      </c>
      <c r="B853">
        <v>1907</v>
      </c>
      <c r="C853" s="1" t="s">
        <v>101</v>
      </c>
      <c r="D853" s="10">
        <v>45197.015972222223</v>
      </c>
      <c r="E853" t="s">
        <v>191</v>
      </c>
      <c r="F853" t="s">
        <v>6</v>
      </c>
      <c r="G853">
        <v>6577</v>
      </c>
      <c r="H853" s="5" t="s">
        <v>101</v>
      </c>
      <c r="I853" s="15">
        <v>45197</v>
      </c>
      <c r="J853" s="15" t="s">
        <v>234</v>
      </c>
      <c r="K853" s="6">
        <v>0.51597222222222228</v>
      </c>
      <c r="L853" t="s">
        <v>144</v>
      </c>
      <c r="M853">
        <v>100000</v>
      </c>
      <c r="N853" t="s">
        <v>199</v>
      </c>
      <c r="O853" t="s">
        <v>152</v>
      </c>
      <c r="P853">
        <v>83</v>
      </c>
      <c r="Q853" t="s">
        <v>157</v>
      </c>
    </row>
    <row r="854" spans="1:17" x14ac:dyDescent="0.2">
      <c r="A854">
        <v>574845</v>
      </c>
      <c r="B854">
        <v>357</v>
      </c>
      <c r="C854" s="1" t="s">
        <v>103</v>
      </c>
      <c r="D854" s="10">
        <v>45266.986111111109</v>
      </c>
      <c r="E854" t="s">
        <v>96</v>
      </c>
      <c r="F854" t="s">
        <v>7</v>
      </c>
      <c r="G854">
        <v>1101</v>
      </c>
      <c r="H854" s="5" t="s">
        <v>103</v>
      </c>
      <c r="I854" s="15">
        <v>45266</v>
      </c>
      <c r="J854" s="15" t="s">
        <v>295</v>
      </c>
      <c r="K854" s="6">
        <v>0.4861111111111111</v>
      </c>
      <c r="L854" t="s">
        <v>144</v>
      </c>
      <c r="M854">
        <v>150000</v>
      </c>
      <c r="N854" t="s">
        <v>200</v>
      </c>
      <c r="O854" t="s">
        <v>152</v>
      </c>
      <c r="P854">
        <v>70</v>
      </c>
      <c r="Q854" t="s">
        <v>154</v>
      </c>
    </row>
    <row r="855" spans="1:17" x14ac:dyDescent="0.2">
      <c r="A855">
        <v>575162</v>
      </c>
      <c r="B855">
        <v>1040</v>
      </c>
      <c r="C855" s="1" t="s">
        <v>113</v>
      </c>
      <c r="D855" s="10">
        <v>45251.96875</v>
      </c>
      <c r="E855" t="s">
        <v>98</v>
      </c>
      <c r="F855" t="s">
        <v>27</v>
      </c>
      <c r="G855">
        <v>1854</v>
      </c>
      <c r="H855" s="5" t="s">
        <v>113</v>
      </c>
      <c r="I855" s="15">
        <v>45251</v>
      </c>
      <c r="J855" s="15" t="s">
        <v>295</v>
      </c>
      <c r="K855" s="6">
        <v>0.46875</v>
      </c>
      <c r="L855" t="s">
        <v>142</v>
      </c>
      <c r="M855">
        <v>1000000</v>
      </c>
      <c r="N855" t="s">
        <v>209</v>
      </c>
      <c r="O855" t="s">
        <v>152</v>
      </c>
      <c r="P855">
        <v>63</v>
      </c>
      <c r="Q855" t="s">
        <v>156</v>
      </c>
    </row>
    <row r="856" spans="1:17" x14ac:dyDescent="0.2">
      <c r="A856">
        <v>576171</v>
      </c>
      <c r="B856">
        <v>707</v>
      </c>
      <c r="C856" s="1" t="s">
        <v>100</v>
      </c>
      <c r="D856" s="10">
        <v>45231.98333333333</v>
      </c>
      <c r="E856" t="s">
        <v>191</v>
      </c>
      <c r="F856" t="s">
        <v>43</v>
      </c>
      <c r="G856">
        <v>9989</v>
      </c>
      <c r="H856" s="5" t="s">
        <v>100</v>
      </c>
      <c r="I856" s="15">
        <v>45231</v>
      </c>
      <c r="J856" s="15" t="s">
        <v>295</v>
      </c>
      <c r="K856" s="6">
        <v>0.48333333333333334</v>
      </c>
      <c r="L856" t="s">
        <v>145</v>
      </c>
      <c r="M856">
        <v>1000000</v>
      </c>
      <c r="N856" t="s">
        <v>203</v>
      </c>
      <c r="O856" t="s">
        <v>151</v>
      </c>
      <c r="P856">
        <v>23</v>
      </c>
      <c r="Q856" t="s">
        <v>155</v>
      </c>
    </row>
    <row r="857" spans="1:17" x14ac:dyDescent="0.2">
      <c r="A857">
        <v>576486</v>
      </c>
      <c r="B857">
        <v>842</v>
      </c>
      <c r="C857" s="1" t="s">
        <v>100</v>
      </c>
      <c r="D857" s="10">
        <v>45097.068749999999</v>
      </c>
      <c r="E857" t="s">
        <v>96</v>
      </c>
      <c r="F857" t="s">
        <v>43</v>
      </c>
      <c r="G857">
        <v>2847</v>
      </c>
      <c r="H857" s="5" t="s">
        <v>100</v>
      </c>
      <c r="I857" s="15">
        <v>45097</v>
      </c>
      <c r="J857" s="15" t="s">
        <v>233</v>
      </c>
      <c r="K857" s="6">
        <v>6.8750000000000006E-2</v>
      </c>
      <c r="L857" t="s">
        <v>145</v>
      </c>
      <c r="M857">
        <v>1000000</v>
      </c>
      <c r="N857" t="s">
        <v>203</v>
      </c>
      <c r="O857" t="s">
        <v>151</v>
      </c>
      <c r="P857">
        <v>41</v>
      </c>
      <c r="Q857" t="s">
        <v>155</v>
      </c>
    </row>
    <row r="858" spans="1:17" x14ac:dyDescent="0.2">
      <c r="A858">
        <v>577243</v>
      </c>
      <c r="B858">
        <v>1283</v>
      </c>
      <c r="C858" s="1" t="s">
        <v>99</v>
      </c>
      <c r="D858" s="10">
        <v>44957.058333333334</v>
      </c>
      <c r="E858" t="s">
        <v>96</v>
      </c>
      <c r="F858" t="s">
        <v>49</v>
      </c>
      <c r="G858">
        <v>4138</v>
      </c>
      <c r="H858" s="5" t="s">
        <v>99</v>
      </c>
      <c r="I858" s="15">
        <v>44957</v>
      </c>
      <c r="J858" s="15" t="s">
        <v>232</v>
      </c>
      <c r="K858" s="6">
        <v>5.8333333333333334E-2</v>
      </c>
      <c r="L858" t="s">
        <v>146</v>
      </c>
      <c r="M858">
        <v>100000</v>
      </c>
      <c r="N858" t="s">
        <v>222</v>
      </c>
      <c r="O858" t="s">
        <v>151</v>
      </c>
      <c r="P858">
        <v>30</v>
      </c>
      <c r="Q858" t="s">
        <v>156</v>
      </c>
    </row>
    <row r="859" spans="1:17" x14ac:dyDescent="0.2">
      <c r="A859">
        <v>581118</v>
      </c>
      <c r="B859">
        <v>1199</v>
      </c>
      <c r="C859" s="1" t="s">
        <v>107</v>
      </c>
      <c r="D859" s="10">
        <v>45257.015277777777</v>
      </c>
      <c r="E859" t="s">
        <v>98</v>
      </c>
      <c r="F859" t="s">
        <v>50</v>
      </c>
      <c r="G859">
        <v>3254</v>
      </c>
      <c r="H859" s="5" t="s">
        <v>107</v>
      </c>
      <c r="I859" s="15">
        <v>45257</v>
      </c>
      <c r="J859" s="15" t="s">
        <v>295</v>
      </c>
      <c r="K859" s="6">
        <v>0.51527777777777772</v>
      </c>
      <c r="L859" t="s">
        <v>143</v>
      </c>
      <c r="M859">
        <v>30000</v>
      </c>
      <c r="N859" t="s">
        <v>223</v>
      </c>
      <c r="O859" t="s">
        <v>151</v>
      </c>
      <c r="P859">
        <v>38</v>
      </c>
      <c r="Q859" t="s">
        <v>156</v>
      </c>
    </row>
    <row r="860" spans="1:17" x14ac:dyDescent="0.2">
      <c r="A860">
        <v>581573</v>
      </c>
      <c r="B860">
        <v>1670</v>
      </c>
      <c r="C860" s="1" t="s">
        <v>99</v>
      </c>
      <c r="D860" s="10">
        <v>45146.04583333333</v>
      </c>
      <c r="E860" t="s">
        <v>97</v>
      </c>
      <c r="F860" t="s">
        <v>5</v>
      </c>
      <c r="G860">
        <v>8547</v>
      </c>
      <c r="H860" s="5" t="s">
        <v>99</v>
      </c>
      <c r="I860" s="15">
        <v>45146</v>
      </c>
      <c r="J860" s="15" t="s">
        <v>234</v>
      </c>
      <c r="K860" s="6">
        <v>4.583333333333333E-2</v>
      </c>
      <c r="L860" t="s">
        <v>143</v>
      </c>
      <c r="M860">
        <v>200000</v>
      </c>
      <c r="N860" t="s">
        <v>198</v>
      </c>
      <c r="O860" t="s">
        <v>152</v>
      </c>
      <c r="P860">
        <v>80</v>
      </c>
      <c r="Q860" t="s">
        <v>157</v>
      </c>
    </row>
    <row r="861" spans="1:17" x14ac:dyDescent="0.2">
      <c r="A861">
        <v>581918</v>
      </c>
      <c r="B861">
        <v>1617</v>
      </c>
      <c r="C861" s="1" t="s">
        <v>104</v>
      </c>
      <c r="D861" s="10">
        <v>45231.033333333333</v>
      </c>
      <c r="E861" t="s">
        <v>96</v>
      </c>
      <c r="F861" t="s">
        <v>46</v>
      </c>
      <c r="G861">
        <v>6030</v>
      </c>
      <c r="H861" s="5" t="s">
        <v>104</v>
      </c>
      <c r="I861" s="15">
        <v>45231</v>
      </c>
      <c r="J861" s="15" t="s">
        <v>295</v>
      </c>
      <c r="K861" s="6">
        <v>0.53333333333333333</v>
      </c>
      <c r="L861" t="s">
        <v>142</v>
      </c>
      <c r="M861">
        <v>200000</v>
      </c>
      <c r="N861" t="s">
        <v>211</v>
      </c>
      <c r="O861" t="s">
        <v>151</v>
      </c>
      <c r="P861">
        <v>50</v>
      </c>
      <c r="Q861" t="s">
        <v>157</v>
      </c>
    </row>
    <row r="862" spans="1:17" x14ac:dyDescent="0.2">
      <c r="A862">
        <v>582139</v>
      </c>
      <c r="B862">
        <v>170</v>
      </c>
      <c r="C862" s="1" t="s">
        <v>107</v>
      </c>
      <c r="D862" s="10">
        <v>45195.089583333334</v>
      </c>
      <c r="E862" t="s">
        <v>97</v>
      </c>
      <c r="F862" t="s">
        <v>82</v>
      </c>
      <c r="G862">
        <v>2002</v>
      </c>
      <c r="H862" s="5" t="s">
        <v>107</v>
      </c>
      <c r="I862" s="15">
        <v>45195</v>
      </c>
      <c r="J862" s="15" t="s">
        <v>234</v>
      </c>
      <c r="K862" s="6">
        <v>8.9583333333333334E-2</v>
      </c>
      <c r="L862" t="s">
        <v>142</v>
      </c>
      <c r="M862">
        <v>100000</v>
      </c>
      <c r="N862" t="s">
        <v>209</v>
      </c>
      <c r="O862" t="s">
        <v>151</v>
      </c>
      <c r="P862">
        <v>83</v>
      </c>
      <c r="Q862" t="s">
        <v>154</v>
      </c>
    </row>
    <row r="863" spans="1:17" x14ac:dyDescent="0.2">
      <c r="A863">
        <v>583059</v>
      </c>
      <c r="B863">
        <v>786</v>
      </c>
      <c r="C863" s="1" t="s">
        <v>108</v>
      </c>
      <c r="D863" s="10">
        <v>45240.952777777777</v>
      </c>
      <c r="E863" t="s">
        <v>98</v>
      </c>
      <c r="F863" t="s">
        <v>17</v>
      </c>
      <c r="G863">
        <v>6333</v>
      </c>
      <c r="H863" s="5" t="s">
        <v>108</v>
      </c>
      <c r="I863" s="15">
        <v>45240</v>
      </c>
      <c r="J863" s="15" t="s">
        <v>295</v>
      </c>
      <c r="K863" s="6">
        <v>0.45277777777777778</v>
      </c>
      <c r="L863" t="s">
        <v>142</v>
      </c>
      <c r="M863">
        <v>100000</v>
      </c>
      <c r="N863" t="s">
        <v>209</v>
      </c>
      <c r="O863" t="s">
        <v>151</v>
      </c>
      <c r="P863">
        <v>61</v>
      </c>
      <c r="Q863" t="s">
        <v>155</v>
      </c>
    </row>
    <row r="864" spans="1:17" x14ac:dyDescent="0.2">
      <c r="A864">
        <v>583129</v>
      </c>
      <c r="B864">
        <v>575</v>
      </c>
      <c r="C864" s="1" t="s">
        <v>113</v>
      </c>
      <c r="D864" s="10">
        <v>45248.953472222223</v>
      </c>
      <c r="E864" t="s">
        <v>191</v>
      </c>
      <c r="F864" t="s">
        <v>11</v>
      </c>
      <c r="G864">
        <v>7035</v>
      </c>
      <c r="H864" s="5" t="s">
        <v>113</v>
      </c>
      <c r="I864" s="15">
        <v>45248</v>
      </c>
      <c r="J864" s="15" t="s">
        <v>295</v>
      </c>
      <c r="K864" s="6">
        <v>0.45347222222222222</v>
      </c>
      <c r="L864" t="s">
        <v>143</v>
      </c>
      <c r="M864">
        <v>150000</v>
      </c>
      <c r="N864" t="s">
        <v>204</v>
      </c>
      <c r="O864" t="s">
        <v>152</v>
      </c>
      <c r="P864">
        <v>85</v>
      </c>
      <c r="Q864" t="s">
        <v>155</v>
      </c>
    </row>
    <row r="865" spans="1:17" x14ac:dyDescent="0.2">
      <c r="A865">
        <v>584321</v>
      </c>
      <c r="B865">
        <v>1108</v>
      </c>
      <c r="C865" s="1" t="s">
        <v>113</v>
      </c>
      <c r="D865" s="10">
        <v>44986.977777777778</v>
      </c>
      <c r="E865" t="s">
        <v>97</v>
      </c>
      <c r="F865" t="s">
        <v>44</v>
      </c>
      <c r="G865">
        <v>6956</v>
      </c>
      <c r="H865" s="5" t="s">
        <v>113</v>
      </c>
      <c r="I865" s="15">
        <v>44986</v>
      </c>
      <c r="J865" s="15" t="s">
        <v>232</v>
      </c>
      <c r="K865" s="6">
        <v>0.4777777777777778</v>
      </c>
      <c r="L865" t="s">
        <v>144</v>
      </c>
      <c r="M865">
        <v>150000</v>
      </c>
      <c r="N865" t="s">
        <v>199</v>
      </c>
      <c r="O865" t="s">
        <v>152</v>
      </c>
      <c r="P865">
        <v>47</v>
      </c>
      <c r="Q865" t="s">
        <v>156</v>
      </c>
    </row>
    <row r="866" spans="1:17" x14ac:dyDescent="0.2">
      <c r="A866">
        <v>585445</v>
      </c>
      <c r="B866">
        <v>1665</v>
      </c>
      <c r="C866" s="1" t="s">
        <v>110</v>
      </c>
      <c r="D866" s="10">
        <v>45113.992361111108</v>
      </c>
      <c r="E866" t="s">
        <v>191</v>
      </c>
      <c r="F866" t="s">
        <v>78</v>
      </c>
      <c r="G866">
        <v>7479</v>
      </c>
      <c r="H866" s="5" t="s">
        <v>110</v>
      </c>
      <c r="I866" s="15">
        <v>45113</v>
      </c>
      <c r="J866" s="15" t="s">
        <v>234</v>
      </c>
      <c r="K866" s="6">
        <v>0.49236111111111114</v>
      </c>
      <c r="L866" t="s">
        <v>143</v>
      </c>
      <c r="M866">
        <v>200000</v>
      </c>
      <c r="N866" t="s">
        <v>215</v>
      </c>
      <c r="O866" t="s">
        <v>152</v>
      </c>
      <c r="P866">
        <v>19</v>
      </c>
      <c r="Q866" t="s">
        <v>157</v>
      </c>
    </row>
    <row r="867" spans="1:17" x14ac:dyDescent="0.2">
      <c r="A867">
        <v>585596</v>
      </c>
      <c r="B867">
        <v>1447</v>
      </c>
      <c r="C867" s="1" t="s">
        <v>106</v>
      </c>
      <c r="D867" s="10">
        <v>45205.025000000001</v>
      </c>
      <c r="E867" t="s">
        <v>191</v>
      </c>
      <c r="F867" t="s">
        <v>27</v>
      </c>
      <c r="G867">
        <v>8848</v>
      </c>
      <c r="H867" s="5" t="s">
        <v>106</v>
      </c>
      <c r="I867" s="15">
        <v>45205</v>
      </c>
      <c r="J867" s="15" t="s">
        <v>295</v>
      </c>
      <c r="K867" s="6">
        <v>0.52500000000000002</v>
      </c>
      <c r="L867" t="s">
        <v>142</v>
      </c>
      <c r="M867">
        <v>1000000</v>
      </c>
      <c r="N867" t="s">
        <v>209</v>
      </c>
      <c r="O867" t="s">
        <v>152</v>
      </c>
      <c r="P867">
        <v>20</v>
      </c>
      <c r="Q867" t="s">
        <v>156</v>
      </c>
    </row>
    <row r="868" spans="1:17" x14ac:dyDescent="0.2">
      <c r="A868">
        <v>585616</v>
      </c>
      <c r="B868">
        <v>318</v>
      </c>
      <c r="C868" s="1" t="s">
        <v>113</v>
      </c>
      <c r="D868" s="10">
        <v>44966.01666666667</v>
      </c>
      <c r="E868" t="s">
        <v>96</v>
      </c>
      <c r="F868" t="s">
        <v>59</v>
      </c>
      <c r="G868">
        <v>7526</v>
      </c>
      <c r="H868" s="5" t="s">
        <v>113</v>
      </c>
      <c r="I868" s="15">
        <v>44966</v>
      </c>
      <c r="J868" s="15" t="s">
        <v>232</v>
      </c>
      <c r="K868" s="6">
        <v>0.51666666666666672</v>
      </c>
      <c r="L868" t="s">
        <v>144</v>
      </c>
      <c r="M868">
        <v>80000</v>
      </c>
      <c r="N868" t="s">
        <v>224</v>
      </c>
      <c r="O868" t="s">
        <v>152</v>
      </c>
      <c r="P868">
        <v>35</v>
      </c>
      <c r="Q868" t="s">
        <v>154</v>
      </c>
    </row>
    <row r="869" spans="1:17" x14ac:dyDescent="0.2">
      <c r="A869">
        <v>585826</v>
      </c>
      <c r="B869">
        <v>988</v>
      </c>
      <c r="C869" s="1" t="s">
        <v>99</v>
      </c>
      <c r="D869" s="10">
        <v>45285.065972222219</v>
      </c>
      <c r="E869" t="s">
        <v>96</v>
      </c>
      <c r="F869" t="s">
        <v>87</v>
      </c>
      <c r="G869">
        <v>6591</v>
      </c>
      <c r="H869" s="5" t="s">
        <v>99</v>
      </c>
      <c r="I869" s="15">
        <v>45285</v>
      </c>
      <c r="J869" s="15" t="s">
        <v>295</v>
      </c>
      <c r="K869" s="6">
        <v>6.5972222222222224E-2</v>
      </c>
      <c r="L869" t="s">
        <v>144</v>
      </c>
      <c r="M869">
        <v>100000</v>
      </c>
      <c r="N869" t="s">
        <v>216</v>
      </c>
      <c r="O869" t="s">
        <v>151</v>
      </c>
      <c r="P869">
        <v>62</v>
      </c>
      <c r="Q869" t="s">
        <v>155</v>
      </c>
    </row>
    <row r="870" spans="1:17" x14ac:dyDescent="0.2">
      <c r="A870">
        <v>585827</v>
      </c>
      <c r="B870">
        <v>156</v>
      </c>
      <c r="C870" s="1" t="s">
        <v>100</v>
      </c>
      <c r="D870" s="10">
        <v>44944.984722222223</v>
      </c>
      <c r="E870" t="s">
        <v>98</v>
      </c>
      <c r="F870" t="s">
        <v>26</v>
      </c>
      <c r="G870">
        <v>3966</v>
      </c>
      <c r="H870" s="5" t="s">
        <v>100</v>
      </c>
      <c r="I870" s="15">
        <v>44944</v>
      </c>
      <c r="J870" s="15" t="s">
        <v>232</v>
      </c>
      <c r="K870" s="6">
        <v>0.48472222222222222</v>
      </c>
      <c r="L870" t="s">
        <v>145</v>
      </c>
      <c r="M870">
        <v>100000</v>
      </c>
      <c r="N870" t="s">
        <v>210</v>
      </c>
      <c r="O870" t="s">
        <v>152</v>
      </c>
      <c r="P870">
        <v>32</v>
      </c>
      <c r="Q870" t="s">
        <v>154</v>
      </c>
    </row>
    <row r="871" spans="1:17" x14ac:dyDescent="0.2">
      <c r="A871">
        <v>587346</v>
      </c>
      <c r="B871">
        <v>1703</v>
      </c>
      <c r="C871" s="1" t="s">
        <v>100</v>
      </c>
      <c r="D871" s="10">
        <v>45154.070138888892</v>
      </c>
      <c r="E871" t="s">
        <v>96</v>
      </c>
      <c r="F871" t="s">
        <v>74</v>
      </c>
      <c r="G871">
        <v>6858</v>
      </c>
      <c r="H871" s="5" t="s">
        <v>100</v>
      </c>
      <c r="I871" s="15">
        <v>45154</v>
      </c>
      <c r="J871" s="15" t="s">
        <v>234</v>
      </c>
      <c r="K871" s="6">
        <v>7.013888888888889E-2</v>
      </c>
      <c r="L871" t="s">
        <v>145</v>
      </c>
      <c r="M871">
        <v>150000</v>
      </c>
      <c r="N871" t="s">
        <v>226</v>
      </c>
      <c r="O871" t="s">
        <v>152</v>
      </c>
      <c r="P871">
        <v>85</v>
      </c>
      <c r="Q871" t="s">
        <v>157</v>
      </c>
    </row>
    <row r="872" spans="1:17" x14ac:dyDescent="0.2">
      <c r="A872">
        <v>587721</v>
      </c>
      <c r="B872">
        <v>417</v>
      </c>
      <c r="C872" s="1" t="s">
        <v>100</v>
      </c>
      <c r="D872" s="10">
        <v>44966.068055555559</v>
      </c>
      <c r="E872" t="s">
        <v>96</v>
      </c>
      <c r="F872" t="s">
        <v>88</v>
      </c>
      <c r="G872">
        <v>1430</v>
      </c>
      <c r="H872" s="5" t="s">
        <v>100</v>
      </c>
      <c r="I872" s="15">
        <v>44966</v>
      </c>
      <c r="J872" s="15" t="s">
        <v>232</v>
      </c>
      <c r="K872" s="6">
        <v>6.805555555555555E-2</v>
      </c>
      <c r="L872" t="s">
        <v>144</v>
      </c>
      <c r="M872">
        <v>100000</v>
      </c>
      <c r="N872" t="s">
        <v>200</v>
      </c>
      <c r="O872" t="s">
        <v>151</v>
      </c>
      <c r="P872">
        <v>53</v>
      </c>
      <c r="Q872" t="s">
        <v>154</v>
      </c>
    </row>
    <row r="873" spans="1:17" x14ac:dyDescent="0.2">
      <c r="A873">
        <v>588329</v>
      </c>
      <c r="B873">
        <v>1170</v>
      </c>
      <c r="C873" s="1" t="s">
        <v>109</v>
      </c>
      <c r="D873" s="10">
        <v>45170.076388888891</v>
      </c>
      <c r="E873" t="s">
        <v>96</v>
      </c>
      <c r="F873" t="s">
        <v>73</v>
      </c>
      <c r="G873">
        <v>987</v>
      </c>
      <c r="H873" s="5" t="s">
        <v>109</v>
      </c>
      <c r="I873" s="15">
        <v>45170</v>
      </c>
      <c r="J873" s="15" t="s">
        <v>234</v>
      </c>
      <c r="K873" s="6">
        <v>7.6388888888888895E-2</v>
      </c>
      <c r="L873" t="s">
        <v>146</v>
      </c>
      <c r="M873">
        <v>150000</v>
      </c>
      <c r="N873" t="s">
        <v>222</v>
      </c>
      <c r="O873" t="s">
        <v>152</v>
      </c>
      <c r="P873">
        <v>65</v>
      </c>
      <c r="Q873" t="s">
        <v>156</v>
      </c>
    </row>
    <row r="874" spans="1:17" x14ac:dyDescent="0.2">
      <c r="A874">
        <v>588451</v>
      </c>
      <c r="B874">
        <v>1647</v>
      </c>
      <c r="C874" s="1" t="s">
        <v>99</v>
      </c>
      <c r="D874" s="10">
        <v>44963.018055555556</v>
      </c>
      <c r="E874" t="s">
        <v>191</v>
      </c>
      <c r="F874" t="s">
        <v>89</v>
      </c>
      <c r="G874">
        <v>987</v>
      </c>
      <c r="H874" s="5" t="s">
        <v>99</v>
      </c>
      <c r="I874" s="15">
        <v>44963</v>
      </c>
      <c r="J874" s="15" t="s">
        <v>232</v>
      </c>
      <c r="K874" s="6">
        <v>0.5180555555555556</v>
      </c>
      <c r="L874" t="s">
        <v>144</v>
      </c>
      <c r="M874">
        <v>150000</v>
      </c>
      <c r="N874" t="s">
        <v>218</v>
      </c>
      <c r="O874" t="s">
        <v>152</v>
      </c>
      <c r="P874">
        <v>22</v>
      </c>
      <c r="Q874" t="s">
        <v>157</v>
      </c>
    </row>
    <row r="875" spans="1:17" x14ac:dyDescent="0.2">
      <c r="A875">
        <v>588548</v>
      </c>
      <c r="B875">
        <v>442</v>
      </c>
      <c r="C875" s="1" t="s">
        <v>99</v>
      </c>
      <c r="D875" s="10">
        <v>45002.029166666667</v>
      </c>
      <c r="E875" t="s">
        <v>191</v>
      </c>
      <c r="F875" t="s">
        <v>27</v>
      </c>
      <c r="G875">
        <v>4334</v>
      </c>
      <c r="H875" s="5" t="s">
        <v>99</v>
      </c>
      <c r="I875" s="15">
        <v>45002</v>
      </c>
      <c r="J875" s="15" t="s">
        <v>232</v>
      </c>
      <c r="K875" s="6">
        <v>0.52916666666666667</v>
      </c>
      <c r="L875" t="s">
        <v>142</v>
      </c>
      <c r="M875">
        <v>1000000</v>
      </c>
      <c r="N875" t="s">
        <v>209</v>
      </c>
      <c r="O875" t="s">
        <v>151</v>
      </c>
      <c r="P875">
        <v>62</v>
      </c>
      <c r="Q875" t="s">
        <v>154</v>
      </c>
    </row>
    <row r="876" spans="1:17" x14ac:dyDescent="0.2">
      <c r="A876">
        <v>588588</v>
      </c>
      <c r="B876">
        <v>548</v>
      </c>
      <c r="C876" s="1" t="s">
        <v>99</v>
      </c>
      <c r="D876" s="10">
        <v>45169.018750000003</v>
      </c>
      <c r="E876" t="s">
        <v>191</v>
      </c>
      <c r="F876" t="s">
        <v>25</v>
      </c>
      <c r="G876">
        <v>1656</v>
      </c>
      <c r="H876" s="5" t="s">
        <v>99</v>
      </c>
      <c r="I876" s="15">
        <v>45169</v>
      </c>
      <c r="J876" s="15" t="s">
        <v>234</v>
      </c>
      <c r="K876" s="6">
        <v>0.51875000000000004</v>
      </c>
      <c r="L876" t="s">
        <v>142</v>
      </c>
      <c r="M876">
        <v>100000</v>
      </c>
      <c r="N876" t="s">
        <v>201</v>
      </c>
      <c r="O876" t="s">
        <v>151</v>
      </c>
      <c r="P876">
        <v>48</v>
      </c>
      <c r="Q876" t="s">
        <v>155</v>
      </c>
    </row>
    <row r="877" spans="1:17" x14ac:dyDescent="0.2">
      <c r="A877">
        <v>588686</v>
      </c>
      <c r="B877">
        <v>1224</v>
      </c>
      <c r="C877" s="1" t="s">
        <v>100</v>
      </c>
      <c r="D877" s="10">
        <v>45124.970138888886</v>
      </c>
      <c r="E877" t="s">
        <v>98</v>
      </c>
      <c r="F877" t="s">
        <v>49</v>
      </c>
      <c r="G877">
        <v>9207</v>
      </c>
      <c r="H877" s="5" t="s">
        <v>100</v>
      </c>
      <c r="I877" s="15">
        <v>45124</v>
      </c>
      <c r="J877" s="15" t="s">
        <v>234</v>
      </c>
      <c r="K877" s="6">
        <v>0.47013888888888888</v>
      </c>
      <c r="L877" t="s">
        <v>146</v>
      </c>
      <c r="M877">
        <v>100000</v>
      </c>
      <c r="N877" t="s">
        <v>222</v>
      </c>
      <c r="O877" t="s">
        <v>152</v>
      </c>
      <c r="P877">
        <v>71</v>
      </c>
      <c r="Q877" t="s">
        <v>156</v>
      </c>
    </row>
    <row r="878" spans="1:17" x14ac:dyDescent="0.2">
      <c r="A878">
        <v>588730</v>
      </c>
      <c r="B878">
        <v>40</v>
      </c>
      <c r="C878" s="1" t="s">
        <v>101</v>
      </c>
      <c r="D878" s="10">
        <v>45163.013888888891</v>
      </c>
      <c r="E878" t="s">
        <v>96</v>
      </c>
      <c r="F878" t="s">
        <v>5</v>
      </c>
      <c r="G878">
        <v>238</v>
      </c>
      <c r="H878" s="5" t="s">
        <v>101</v>
      </c>
      <c r="I878" s="15">
        <v>45163</v>
      </c>
      <c r="J878" s="15" t="s">
        <v>234</v>
      </c>
      <c r="K878" s="6">
        <v>0.51388888888888884</v>
      </c>
      <c r="L878" t="s">
        <v>143</v>
      </c>
      <c r="M878">
        <v>200000</v>
      </c>
      <c r="N878" t="s">
        <v>198</v>
      </c>
      <c r="O878" t="s">
        <v>152</v>
      </c>
      <c r="P878">
        <v>37</v>
      </c>
      <c r="Q878" t="s">
        <v>154</v>
      </c>
    </row>
    <row r="879" spans="1:17" x14ac:dyDescent="0.2">
      <c r="A879">
        <v>589161</v>
      </c>
      <c r="B879">
        <v>1613</v>
      </c>
      <c r="C879" s="1" t="s">
        <v>99</v>
      </c>
      <c r="D879" s="10">
        <v>45290.995833333334</v>
      </c>
      <c r="E879" t="s">
        <v>98</v>
      </c>
      <c r="F879" t="s">
        <v>94</v>
      </c>
      <c r="G879">
        <v>3750</v>
      </c>
      <c r="H879" s="5" t="s">
        <v>99</v>
      </c>
      <c r="I879" s="15">
        <v>45290</v>
      </c>
      <c r="J879" s="15" t="s">
        <v>295</v>
      </c>
      <c r="K879" s="6">
        <v>0.49583333333333335</v>
      </c>
      <c r="L879" t="s">
        <v>143</v>
      </c>
      <c r="M879">
        <v>50000</v>
      </c>
      <c r="N879" t="s">
        <v>215</v>
      </c>
      <c r="O879" t="s">
        <v>151</v>
      </c>
      <c r="P879">
        <v>71</v>
      </c>
      <c r="Q879" t="s">
        <v>157</v>
      </c>
    </row>
    <row r="880" spans="1:17" x14ac:dyDescent="0.2">
      <c r="A880">
        <v>590513</v>
      </c>
      <c r="B880">
        <v>1139</v>
      </c>
      <c r="C880" s="1" t="s">
        <v>99</v>
      </c>
      <c r="D880" s="10">
        <v>45152.965277777781</v>
      </c>
      <c r="E880" t="s">
        <v>191</v>
      </c>
      <c r="F880" t="s">
        <v>27</v>
      </c>
      <c r="G880">
        <v>4446</v>
      </c>
      <c r="H880" s="5" t="s">
        <v>99</v>
      </c>
      <c r="I880" s="15">
        <v>45152</v>
      </c>
      <c r="J880" s="15" t="s">
        <v>234</v>
      </c>
      <c r="K880" s="6">
        <v>0.46527777777777779</v>
      </c>
      <c r="L880" t="s">
        <v>142</v>
      </c>
      <c r="M880">
        <v>1000000</v>
      </c>
      <c r="N880" t="s">
        <v>209</v>
      </c>
      <c r="O880" t="s">
        <v>152</v>
      </c>
      <c r="P880">
        <v>84</v>
      </c>
      <c r="Q880" t="s">
        <v>156</v>
      </c>
    </row>
    <row r="881" spans="1:17" x14ac:dyDescent="0.2">
      <c r="A881">
        <v>590748</v>
      </c>
      <c r="B881">
        <v>1695</v>
      </c>
      <c r="C881" s="1" t="s">
        <v>105</v>
      </c>
      <c r="D881" s="10">
        <v>44937.944444444445</v>
      </c>
      <c r="E881" t="s">
        <v>96</v>
      </c>
      <c r="F881" t="s">
        <v>65</v>
      </c>
      <c r="G881">
        <v>4390</v>
      </c>
      <c r="H881" s="5" t="s">
        <v>105</v>
      </c>
      <c r="I881" s="15">
        <v>44937</v>
      </c>
      <c r="J881" s="15" t="s">
        <v>232</v>
      </c>
      <c r="K881" s="6">
        <v>0.44444444444444442</v>
      </c>
      <c r="L881" t="s">
        <v>146</v>
      </c>
      <c r="M881">
        <v>200000</v>
      </c>
      <c r="N881" t="s">
        <v>225</v>
      </c>
      <c r="O881" t="s">
        <v>152</v>
      </c>
      <c r="P881">
        <v>37</v>
      </c>
      <c r="Q881" t="s">
        <v>157</v>
      </c>
    </row>
    <row r="882" spans="1:17" x14ac:dyDescent="0.2">
      <c r="A882">
        <v>590947</v>
      </c>
      <c r="B882">
        <v>1745</v>
      </c>
      <c r="C882" s="1" t="s">
        <v>99</v>
      </c>
      <c r="D882" s="10">
        <v>45039.038888888892</v>
      </c>
      <c r="E882" t="s">
        <v>98</v>
      </c>
      <c r="F882" t="s">
        <v>23</v>
      </c>
      <c r="G882">
        <v>7772</v>
      </c>
      <c r="H882" s="5" t="s">
        <v>99</v>
      </c>
      <c r="I882" s="15">
        <v>45039</v>
      </c>
      <c r="J882" s="15" t="s">
        <v>233</v>
      </c>
      <c r="K882" s="6">
        <v>0.53888888888888886</v>
      </c>
      <c r="L882" t="s">
        <v>142</v>
      </c>
      <c r="M882">
        <v>150000</v>
      </c>
      <c r="N882" t="s">
        <v>213</v>
      </c>
      <c r="O882" t="s">
        <v>152</v>
      </c>
      <c r="P882">
        <v>54</v>
      </c>
      <c r="Q882" t="s">
        <v>157</v>
      </c>
    </row>
    <row r="883" spans="1:17" x14ac:dyDescent="0.2">
      <c r="A883">
        <v>591570</v>
      </c>
      <c r="B883">
        <v>419</v>
      </c>
      <c r="C883" s="1" t="s">
        <v>100</v>
      </c>
      <c r="D883" s="10">
        <v>45260.0625</v>
      </c>
      <c r="E883" t="s">
        <v>191</v>
      </c>
      <c r="F883" t="s">
        <v>21</v>
      </c>
      <c r="G883">
        <v>8740</v>
      </c>
      <c r="H883" s="5" t="s">
        <v>100</v>
      </c>
      <c r="I883" s="15">
        <v>45260</v>
      </c>
      <c r="J883" s="15" t="s">
        <v>295</v>
      </c>
      <c r="K883" s="6">
        <v>6.25E-2</v>
      </c>
      <c r="L883" t="s">
        <v>142</v>
      </c>
      <c r="M883">
        <v>150000</v>
      </c>
      <c r="N883" t="s">
        <v>211</v>
      </c>
      <c r="O883" t="s">
        <v>151</v>
      </c>
      <c r="P883">
        <v>66</v>
      </c>
      <c r="Q883" t="s">
        <v>154</v>
      </c>
    </row>
    <row r="884" spans="1:17" x14ac:dyDescent="0.2">
      <c r="A884">
        <v>591821</v>
      </c>
      <c r="B884">
        <v>359</v>
      </c>
      <c r="C884" s="1" t="s">
        <v>100</v>
      </c>
      <c r="D884" s="10">
        <v>45016.019444444442</v>
      </c>
      <c r="E884" t="s">
        <v>97</v>
      </c>
      <c r="F884" t="s">
        <v>28</v>
      </c>
      <c r="G884">
        <v>8262</v>
      </c>
      <c r="H884" s="5" t="s">
        <v>100</v>
      </c>
      <c r="I884" s="15">
        <v>45016</v>
      </c>
      <c r="J884" s="15" t="s">
        <v>232</v>
      </c>
      <c r="K884" s="6">
        <v>0.51944444444444449</v>
      </c>
      <c r="L884" t="s">
        <v>143</v>
      </c>
      <c r="M884">
        <v>100000</v>
      </c>
      <c r="N884" t="s">
        <v>215</v>
      </c>
      <c r="O884" t="s">
        <v>152</v>
      </c>
      <c r="P884">
        <v>37</v>
      </c>
      <c r="Q884" t="s">
        <v>154</v>
      </c>
    </row>
    <row r="885" spans="1:17" x14ac:dyDescent="0.2">
      <c r="A885">
        <v>592435</v>
      </c>
      <c r="B885">
        <v>1386</v>
      </c>
      <c r="C885" s="1" t="s">
        <v>104</v>
      </c>
      <c r="D885" s="10">
        <v>44963.994444444441</v>
      </c>
      <c r="E885" t="s">
        <v>191</v>
      </c>
      <c r="F885" t="s">
        <v>29</v>
      </c>
      <c r="G885">
        <v>2381</v>
      </c>
      <c r="H885" s="5" t="s">
        <v>104</v>
      </c>
      <c r="I885" s="15">
        <v>44963</v>
      </c>
      <c r="J885" s="15" t="s">
        <v>232</v>
      </c>
      <c r="K885" s="6">
        <v>0.49444444444444446</v>
      </c>
      <c r="L885" t="s">
        <v>143</v>
      </c>
      <c r="M885">
        <v>150000</v>
      </c>
      <c r="N885" t="s">
        <v>214</v>
      </c>
      <c r="O885" t="s">
        <v>151</v>
      </c>
      <c r="P885">
        <v>18</v>
      </c>
      <c r="Q885" t="s">
        <v>156</v>
      </c>
    </row>
    <row r="886" spans="1:17" x14ac:dyDescent="0.2">
      <c r="A886">
        <v>592705</v>
      </c>
      <c r="B886">
        <v>987</v>
      </c>
      <c r="C886" s="1" t="s">
        <v>99</v>
      </c>
      <c r="D886" s="10">
        <v>45040.071527777778</v>
      </c>
      <c r="E886" t="s">
        <v>97</v>
      </c>
      <c r="F886" t="s">
        <v>24</v>
      </c>
      <c r="G886">
        <v>5893</v>
      </c>
      <c r="H886" s="5" t="s">
        <v>99</v>
      </c>
      <c r="I886" s="15">
        <v>45040</v>
      </c>
      <c r="J886" s="15" t="s">
        <v>233</v>
      </c>
      <c r="K886" s="6">
        <v>7.1527777777777773E-2</v>
      </c>
      <c r="L886" t="s">
        <v>143</v>
      </c>
      <c r="M886">
        <v>200000</v>
      </c>
      <c r="N886" t="s">
        <v>214</v>
      </c>
      <c r="O886" t="s">
        <v>152</v>
      </c>
      <c r="P886">
        <v>23</v>
      </c>
      <c r="Q886" t="s">
        <v>155</v>
      </c>
    </row>
    <row r="887" spans="1:17" x14ac:dyDescent="0.2">
      <c r="A887">
        <v>593188</v>
      </c>
      <c r="B887">
        <v>1615</v>
      </c>
      <c r="C887" s="1" t="s">
        <v>105</v>
      </c>
      <c r="D887" s="10">
        <v>45268.01458333333</v>
      </c>
      <c r="E887" t="s">
        <v>191</v>
      </c>
      <c r="F887" t="s">
        <v>30</v>
      </c>
      <c r="G887">
        <v>9830</v>
      </c>
      <c r="H887" s="5" t="s">
        <v>105</v>
      </c>
      <c r="I887" s="15">
        <v>45268</v>
      </c>
      <c r="J887" s="15" t="s">
        <v>295</v>
      </c>
      <c r="K887" s="6">
        <v>0.51458333333333328</v>
      </c>
      <c r="L887" t="s">
        <v>144</v>
      </c>
      <c r="M887">
        <v>200000</v>
      </c>
      <c r="N887" t="s">
        <v>216</v>
      </c>
      <c r="O887" t="s">
        <v>151</v>
      </c>
      <c r="P887">
        <v>64</v>
      </c>
      <c r="Q887" t="s">
        <v>157</v>
      </c>
    </row>
    <row r="888" spans="1:17" x14ac:dyDescent="0.2">
      <c r="A888">
        <v>593240</v>
      </c>
      <c r="B888">
        <v>672</v>
      </c>
      <c r="C888" s="1" t="s">
        <v>99</v>
      </c>
      <c r="D888" s="10">
        <v>45265.026388888888</v>
      </c>
      <c r="E888" t="s">
        <v>191</v>
      </c>
      <c r="F888" t="s">
        <v>31</v>
      </c>
      <c r="G888">
        <v>7472</v>
      </c>
      <c r="H888" s="5" t="s">
        <v>99</v>
      </c>
      <c r="I888" s="15">
        <v>45265</v>
      </c>
      <c r="J888" s="15" t="s">
        <v>295</v>
      </c>
      <c r="K888" s="6">
        <v>0.52638888888888891</v>
      </c>
      <c r="L888" t="s">
        <v>143</v>
      </c>
      <c r="M888">
        <v>80000</v>
      </c>
      <c r="N888" t="s">
        <v>204</v>
      </c>
      <c r="O888" t="s">
        <v>152</v>
      </c>
      <c r="P888">
        <v>78</v>
      </c>
      <c r="Q888" t="s">
        <v>155</v>
      </c>
    </row>
    <row r="889" spans="1:17" x14ac:dyDescent="0.2">
      <c r="A889">
        <v>593583</v>
      </c>
      <c r="B889">
        <v>513</v>
      </c>
      <c r="C889" s="1" t="s">
        <v>99</v>
      </c>
      <c r="D889" s="10">
        <v>45160.047222222223</v>
      </c>
      <c r="E889" t="s">
        <v>96</v>
      </c>
      <c r="F889" t="s">
        <v>32</v>
      </c>
      <c r="G889">
        <v>9848</v>
      </c>
      <c r="H889" s="5" t="s">
        <v>99</v>
      </c>
      <c r="I889" s="15">
        <v>45160</v>
      </c>
      <c r="J889" s="15" t="s">
        <v>234</v>
      </c>
      <c r="K889" s="6">
        <v>4.7222222222222221E-2</v>
      </c>
      <c r="L889" t="s">
        <v>145</v>
      </c>
      <c r="M889">
        <v>80000</v>
      </c>
      <c r="N889" t="s">
        <v>217</v>
      </c>
      <c r="O889" t="s">
        <v>152</v>
      </c>
      <c r="P889">
        <v>29</v>
      </c>
      <c r="Q889" t="s">
        <v>155</v>
      </c>
    </row>
    <row r="890" spans="1:17" x14ac:dyDescent="0.2">
      <c r="A890">
        <v>593879</v>
      </c>
      <c r="B890">
        <v>907</v>
      </c>
      <c r="C890" s="1" t="s">
        <v>108</v>
      </c>
      <c r="D890" s="10">
        <v>45081.066666666666</v>
      </c>
      <c r="E890" t="s">
        <v>96</v>
      </c>
      <c r="F890" t="s">
        <v>33</v>
      </c>
      <c r="G890">
        <v>5944</v>
      </c>
      <c r="H890" s="5" t="s">
        <v>108</v>
      </c>
      <c r="I890" s="15">
        <v>45081</v>
      </c>
      <c r="J890" s="15" t="s">
        <v>233</v>
      </c>
      <c r="K890" s="6">
        <v>6.6666666666666666E-2</v>
      </c>
      <c r="L890" t="s">
        <v>145</v>
      </c>
      <c r="M890">
        <v>100000</v>
      </c>
      <c r="N890" t="s">
        <v>210</v>
      </c>
      <c r="O890" t="s">
        <v>151</v>
      </c>
      <c r="P890">
        <v>55</v>
      </c>
      <c r="Q890" t="s">
        <v>155</v>
      </c>
    </row>
    <row r="891" spans="1:17" x14ac:dyDescent="0.2">
      <c r="A891">
        <v>595005</v>
      </c>
      <c r="B891">
        <v>377</v>
      </c>
      <c r="C891" s="1" t="s">
        <v>113</v>
      </c>
      <c r="D891" s="10">
        <v>45208.075694444444</v>
      </c>
      <c r="E891" t="s">
        <v>96</v>
      </c>
      <c r="F891" t="s">
        <v>91</v>
      </c>
      <c r="G891">
        <v>1845</v>
      </c>
      <c r="H891" s="5" t="s">
        <v>113</v>
      </c>
      <c r="I891" s="15">
        <v>45208</v>
      </c>
      <c r="J891" s="15" t="s">
        <v>295</v>
      </c>
      <c r="K891" s="6">
        <v>7.5694444444444439E-2</v>
      </c>
      <c r="L891" t="s">
        <v>142</v>
      </c>
      <c r="M891">
        <v>100000</v>
      </c>
      <c r="N891" t="s">
        <v>213</v>
      </c>
      <c r="O891" t="s">
        <v>152</v>
      </c>
      <c r="P891">
        <v>56</v>
      </c>
      <c r="Q891" t="s">
        <v>154</v>
      </c>
    </row>
    <row r="892" spans="1:17" x14ac:dyDescent="0.2">
      <c r="A892">
        <v>595284</v>
      </c>
      <c r="B892">
        <v>1391</v>
      </c>
      <c r="C892" s="1" t="s">
        <v>99</v>
      </c>
      <c r="D892" s="10">
        <v>45223.023611111108</v>
      </c>
      <c r="E892" t="s">
        <v>98</v>
      </c>
      <c r="F892" t="s">
        <v>35</v>
      </c>
      <c r="G892">
        <v>8604</v>
      </c>
      <c r="H892" s="5" t="s">
        <v>99</v>
      </c>
      <c r="I892" s="15">
        <v>45223</v>
      </c>
      <c r="J892" s="15" t="s">
        <v>295</v>
      </c>
      <c r="K892" s="6">
        <v>0.52361111111111114</v>
      </c>
      <c r="L892" t="s">
        <v>144</v>
      </c>
      <c r="M892">
        <v>100000</v>
      </c>
      <c r="N892" t="s">
        <v>219</v>
      </c>
      <c r="O892" t="s">
        <v>151</v>
      </c>
      <c r="P892">
        <v>61</v>
      </c>
      <c r="Q892" t="s">
        <v>156</v>
      </c>
    </row>
    <row r="893" spans="1:17" x14ac:dyDescent="0.2">
      <c r="A893">
        <v>595446</v>
      </c>
      <c r="B893">
        <v>1488</v>
      </c>
      <c r="C893" s="1" t="s">
        <v>99</v>
      </c>
      <c r="D893" s="10">
        <v>45073.968055555553</v>
      </c>
      <c r="E893" t="s">
        <v>96</v>
      </c>
      <c r="F893" t="s">
        <v>36</v>
      </c>
      <c r="G893">
        <v>3770</v>
      </c>
      <c r="H893" s="5" t="s">
        <v>99</v>
      </c>
      <c r="I893" s="15">
        <v>45073</v>
      </c>
      <c r="J893" s="15" t="s">
        <v>233</v>
      </c>
      <c r="K893" s="6">
        <v>0.46805555555555556</v>
      </c>
      <c r="L893" t="s">
        <v>146</v>
      </c>
      <c r="M893">
        <v>100000</v>
      </c>
      <c r="N893" t="s">
        <v>220</v>
      </c>
      <c r="O893" t="s">
        <v>151</v>
      </c>
      <c r="P893">
        <v>35</v>
      </c>
      <c r="Q893" t="s">
        <v>156</v>
      </c>
    </row>
    <row r="894" spans="1:17" x14ac:dyDescent="0.2">
      <c r="A894">
        <v>595956</v>
      </c>
      <c r="B894">
        <v>1501</v>
      </c>
      <c r="C894" s="1" t="s">
        <v>99</v>
      </c>
      <c r="D894" s="10">
        <v>44943.069444444445</v>
      </c>
      <c r="E894" t="s">
        <v>97</v>
      </c>
      <c r="F894" t="s">
        <v>37</v>
      </c>
      <c r="G894">
        <v>3537</v>
      </c>
      <c r="H894" s="5" t="s">
        <v>99</v>
      </c>
      <c r="I894" s="15">
        <v>44943</v>
      </c>
      <c r="J894" s="15" t="s">
        <v>232</v>
      </c>
      <c r="K894" s="6">
        <v>6.9444444444444448E-2</v>
      </c>
      <c r="L894" t="s">
        <v>144</v>
      </c>
      <c r="M894">
        <v>100000</v>
      </c>
      <c r="N894" t="s">
        <v>199</v>
      </c>
      <c r="O894" t="s">
        <v>151</v>
      </c>
      <c r="P894">
        <v>51</v>
      </c>
      <c r="Q894" t="s">
        <v>157</v>
      </c>
    </row>
    <row r="895" spans="1:17" x14ac:dyDescent="0.2">
      <c r="A895">
        <v>596143</v>
      </c>
      <c r="B895">
        <v>1576</v>
      </c>
      <c r="C895" s="1" t="s">
        <v>99</v>
      </c>
      <c r="D895" s="10">
        <v>45107.076388888891</v>
      </c>
      <c r="E895" t="s">
        <v>97</v>
      </c>
      <c r="F895" t="s">
        <v>27</v>
      </c>
      <c r="G895">
        <v>1558</v>
      </c>
      <c r="H895" s="5" t="s">
        <v>99</v>
      </c>
      <c r="I895" s="15">
        <v>45107</v>
      </c>
      <c r="J895" s="15" t="s">
        <v>233</v>
      </c>
      <c r="K895" s="6">
        <v>7.6388888888888895E-2</v>
      </c>
      <c r="L895" t="s">
        <v>142</v>
      </c>
      <c r="M895">
        <v>1000000</v>
      </c>
      <c r="N895" t="s">
        <v>209</v>
      </c>
      <c r="O895" t="s">
        <v>151</v>
      </c>
      <c r="P895">
        <v>70</v>
      </c>
      <c r="Q895" t="s">
        <v>157</v>
      </c>
    </row>
    <row r="896" spans="1:17" x14ac:dyDescent="0.2">
      <c r="A896">
        <v>596235</v>
      </c>
      <c r="B896">
        <v>1857</v>
      </c>
      <c r="C896" s="1" t="s">
        <v>100</v>
      </c>
      <c r="D896" s="10">
        <v>45227.027777777781</v>
      </c>
      <c r="E896" t="s">
        <v>98</v>
      </c>
      <c r="F896" t="s">
        <v>65</v>
      </c>
      <c r="G896">
        <v>657</v>
      </c>
      <c r="H896" s="5" t="s">
        <v>100</v>
      </c>
      <c r="I896" s="15">
        <v>45227</v>
      </c>
      <c r="J896" s="15" t="s">
        <v>295</v>
      </c>
      <c r="K896" s="6">
        <v>0.52777777777777779</v>
      </c>
      <c r="L896" t="s">
        <v>146</v>
      </c>
      <c r="M896">
        <v>200000</v>
      </c>
      <c r="N896" t="s">
        <v>225</v>
      </c>
      <c r="O896" t="s">
        <v>152</v>
      </c>
      <c r="P896">
        <v>75</v>
      </c>
      <c r="Q896" t="s">
        <v>157</v>
      </c>
    </row>
    <row r="897" spans="1:17" x14ac:dyDescent="0.2">
      <c r="A897">
        <v>596287</v>
      </c>
      <c r="B897">
        <v>516</v>
      </c>
      <c r="C897" s="1" t="s">
        <v>100</v>
      </c>
      <c r="D897" s="10">
        <v>45172.035416666666</v>
      </c>
      <c r="E897" t="s">
        <v>98</v>
      </c>
      <c r="F897" t="s">
        <v>24</v>
      </c>
      <c r="G897">
        <v>5995</v>
      </c>
      <c r="H897" s="5" t="s">
        <v>100</v>
      </c>
      <c r="I897" s="15">
        <v>45172</v>
      </c>
      <c r="J897" s="15" t="s">
        <v>234</v>
      </c>
      <c r="K897" s="6">
        <v>0.53541666666666665</v>
      </c>
      <c r="L897" t="s">
        <v>143</v>
      </c>
      <c r="M897">
        <v>200000</v>
      </c>
      <c r="N897" t="s">
        <v>214</v>
      </c>
      <c r="O897" t="s">
        <v>151</v>
      </c>
      <c r="P897">
        <v>51</v>
      </c>
      <c r="Q897" t="s">
        <v>155</v>
      </c>
    </row>
    <row r="898" spans="1:17" x14ac:dyDescent="0.2">
      <c r="A898">
        <v>597539</v>
      </c>
      <c r="B898">
        <v>31</v>
      </c>
      <c r="C898" s="1" t="s">
        <v>99</v>
      </c>
      <c r="D898" s="10">
        <v>45161.050694444442</v>
      </c>
      <c r="E898" t="s">
        <v>191</v>
      </c>
      <c r="F898" t="s">
        <v>40</v>
      </c>
      <c r="G898">
        <v>6892</v>
      </c>
      <c r="H898" s="5" t="s">
        <v>99</v>
      </c>
      <c r="I898" s="15">
        <v>45161</v>
      </c>
      <c r="J898" s="15" t="s">
        <v>234</v>
      </c>
      <c r="K898" s="6">
        <v>5.0694444444444445E-2</v>
      </c>
      <c r="L898" t="s">
        <v>142</v>
      </c>
      <c r="M898">
        <v>150000</v>
      </c>
      <c r="N898" t="s">
        <v>207</v>
      </c>
      <c r="O898" t="s">
        <v>151</v>
      </c>
      <c r="P898">
        <v>22</v>
      </c>
      <c r="Q898" t="s">
        <v>154</v>
      </c>
    </row>
    <row r="899" spans="1:17" x14ac:dyDescent="0.2">
      <c r="A899">
        <v>598766</v>
      </c>
      <c r="B899">
        <v>426</v>
      </c>
      <c r="C899" s="1" t="s">
        <v>106</v>
      </c>
      <c r="D899" s="10">
        <v>44999.975694444445</v>
      </c>
      <c r="E899" t="s">
        <v>191</v>
      </c>
      <c r="F899" t="s">
        <v>41</v>
      </c>
      <c r="G899">
        <v>6288</v>
      </c>
      <c r="H899" s="5" t="s">
        <v>106</v>
      </c>
      <c r="I899" s="15">
        <v>44999</v>
      </c>
      <c r="J899" s="15" t="s">
        <v>232</v>
      </c>
      <c r="K899" s="6">
        <v>0.47569444444444442</v>
      </c>
      <c r="L899" t="s">
        <v>145</v>
      </c>
      <c r="M899">
        <v>150000</v>
      </c>
      <c r="N899" t="s">
        <v>203</v>
      </c>
      <c r="O899" t="s">
        <v>152</v>
      </c>
      <c r="P899">
        <v>78</v>
      </c>
      <c r="Q899" t="s">
        <v>154</v>
      </c>
    </row>
    <row r="900" spans="1:17" x14ac:dyDescent="0.2">
      <c r="A900">
        <v>599162</v>
      </c>
      <c r="B900">
        <v>818</v>
      </c>
      <c r="C900" s="1" t="s">
        <v>100</v>
      </c>
      <c r="D900" s="10">
        <v>45015.004861111112</v>
      </c>
      <c r="E900" t="s">
        <v>98</v>
      </c>
      <c r="F900" t="s">
        <v>42</v>
      </c>
      <c r="G900">
        <v>6921</v>
      </c>
      <c r="H900" s="5" t="s">
        <v>100</v>
      </c>
      <c r="I900" s="15">
        <v>45015</v>
      </c>
      <c r="J900" s="15" t="s">
        <v>232</v>
      </c>
      <c r="K900" s="6">
        <v>0.50486111111111109</v>
      </c>
      <c r="L900" t="s">
        <v>144</v>
      </c>
      <c r="M900">
        <v>100000</v>
      </c>
      <c r="N900" t="s">
        <v>219</v>
      </c>
      <c r="O900" t="s">
        <v>152</v>
      </c>
      <c r="P900">
        <v>87</v>
      </c>
      <c r="Q900" t="s">
        <v>155</v>
      </c>
    </row>
    <row r="901" spans="1:17" x14ac:dyDescent="0.2">
      <c r="A901">
        <v>600465</v>
      </c>
      <c r="B901">
        <v>1845</v>
      </c>
      <c r="C901" s="1" t="s">
        <v>102</v>
      </c>
      <c r="D901" s="10">
        <v>44940.068055555559</v>
      </c>
      <c r="E901" t="s">
        <v>191</v>
      </c>
      <c r="F901" t="s">
        <v>43</v>
      </c>
      <c r="G901">
        <v>4278</v>
      </c>
      <c r="H901" s="5" t="s">
        <v>102</v>
      </c>
      <c r="I901" s="15">
        <v>44940</v>
      </c>
      <c r="J901" s="15" t="s">
        <v>232</v>
      </c>
      <c r="K901" s="6">
        <v>6.805555555555555E-2</v>
      </c>
      <c r="L901" t="s">
        <v>145</v>
      </c>
      <c r="M901">
        <v>1000000</v>
      </c>
      <c r="N901" t="s">
        <v>203</v>
      </c>
      <c r="O901" t="s">
        <v>152</v>
      </c>
      <c r="P901">
        <v>83</v>
      </c>
      <c r="Q901" t="s">
        <v>157</v>
      </c>
    </row>
    <row r="902" spans="1:17" x14ac:dyDescent="0.2">
      <c r="A902">
        <v>600527</v>
      </c>
      <c r="B902">
        <v>278</v>
      </c>
      <c r="C902" s="1" t="s">
        <v>99</v>
      </c>
      <c r="D902" s="10">
        <v>45164.969444444447</v>
      </c>
      <c r="E902" t="s">
        <v>191</v>
      </c>
      <c r="F902" t="s">
        <v>44</v>
      </c>
      <c r="G902">
        <v>8597</v>
      </c>
      <c r="H902" s="5" t="s">
        <v>99</v>
      </c>
      <c r="I902" s="15">
        <v>45164</v>
      </c>
      <c r="J902" s="15" t="s">
        <v>234</v>
      </c>
      <c r="K902" s="6">
        <v>0.46944444444444444</v>
      </c>
      <c r="L902" t="s">
        <v>144</v>
      </c>
      <c r="M902">
        <v>150000</v>
      </c>
      <c r="N902" t="s">
        <v>199</v>
      </c>
      <c r="O902" t="s">
        <v>152</v>
      </c>
      <c r="P902">
        <v>26</v>
      </c>
      <c r="Q902" t="s">
        <v>154</v>
      </c>
    </row>
    <row r="903" spans="1:17" x14ac:dyDescent="0.2">
      <c r="A903">
        <v>602342</v>
      </c>
      <c r="B903">
        <v>1391</v>
      </c>
      <c r="C903" s="1" t="s">
        <v>99</v>
      </c>
      <c r="D903" s="10">
        <v>45274.990972222222</v>
      </c>
      <c r="E903" t="s">
        <v>97</v>
      </c>
      <c r="F903" t="s">
        <v>12</v>
      </c>
      <c r="G903">
        <v>4602</v>
      </c>
      <c r="H903" s="5" t="s">
        <v>99</v>
      </c>
      <c r="I903" s="15">
        <v>45274</v>
      </c>
      <c r="J903" s="15" t="s">
        <v>295</v>
      </c>
      <c r="K903" s="6">
        <v>0.4909722222222222</v>
      </c>
      <c r="L903" t="s">
        <v>143</v>
      </c>
      <c r="M903">
        <v>150000</v>
      </c>
      <c r="N903" t="s">
        <v>205</v>
      </c>
      <c r="O903" t="s">
        <v>151</v>
      </c>
      <c r="P903">
        <v>61</v>
      </c>
      <c r="Q903" t="s">
        <v>156</v>
      </c>
    </row>
    <row r="904" spans="1:17" x14ac:dyDescent="0.2">
      <c r="A904">
        <v>602695</v>
      </c>
      <c r="B904">
        <v>773</v>
      </c>
      <c r="C904" s="1" t="s">
        <v>99</v>
      </c>
      <c r="D904" s="10">
        <v>45123.997916666667</v>
      </c>
      <c r="E904" t="s">
        <v>96</v>
      </c>
      <c r="F904" t="s">
        <v>14</v>
      </c>
      <c r="G904">
        <v>469</v>
      </c>
      <c r="H904" s="5" t="s">
        <v>99</v>
      </c>
      <c r="I904" s="15">
        <v>45123</v>
      </c>
      <c r="J904" s="15" t="s">
        <v>234</v>
      </c>
      <c r="K904" s="6">
        <v>0.49791666666666667</v>
      </c>
      <c r="L904" t="s">
        <v>142</v>
      </c>
      <c r="M904">
        <v>250000</v>
      </c>
      <c r="N904" t="s">
        <v>207</v>
      </c>
      <c r="O904" t="s">
        <v>151</v>
      </c>
      <c r="P904">
        <v>77</v>
      </c>
      <c r="Q904" t="s">
        <v>155</v>
      </c>
    </row>
    <row r="905" spans="1:17" x14ac:dyDescent="0.2">
      <c r="A905">
        <v>602700</v>
      </c>
      <c r="B905">
        <v>214</v>
      </c>
      <c r="C905" s="1" t="s">
        <v>99</v>
      </c>
      <c r="D905" s="10">
        <v>45115.087500000001</v>
      </c>
      <c r="E905" t="s">
        <v>96</v>
      </c>
      <c r="F905" t="s">
        <v>43</v>
      </c>
      <c r="G905">
        <v>8209</v>
      </c>
      <c r="H905" s="5" t="s">
        <v>99</v>
      </c>
      <c r="I905" s="15">
        <v>45115</v>
      </c>
      <c r="J905" s="15" t="s">
        <v>234</v>
      </c>
      <c r="K905" s="6">
        <v>8.7499999999999994E-2</v>
      </c>
      <c r="L905" t="s">
        <v>145</v>
      </c>
      <c r="M905">
        <v>1000000</v>
      </c>
      <c r="N905" t="s">
        <v>203</v>
      </c>
      <c r="O905" t="s">
        <v>152</v>
      </c>
      <c r="P905">
        <v>18</v>
      </c>
      <c r="Q905" t="s">
        <v>154</v>
      </c>
    </row>
    <row r="906" spans="1:17" x14ac:dyDescent="0.2">
      <c r="A906">
        <v>603758</v>
      </c>
      <c r="B906">
        <v>1940</v>
      </c>
      <c r="C906" s="1" t="s">
        <v>105</v>
      </c>
      <c r="D906" s="10">
        <v>45057.081250000003</v>
      </c>
      <c r="E906" t="s">
        <v>96</v>
      </c>
      <c r="F906" t="s">
        <v>45</v>
      </c>
      <c r="G906">
        <v>6181</v>
      </c>
      <c r="H906" s="5" t="s">
        <v>105</v>
      </c>
      <c r="I906" s="15">
        <v>45057</v>
      </c>
      <c r="J906" s="15" t="s">
        <v>233</v>
      </c>
      <c r="K906" s="6">
        <v>8.1250000000000003E-2</v>
      </c>
      <c r="L906" t="s">
        <v>142</v>
      </c>
      <c r="M906">
        <v>100000</v>
      </c>
      <c r="N906" t="s">
        <v>197</v>
      </c>
      <c r="O906" t="s">
        <v>151</v>
      </c>
      <c r="P906">
        <v>46</v>
      </c>
      <c r="Q906" t="s">
        <v>157</v>
      </c>
    </row>
    <row r="907" spans="1:17" x14ac:dyDescent="0.2">
      <c r="A907">
        <v>603855</v>
      </c>
      <c r="B907">
        <v>1895</v>
      </c>
      <c r="C907" s="1" t="s">
        <v>100</v>
      </c>
      <c r="D907" s="10">
        <v>45125.943749999999</v>
      </c>
      <c r="E907" t="s">
        <v>98</v>
      </c>
      <c r="F907" t="s">
        <v>8</v>
      </c>
      <c r="G907">
        <v>4237</v>
      </c>
      <c r="H907" s="5" t="s">
        <v>100</v>
      </c>
      <c r="I907" s="15">
        <v>45125</v>
      </c>
      <c r="J907" s="15" t="s">
        <v>234</v>
      </c>
      <c r="K907" s="6">
        <v>0.44374999999999998</v>
      </c>
      <c r="L907" t="s">
        <v>142</v>
      </c>
      <c r="M907">
        <v>200000</v>
      </c>
      <c r="N907" t="s">
        <v>201</v>
      </c>
      <c r="O907" t="s">
        <v>151</v>
      </c>
      <c r="P907">
        <v>58</v>
      </c>
      <c r="Q907" t="s">
        <v>157</v>
      </c>
    </row>
    <row r="908" spans="1:17" x14ac:dyDescent="0.2">
      <c r="A908">
        <v>603880</v>
      </c>
      <c r="B908">
        <v>1516</v>
      </c>
      <c r="C908" s="1" t="s">
        <v>103</v>
      </c>
      <c r="D908" s="10">
        <v>44962.067361111112</v>
      </c>
      <c r="E908" t="s">
        <v>98</v>
      </c>
      <c r="F908" t="s">
        <v>46</v>
      </c>
      <c r="G908">
        <v>4019</v>
      </c>
      <c r="H908" s="5" t="s">
        <v>103</v>
      </c>
      <c r="I908" s="15">
        <v>44962</v>
      </c>
      <c r="J908" s="15" t="s">
        <v>232</v>
      </c>
      <c r="K908" s="6">
        <v>6.7361111111111108E-2</v>
      </c>
      <c r="L908" t="s">
        <v>142</v>
      </c>
      <c r="M908">
        <v>200000</v>
      </c>
      <c r="N908" t="s">
        <v>211</v>
      </c>
      <c r="O908" t="s">
        <v>152</v>
      </c>
      <c r="P908">
        <v>25</v>
      </c>
      <c r="Q908" t="s">
        <v>157</v>
      </c>
    </row>
    <row r="909" spans="1:17" x14ac:dyDescent="0.2">
      <c r="A909">
        <v>604405</v>
      </c>
      <c r="B909">
        <v>36</v>
      </c>
      <c r="C909" s="1" t="s">
        <v>99</v>
      </c>
      <c r="D909" s="10">
        <v>45238.036805555559</v>
      </c>
      <c r="E909" t="s">
        <v>98</v>
      </c>
      <c r="F909" t="s">
        <v>60</v>
      </c>
      <c r="G909">
        <v>6944</v>
      </c>
      <c r="H909" s="5" t="s">
        <v>99</v>
      </c>
      <c r="I909" s="15">
        <v>45238</v>
      </c>
      <c r="J909" s="15" t="s">
        <v>295</v>
      </c>
      <c r="K909" s="6">
        <v>0.53680555555555554</v>
      </c>
      <c r="L909" t="s">
        <v>146</v>
      </c>
      <c r="M909">
        <v>100000</v>
      </c>
      <c r="N909" t="s">
        <v>225</v>
      </c>
      <c r="O909" t="s">
        <v>151</v>
      </c>
      <c r="P909">
        <v>63</v>
      </c>
      <c r="Q909" t="s">
        <v>154</v>
      </c>
    </row>
    <row r="910" spans="1:17" x14ac:dyDescent="0.2">
      <c r="A910">
        <v>604805</v>
      </c>
      <c r="B910">
        <v>246</v>
      </c>
      <c r="C910" s="1" t="s">
        <v>100</v>
      </c>
      <c r="D910" s="10">
        <v>45150.071527777778</v>
      </c>
      <c r="E910" t="s">
        <v>96</v>
      </c>
      <c r="F910" t="s">
        <v>21</v>
      </c>
      <c r="G910">
        <v>4349</v>
      </c>
      <c r="H910" s="5" t="s">
        <v>100</v>
      </c>
      <c r="I910" s="15">
        <v>45150</v>
      </c>
      <c r="J910" s="15" t="s">
        <v>234</v>
      </c>
      <c r="K910" s="6">
        <v>7.1527777777777773E-2</v>
      </c>
      <c r="L910" t="s">
        <v>142</v>
      </c>
      <c r="M910">
        <v>150000</v>
      </c>
      <c r="N910" t="s">
        <v>211</v>
      </c>
      <c r="O910" t="s">
        <v>152</v>
      </c>
      <c r="P910">
        <v>67</v>
      </c>
      <c r="Q910" t="s">
        <v>154</v>
      </c>
    </row>
    <row r="911" spans="1:17" x14ac:dyDescent="0.2">
      <c r="A911">
        <v>606775</v>
      </c>
      <c r="B911">
        <v>834</v>
      </c>
      <c r="C911" s="1" t="s">
        <v>102</v>
      </c>
      <c r="D911" s="10">
        <v>44982.994444444441</v>
      </c>
      <c r="E911" t="s">
        <v>96</v>
      </c>
      <c r="F911" t="s">
        <v>12</v>
      </c>
      <c r="G911">
        <v>7873</v>
      </c>
      <c r="H911" s="5" t="s">
        <v>102</v>
      </c>
      <c r="I911" s="15">
        <v>44982</v>
      </c>
      <c r="J911" s="15" t="s">
        <v>232</v>
      </c>
      <c r="K911" s="6">
        <v>0.49444444444444446</v>
      </c>
      <c r="L911" t="s">
        <v>143</v>
      </c>
      <c r="M911">
        <v>150000</v>
      </c>
      <c r="N911" t="s">
        <v>205</v>
      </c>
      <c r="O911" t="s">
        <v>151</v>
      </c>
      <c r="P911">
        <v>76</v>
      </c>
      <c r="Q911" t="s">
        <v>155</v>
      </c>
    </row>
    <row r="912" spans="1:17" x14ac:dyDescent="0.2">
      <c r="A912">
        <v>607197</v>
      </c>
      <c r="B912">
        <v>330</v>
      </c>
      <c r="C912" s="1" t="s">
        <v>113</v>
      </c>
      <c r="D912" s="10">
        <v>45278.976388888892</v>
      </c>
      <c r="E912" t="s">
        <v>98</v>
      </c>
      <c r="F912" t="s">
        <v>29</v>
      </c>
      <c r="G912">
        <v>793</v>
      </c>
      <c r="H912" s="5" t="s">
        <v>113</v>
      </c>
      <c r="I912" s="15">
        <v>45278</v>
      </c>
      <c r="J912" s="15" t="s">
        <v>295</v>
      </c>
      <c r="K912" s="6">
        <v>0.47638888888888886</v>
      </c>
      <c r="L912" t="s">
        <v>143</v>
      </c>
      <c r="M912">
        <v>150000</v>
      </c>
      <c r="N912" t="s">
        <v>214</v>
      </c>
      <c r="O912" t="s">
        <v>152</v>
      </c>
      <c r="P912">
        <v>43</v>
      </c>
      <c r="Q912" t="s">
        <v>154</v>
      </c>
    </row>
    <row r="913" spans="1:17" x14ac:dyDescent="0.2">
      <c r="A913">
        <v>608204</v>
      </c>
      <c r="B913">
        <v>1791</v>
      </c>
      <c r="C913" s="1" t="s">
        <v>99</v>
      </c>
      <c r="D913" s="10">
        <v>45158.042361111111</v>
      </c>
      <c r="E913" t="s">
        <v>97</v>
      </c>
      <c r="F913" t="s">
        <v>24</v>
      </c>
      <c r="G913">
        <v>1936</v>
      </c>
      <c r="H913" s="5" t="s">
        <v>99</v>
      </c>
      <c r="I913" s="15">
        <v>45158</v>
      </c>
      <c r="J913" s="15" t="s">
        <v>234</v>
      </c>
      <c r="K913" s="6">
        <v>4.2361111111111113E-2</v>
      </c>
      <c r="L913" t="s">
        <v>143</v>
      </c>
      <c r="M913">
        <v>200000</v>
      </c>
      <c r="N913" t="s">
        <v>214</v>
      </c>
      <c r="O913" t="s">
        <v>151</v>
      </c>
      <c r="P913">
        <v>33</v>
      </c>
      <c r="Q913" t="s">
        <v>157</v>
      </c>
    </row>
    <row r="914" spans="1:17" x14ac:dyDescent="0.2">
      <c r="A914">
        <v>608296</v>
      </c>
      <c r="B914">
        <v>1745</v>
      </c>
      <c r="C914" s="1" t="s">
        <v>99</v>
      </c>
      <c r="D914" s="10">
        <v>45044.048611111109</v>
      </c>
      <c r="E914" t="s">
        <v>97</v>
      </c>
      <c r="F914" t="s">
        <v>30</v>
      </c>
      <c r="G914">
        <v>9769</v>
      </c>
      <c r="H914" s="5" t="s">
        <v>99</v>
      </c>
      <c r="I914" s="15">
        <v>45044</v>
      </c>
      <c r="J914" s="15" t="s">
        <v>233</v>
      </c>
      <c r="K914" s="6">
        <v>4.8611111111111112E-2</v>
      </c>
      <c r="L914" t="s">
        <v>144</v>
      </c>
      <c r="M914">
        <v>200000</v>
      </c>
      <c r="N914" t="s">
        <v>216</v>
      </c>
      <c r="O914" t="s">
        <v>152</v>
      </c>
      <c r="P914">
        <v>54</v>
      </c>
      <c r="Q914" t="s">
        <v>157</v>
      </c>
    </row>
    <row r="915" spans="1:17" x14ac:dyDescent="0.2">
      <c r="A915">
        <v>609243</v>
      </c>
      <c r="B915">
        <v>1400</v>
      </c>
      <c r="C915" s="1" t="s">
        <v>99</v>
      </c>
      <c r="D915" s="10">
        <v>45183.025694444441</v>
      </c>
      <c r="E915" t="s">
        <v>97</v>
      </c>
      <c r="F915" t="s">
        <v>31</v>
      </c>
      <c r="G915">
        <v>7072</v>
      </c>
      <c r="H915" s="5" t="s">
        <v>99</v>
      </c>
      <c r="I915" s="15">
        <v>45183</v>
      </c>
      <c r="J915" s="15" t="s">
        <v>234</v>
      </c>
      <c r="K915" s="6">
        <v>0.52569444444444446</v>
      </c>
      <c r="L915" t="s">
        <v>143</v>
      </c>
      <c r="M915">
        <v>80000</v>
      </c>
      <c r="N915" t="s">
        <v>204</v>
      </c>
      <c r="O915" t="s">
        <v>152</v>
      </c>
      <c r="P915">
        <v>34</v>
      </c>
      <c r="Q915" t="s">
        <v>156</v>
      </c>
    </row>
    <row r="916" spans="1:17" x14ac:dyDescent="0.2">
      <c r="A916">
        <v>609375</v>
      </c>
      <c r="B916">
        <v>612</v>
      </c>
      <c r="C916" s="8" t="s">
        <v>99</v>
      </c>
      <c r="D916" s="10">
        <v>45042.007638888892</v>
      </c>
      <c r="E916" t="s">
        <v>96</v>
      </c>
      <c r="F916" t="s">
        <v>90</v>
      </c>
      <c r="G916">
        <v>9567</v>
      </c>
      <c r="H916" s="5" t="s">
        <v>99</v>
      </c>
      <c r="I916" s="15">
        <v>45042</v>
      </c>
      <c r="J916" s="15" t="s">
        <v>233</v>
      </c>
      <c r="K916" s="6">
        <v>0.50763888888888886</v>
      </c>
      <c r="L916" t="s">
        <v>142</v>
      </c>
      <c r="M916">
        <v>150000</v>
      </c>
      <c r="N916" t="s">
        <v>208</v>
      </c>
      <c r="O916" t="s">
        <v>151</v>
      </c>
      <c r="P916">
        <v>18</v>
      </c>
      <c r="Q916" t="s">
        <v>155</v>
      </c>
    </row>
    <row r="917" spans="1:17" x14ac:dyDescent="0.2">
      <c r="A917">
        <v>609984</v>
      </c>
      <c r="B917">
        <v>1488</v>
      </c>
      <c r="C917" s="1" t="s">
        <v>99</v>
      </c>
      <c r="D917" s="10">
        <v>45049.04791666667</v>
      </c>
      <c r="E917" t="s">
        <v>96</v>
      </c>
      <c r="F917" t="s">
        <v>33</v>
      </c>
      <c r="G917">
        <v>4417</v>
      </c>
      <c r="H917" s="5" t="s">
        <v>99</v>
      </c>
      <c r="I917" s="15">
        <v>45049</v>
      </c>
      <c r="J917" s="15" t="s">
        <v>233</v>
      </c>
      <c r="K917" s="6">
        <v>4.791666666666667E-2</v>
      </c>
      <c r="L917" t="s">
        <v>145</v>
      </c>
      <c r="M917">
        <v>100000</v>
      </c>
      <c r="N917" t="s">
        <v>210</v>
      </c>
      <c r="O917" t="s">
        <v>151</v>
      </c>
      <c r="P917">
        <v>35</v>
      </c>
      <c r="Q917" t="s">
        <v>156</v>
      </c>
    </row>
    <row r="918" spans="1:17" x14ac:dyDescent="0.2">
      <c r="A918">
        <v>610023</v>
      </c>
      <c r="B918">
        <v>789</v>
      </c>
      <c r="C918" s="1" t="s">
        <v>100</v>
      </c>
      <c r="D918" s="10">
        <v>45074.051388888889</v>
      </c>
      <c r="E918" t="s">
        <v>191</v>
      </c>
      <c r="F918" t="s">
        <v>91</v>
      </c>
      <c r="G918">
        <v>620</v>
      </c>
      <c r="H918" s="5" t="s">
        <v>100</v>
      </c>
      <c r="I918" s="15">
        <v>45074</v>
      </c>
      <c r="J918" s="15" t="s">
        <v>233</v>
      </c>
      <c r="K918" s="6">
        <v>5.1388888888888887E-2</v>
      </c>
      <c r="L918" t="s">
        <v>142</v>
      </c>
      <c r="M918">
        <v>100000</v>
      </c>
      <c r="N918" t="s">
        <v>213</v>
      </c>
      <c r="O918" t="s">
        <v>151</v>
      </c>
      <c r="P918">
        <v>62</v>
      </c>
      <c r="Q918" t="s">
        <v>155</v>
      </c>
    </row>
    <row r="919" spans="1:17" x14ac:dyDescent="0.2">
      <c r="A919">
        <v>610367</v>
      </c>
      <c r="B919">
        <v>1096</v>
      </c>
      <c r="C919" s="1" t="s">
        <v>105</v>
      </c>
      <c r="D919" s="10">
        <v>44936.000694444447</v>
      </c>
      <c r="E919" t="s">
        <v>97</v>
      </c>
      <c r="F919" t="s">
        <v>35</v>
      </c>
      <c r="G919">
        <v>5230</v>
      </c>
      <c r="H919" s="5" t="s">
        <v>105</v>
      </c>
      <c r="I919" s="15">
        <v>44936</v>
      </c>
      <c r="J919" s="15" t="s">
        <v>232</v>
      </c>
      <c r="K919" s="6">
        <v>0.50069444444444444</v>
      </c>
      <c r="L919" t="s">
        <v>144</v>
      </c>
      <c r="M919">
        <v>100000</v>
      </c>
      <c r="N919" t="s">
        <v>219</v>
      </c>
      <c r="O919" t="s">
        <v>151</v>
      </c>
      <c r="P919">
        <v>87</v>
      </c>
      <c r="Q919" t="s">
        <v>156</v>
      </c>
    </row>
    <row r="920" spans="1:17" x14ac:dyDescent="0.2">
      <c r="A920">
        <v>611265</v>
      </c>
      <c r="B920">
        <v>396</v>
      </c>
      <c r="C920" s="1" t="s">
        <v>105</v>
      </c>
      <c r="D920" s="10">
        <v>45211.004166666666</v>
      </c>
      <c r="E920" t="s">
        <v>96</v>
      </c>
      <c r="F920" t="s">
        <v>36</v>
      </c>
      <c r="G920">
        <v>1305</v>
      </c>
      <c r="H920" s="5" t="s">
        <v>105</v>
      </c>
      <c r="I920" s="15">
        <v>45211</v>
      </c>
      <c r="J920" s="15" t="s">
        <v>295</v>
      </c>
      <c r="K920" s="6">
        <v>0.50416666666666665</v>
      </c>
      <c r="L920" t="s">
        <v>146</v>
      </c>
      <c r="M920">
        <v>100000</v>
      </c>
      <c r="N920" t="s">
        <v>220</v>
      </c>
      <c r="O920" t="s">
        <v>152</v>
      </c>
      <c r="P920">
        <v>53</v>
      </c>
      <c r="Q920" t="s">
        <v>154</v>
      </c>
    </row>
    <row r="921" spans="1:17" x14ac:dyDescent="0.2">
      <c r="A921">
        <v>611594</v>
      </c>
      <c r="B921">
        <v>827</v>
      </c>
      <c r="C921" s="1" t="s">
        <v>106</v>
      </c>
      <c r="D921" s="10">
        <v>44933.004166666666</v>
      </c>
      <c r="E921" t="s">
        <v>98</v>
      </c>
      <c r="F921" t="s">
        <v>37</v>
      </c>
      <c r="G921">
        <v>4635</v>
      </c>
      <c r="H921" s="5" t="s">
        <v>106</v>
      </c>
      <c r="I921" s="15">
        <v>44933</v>
      </c>
      <c r="J921" s="15" t="s">
        <v>232</v>
      </c>
      <c r="K921" s="6">
        <v>0.50416666666666665</v>
      </c>
      <c r="L921" t="s">
        <v>144</v>
      </c>
      <c r="M921">
        <v>100000</v>
      </c>
      <c r="N921" t="s">
        <v>199</v>
      </c>
      <c r="O921" t="s">
        <v>151</v>
      </c>
      <c r="P921">
        <v>40</v>
      </c>
      <c r="Q921" t="s">
        <v>155</v>
      </c>
    </row>
    <row r="922" spans="1:17" x14ac:dyDescent="0.2">
      <c r="A922">
        <v>611621</v>
      </c>
      <c r="B922">
        <v>1357</v>
      </c>
      <c r="C922" s="1" t="s">
        <v>111</v>
      </c>
      <c r="D922" s="10">
        <v>45077.003472222219</v>
      </c>
      <c r="E922" t="s">
        <v>98</v>
      </c>
      <c r="F922" t="s">
        <v>27</v>
      </c>
      <c r="G922">
        <v>9926</v>
      </c>
      <c r="H922" s="5" t="s">
        <v>111</v>
      </c>
      <c r="I922" s="15">
        <v>45077</v>
      </c>
      <c r="J922" s="15" t="s">
        <v>233</v>
      </c>
      <c r="K922" s="6">
        <v>0.50347222222222221</v>
      </c>
      <c r="L922" t="s">
        <v>142</v>
      </c>
      <c r="M922">
        <v>1000000</v>
      </c>
      <c r="N922" t="s">
        <v>209</v>
      </c>
      <c r="O922" t="s">
        <v>151</v>
      </c>
      <c r="P922">
        <v>43</v>
      </c>
      <c r="Q922" t="s">
        <v>156</v>
      </c>
    </row>
    <row r="923" spans="1:17" x14ac:dyDescent="0.2">
      <c r="A923">
        <v>611767</v>
      </c>
      <c r="B923">
        <v>917</v>
      </c>
      <c r="C923" s="1" t="s">
        <v>103</v>
      </c>
      <c r="D923" s="10">
        <v>45044.999305555553</v>
      </c>
      <c r="E923" t="s">
        <v>97</v>
      </c>
      <c r="F923" t="s">
        <v>65</v>
      </c>
      <c r="G923">
        <v>1716</v>
      </c>
      <c r="H923" s="5" t="s">
        <v>103</v>
      </c>
      <c r="I923" s="15">
        <v>45044</v>
      </c>
      <c r="J923" s="15" t="s">
        <v>233</v>
      </c>
      <c r="K923" s="6">
        <v>0.49930555555555556</v>
      </c>
      <c r="L923" t="s">
        <v>146</v>
      </c>
      <c r="M923">
        <v>200000</v>
      </c>
      <c r="N923" t="s">
        <v>225</v>
      </c>
      <c r="O923" t="s">
        <v>152</v>
      </c>
      <c r="P923">
        <v>41</v>
      </c>
      <c r="Q923" t="s">
        <v>155</v>
      </c>
    </row>
    <row r="924" spans="1:17" x14ac:dyDescent="0.2">
      <c r="A924">
        <v>611976</v>
      </c>
      <c r="B924">
        <v>1269</v>
      </c>
      <c r="C924" s="1" t="s">
        <v>110</v>
      </c>
      <c r="D924" s="10">
        <v>45241.968055555553</v>
      </c>
      <c r="E924" t="s">
        <v>191</v>
      </c>
      <c r="F924" t="s">
        <v>23</v>
      </c>
      <c r="G924">
        <v>3073</v>
      </c>
      <c r="H924" s="5" t="s">
        <v>110</v>
      </c>
      <c r="I924" s="15">
        <v>45241</v>
      </c>
      <c r="J924" s="15" t="s">
        <v>295</v>
      </c>
      <c r="K924" s="6">
        <v>0.46805555555555556</v>
      </c>
      <c r="L924" t="s">
        <v>142</v>
      </c>
      <c r="M924">
        <v>150000</v>
      </c>
      <c r="N924" t="s">
        <v>213</v>
      </c>
      <c r="O924" t="s">
        <v>151</v>
      </c>
      <c r="P924">
        <v>48</v>
      </c>
      <c r="Q924" t="s">
        <v>156</v>
      </c>
    </row>
    <row r="925" spans="1:17" x14ac:dyDescent="0.2">
      <c r="A925">
        <v>612088</v>
      </c>
      <c r="B925">
        <v>1411</v>
      </c>
      <c r="C925" s="1" t="s">
        <v>105</v>
      </c>
      <c r="D925" s="10">
        <v>45209.070138888892</v>
      </c>
      <c r="E925" t="s">
        <v>191</v>
      </c>
      <c r="F925" t="s">
        <v>40</v>
      </c>
      <c r="G925">
        <v>2946</v>
      </c>
      <c r="H925" s="5" t="s">
        <v>105</v>
      </c>
      <c r="I925" s="15">
        <v>45209</v>
      </c>
      <c r="J925" s="15" t="s">
        <v>295</v>
      </c>
      <c r="K925" s="6">
        <v>7.013888888888889E-2</v>
      </c>
      <c r="L925" t="s">
        <v>142</v>
      </c>
      <c r="M925">
        <v>150000</v>
      </c>
      <c r="N925" t="s">
        <v>207</v>
      </c>
      <c r="O925" t="s">
        <v>152</v>
      </c>
      <c r="P925">
        <v>52</v>
      </c>
      <c r="Q925" t="s">
        <v>156</v>
      </c>
    </row>
    <row r="926" spans="1:17" x14ac:dyDescent="0.2">
      <c r="A926">
        <v>613070</v>
      </c>
      <c r="B926">
        <v>1755</v>
      </c>
      <c r="C926" s="1" t="s">
        <v>105</v>
      </c>
      <c r="D926" s="10">
        <v>45251.002083333333</v>
      </c>
      <c r="E926" t="s">
        <v>97</v>
      </c>
      <c r="F926" t="s">
        <v>41</v>
      </c>
      <c r="G926">
        <v>895</v>
      </c>
      <c r="H926" s="5" t="s">
        <v>105</v>
      </c>
      <c r="I926" s="15">
        <v>45251</v>
      </c>
      <c r="J926" s="15" t="s">
        <v>295</v>
      </c>
      <c r="K926" s="6">
        <v>0.50208333333333333</v>
      </c>
      <c r="L926" t="s">
        <v>145</v>
      </c>
      <c r="M926">
        <v>150000</v>
      </c>
      <c r="N926" t="s">
        <v>203</v>
      </c>
      <c r="O926" t="s">
        <v>151</v>
      </c>
      <c r="P926">
        <v>66</v>
      </c>
      <c r="Q926" t="s">
        <v>157</v>
      </c>
    </row>
    <row r="927" spans="1:17" x14ac:dyDescent="0.2">
      <c r="A927">
        <v>614468</v>
      </c>
      <c r="B927">
        <v>801</v>
      </c>
      <c r="C927" s="1" t="s">
        <v>100</v>
      </c>
      <c r="D927" s="10">
        <v>45185.044444444444</v>
      </c>
      <c r="E927" t="s">
        <v>98</v>
      </c>
      <c r="F927" t="s">
        <v>42</v>
      </c>
      <c r="G927">
        <v>1451</v>
      </c>
      <c r="H927" s="5" t="s">
        <v>100</v>
      </c>
      <c r="I927" s="15">
        <v>45185</v>
      </c>
      <c r="J927" s="15" t="s">
        <v>234</v>
      </c>
      <c r="K927" s="6">
        <v>4.4444444444444446E-2</v>
      </c>
      <c r="L927" t="s">
        <v>144</v>
      </c>
      <c r="M927">
        <v>100000</v>
      </c>
      <c r="N927" t="s">
        <v>219</v>
      </c>
      <c r="O927" t="s">
        <v>151</v>
      </c>
      <c r="P927">
        <v>77</v>
      </c>
      <c r="Q927" t="s">
        <v>155</v>
      </c>
    </row>
    <row r="928" spans="1:17" x14ac:dyDescent="0.2">
      <c r="A928">
        <v>615484</v>
      </c>
      <c r="B928">
        <v>1044</v>
      </c>
      <c r="C928" s="1" t="s">
        <v>113</v>
      </c>
      <c r="D928" s="10">
        <v>45043.995833333334</v>
      </c>
      <c r="E928" t="s">
        <v>97</v>
      </c>
      <c r="F928" t="s">
        <v>43</v>
      </c>
      <c r="G928">
        <v>8774</v>
      </c>
      <c r="H928" s="5" t="s">
        <v>113</v>
      </c>
      <c r="I928" s="15">
        <v>45043</v>
      </c>
      <c r="J928" s="15" t="s">
        <v>233</v>
      </c>
      <c r="K928" s="6">
        <v>0.49583333333333335</v>
      </c>
      <c r="L928" t="s">
        <v>145</v>
      </c>
      <c r="M928">
        <v>1000000</v>
      </c>
      <c r="N928" t="s">
        <v>203</v>
      </c>
      <c r="O928" t="s">
        <v>151</v>
      </c>
      <c r="P928">
        <v>26</v>
      </c>
      <c r="Q928" t="s">
        <v>156</v>
      </c>
    </row>
    <row r="929" spans="1:17" x14ac:dyDescent="0.2">
      <c r="A929">
        <v>615675</v>
      </c>
      <c r="B929">
        <v>1502</v>
      </c>
      <c r="C929" s="1" t="s">
        <v>105</v>
      </c>
      <c r="D929" s="10">
        <v>45059.018055555556</v>
      </c>
      <c r="E929" t="s">
        <v>191</v>
      </c>
      <c r="F929" t="s">
        <v>44</v>
      </c>
      <c r="G929">
        <v>3875</v>
      </c>
      <c r="H929" s="5" t="s">
        <v>105</v>
      </c>
      <c r="I929" s="15">
        <v>45059</v>
      </c>
      <c r="J929" s="15" t="s">
        <v>233</v>
      </c>
      <c r="K929" s="6">
        <v>0.5180555555555556</v>
      </c>
      <c r="L929" t="s">
        <v>144</v>
      </c>
      <c r="M929">
        <v>150000</v>
      </c>
      <c r="N929" t="s">
        <v>199</v>
      </c>
      <c r="O929" t="s">
        <v>152</v>
      </c>
      <c r="P929">
        <v>33</v>
      </c>
      <c r="Q929" t="s">
        <v>157</v>
      </c>
    </row>
    <row r="930" spans="1:17" x14ac:dyDescent="0.2">
      <c r="A930">
        <v>617035</v>
      </c>
      <c r="B930">
        <v>704</v>
      </c>
      <c r="C930" s="1" t="s">
        <v>99</v>
      </c>
      <c r="D930" s="10">
        <v>45115.975694444445</v>
      </c>
      <c r="E930" t="s">
        <v>97</v>
      </c>
      <c r="F930" t="s">
        <v>81</v>
      </c>
      <c r="G930">
        <v>777</v>
      </c>
      <c r="H930" s="5" t="s">
        <v>99</v>
      </c>
      <c r="I930" s="15">
        <v>45115</v>
      </c>
      <c r="J930" s="15" t="s">
        <v>234</v>
      </c>
      <c r="K930" s="6">
        <v>0.47569444444444442</v>
      </c>
      <c r="L930" t="s">
        <v>143</v>
      </c>
      <c r="M930">
        <v>250000</v>
      </c>
      <c r="N930" t="s">
        <v>221</v>
      </c>
      <c r="O930" t="s">
        <v>152</v>
      </c>
      <c r="P930">
        <v>76</v>
      </c>
      <c r="Q930" t="s">
        <v>155</v>
      </c>
    </row>
    <row r="931" spans="1:17" x14ac:dyDescent="0.2">
      <c r="A931">
        <v>618196</v>
      </c>
      <c r="B931">
        <v>780</v>
      </c>
      <c r="C931" s="1" t="s">
        <v>113</v>
      </c>
      <c r="D931" s="10">
        <v>45250.065972222219</v>
      </c>
      <c r="E931" t="s">
        <v>191</v>
      </c>
      <c r="F931" t="s">
        <v>14</v>
      </c>
      <c r="G931">
        <v>9962</v>
      </c>
      <c r="H931" s="5" t="s">
        <v>113</v>
      </c>
      <c r="I931" s="15">
        <v>45250</v>
      </c>
      <c r="J931" s="15" t="s">
        <v>295</v>
      </c>
      <c r="K931" s="6">
        <v>6.5972222222222224E-2</v>
      </c>
      <c r="L931" t="s">
        <v>142</v>
      </c>
      <c r="M931">
        <v>250000</v>
      </c>
      <c r="N931" t="s">
        <v>207</v>
      </c>
      <c r="O931" t="s">
        <v>151</v>
      </c>
      <c r="P931">
        <v>43</v>
      </c>
      <c r="Q931" t="s">
        <v>155</v>
      </c>
    </row>
    <row r="932" spans="1:17" x14ac:dyDescent="0.2">
      <c r="A932">
        <v>618986</v>
      </c>
      <c r="B932">
        <v>1458</v>
      </c>
      <c r="C932" s="1" t="s">
        <v>100</v>
      </c>
      <c r="D932" s="10">
        <v>45229.036805555559</v>
      </c>
      <c r="E932" t="s">
        <v>98</v>
      </c>
      <c r="F932" t="s">
        <v>43</v>
      </c>
      <c r="G932">
        <v>3216</v>
      </c>
      <c r="H932" s="5" t="s">
        <v>100</v>
      </c>
      <c r="I932" s="15">
        <v>45229</v>
      </c>
      <c r="J932" s="15" t="s">
        <v>295</v>
      </c>
      <c r="K932" s="6">
        <v>0.53680555555555554</v>
      </c>
      <c r="L932" t="s">
        <v>145</v>
      </c>
      <c r="M932">
        <v>1000000</v>
      </c>
      <c r="N932" t="s">
        <v>203</v>
      </c>
      <c r="O932" t="s">
        <v>151</v>
      </c>
      <c r="P932">
        <v>67</v>
      </c>
      <c r="Q932" t="s">
        <v>156</v>
      </c>
    </row>
    <row r="933" spans="1:17" x14ac:dyDescent="0.2">
      <c r="A933">
        <v>619879</v>
      </c>
      <c r="B933">
        <v>446</v>
      </c>
      <c r="C933" s="1" t="s">
        <v>99</v>
      </c>
      <c r="D933" s="10">
        <v>44937.056944444441</v>
      </c>
      <c r="E933" t="s">
        <v>96</v>
      </c>
      <c r="F933" t="s">
        <v>45</v>
      </c>
      <c r="G933">
        <v>2645</v>
      </c>
      <c r="H933" s="5" t="s">
        <v>99</v>
      </c>
      <c r="I933" s="15">
        <v>44937</v>
      </c>
      <c r="J933" s="15" t="s">
        <v>232</v>
      </c>
      <c r="K933" s="6">
        <v>5.6944444444444443E-2</v>
      </c>
      <c r="L933" t="s">
        <v>142</v>
      </c>
      <c r="M933">
        <v>100000</v>
      </c>
      <c r="N933" t="s">
        <v>197</v>
      </c>
      <c r="O933" t="s">
        <v>151</v>
      </c>
      <c r="P933">
        <v>67</v>
      </c>
      <c r="Q933" t="s">
        <v>154</v>
      </c>
    </row>
    <row r="934" spans="1:17" x14ac:dyDescent="0.2">
      <c r="A934">
        <v>619949</v>
      </c>
      <c r="B934">
        <v>1002</v>
      </c>
      <c r="C934" s="1" t="s">
        <v>113</v>
      </c>
      <c r="D934" s="10">
        <v>45001.051388888889</v>
      </c>
      <c r="E934" t="s">
        <v>97</v>
      </c>
      <c r="F934" t="s">
        <v>8</v>
      </c>
      <c r="G934">
        <v>1392</v>
      </c>
      <c r="H934" s="5" t="s">
        <v>113</v>
      </c>
      <c r="I934" s="15">
        <v>45001</v>
      </c>
      <c r="J934" s="15" t="s">
        <v>232</v>
      </c>
      <c r="K934" s="6">
        <v>5.1388888888888887E-2</v>
      </c>
      <c r="L934" t="s">
        <v>142</v>
      </c>
      <c r="M934">
        <v>200000</v>
      </c>
      <c r="N934" t="s">
        <v>201</v>
      </c>
      <c r="O934" t="s">
        <v>151</v>
      </c>
      <c r="P934">
        <v>86</v>
      </c>
      <c r="Q934" t="s">
        <v>156</v>
      </c>
    </row>
    <row r="935" spans="1:17" x14ac:dyDescent="0.2">
      <c r="A935">
        <v>620937</v>
      </c>
      <c r="B935">
        <v>1822</v>
      </c>
      <c r="C935" s="1" t="s">
        <v>99</v>
      </c>
      <c r="D935" s="10">
        <v>45079.025000000001</v>
      </c>
      <c r="E935" t="s">
        <v>97</v>
      </c>
      <c r="F935" t="s">
        <v>67</v>
      </c>
      <c r="G935">
        <v>8767</v>
      </c>
      <c r="H935" s="5" t="s">
        <v>99</v>
      </c>
      <c r="I935" s="15">
        <v>45079</v>
      </c>
      <c r="J935" s="15" t="s">
        <v>233</v>
      </c>
      <c r="K935" s="6">
        <v>0.52500000000000002</v>
      </c>
      <c r="L935" t="s">
        <v>142</v>
      </c>
      <c r="M935">
        <v>100000</v>
      </c>
      <c r="N935" t="s">
        <v>213</v>
      </c>
      <c r="O935" t="s">
        <v>151</v>
      </c>
      <c r="P935">
        <v>56</v>
      </c>
      <c r="Q935" t="s">
        <v>157</v>
      </c>
    </row>
    <row r="936" spans="1:17" x14ac:dyDescent="0.2">
      <c r="A936">
        <v>621177</v>
      </c>
      <c r="B936">
        <v>1452</v>
      </c>
      <c r="C936" s="1" t="s">
        <v>100</v>
      </c>
      <c r="D936" s="10">
        <v>44954.02847222222</v>
      </c>
      <c r="E936" t="s">
        <v>97</v>
      </c>
      <c r="F936" t="s">
        <v>60</v>
      </c>
      <c r="G936">
        <v>2907</v>
      </c>
      <c r="H936" s="5" t="s">
        <v>100</v>
      </c>
      <c r="I936" s="15">
        <v>44954</v>
      </c>
      <c r="J936" s="15" t="s">
        <v>232</v>
      </c>
      <c r="K936" s="6">
        <v>0.52847222222222223</v>
      </c>
      <c r="L936" t="s">
        <v>146</v>
      </c>
      <c r="M936">
        <v>100000</v>
      </c>
      <c r="N936" t="s">
        <v>225</v>
      </c>
      <c r="O936" t="s">
        <v>152</v>
      </c>
      <c r="P936">
        <v>22</v>
      </c>
      <c r="Q936" t="s">
        <v>156</v>
      </c>
    </row>
    <row r="937" spans="1:17" x14ac:dyDescent="0.2">
      <c r="A937">
        <v>621694</v>
      </c>
      <c r="B937">
        <v>1769</v>
      </c>
      <c r="C937" s="1" t="s">
        <v>105</v>
      </c>
      <c r="D937" s="10">
        <v>45269.065972222219</v>
      </c>
      <c r="E937" t="s">
        <v>96</v>
      </c>
      <c r="F937" t="s">
        <v>90</v>
      </c>
      <c r="G937">
        <v>1826</v>
      </c>
      <c r="H937" s="5" t="s">
        <v>105</v>
      </c>
      <c r="I937" s="15">
        <v>45269</v>
      </c>
      <c r="J937" s="15" t="s">
        <v>295</v>
      </c>
      <c r="K937" s="6">
        <v>6.5972222222222224E-2</v>
      </c>
      <c r="L937" t="s">
        <v>142</v>
      </c>
      <c r="M937">
        <v>150000</v>
      </c>
      <c r="N937" t="s">
        <v>208</v>
      </c>
      <c r="O937" t="s">
        <v>151</v>
      </c>
      <c r="P937">
        <v>27</v>
      </c>
      <c r="Q937" t="s">
        <v>157</v>
      </c>
    </row>
    <row r="938" spans="1:17" x14ac:dyDescent="0.2">
      <c r="A938">
        <v>622405</v>
      </c>
      <c r="B938">
        <v>953</v>
      </c>
      <c r="C938" s="1" t="s">
        <v>99</v>
      </c>
      <c r="D938" s="10">
        <v>45193.057638888888</v>
      </c>
      <c r="E938" t="s">
        <v>191</v>
      </c>
      <c r="F938" t="s">
        <v>23</v>
      </c>
      <c r="G938">
        <v>9431</v>
      </c>
      <c r="H938" s="5" t="s">
        <v>99</v>
      </c>
      <c r="I938" s="15">
        <v>45193</v>
      </c>
      <c r="J938" s="15" t="s">
        <v>234</v>
      </c>
      <c r="K938" s="6">
        <v>5.7638888888888892E-2</v>
      </c>
      <c r="L938" t="s">
        <v>142</v>
      </c>
      <c r="M938">
        <v>150000</v>
      </c>
      <c r="N938" t="s">
        <v>213</v>
      </c>
      <c r="O938" t="s">
        <v>152</v>
      </c>
      <c r="P938">
        <v>67</v>
      </c>
      <c r="Q938" t="s">
        <v>155</v>
      </c>
    </row>
    <row r="939" spans="1:17" x14ac:dyDescent="0.2">
      <c r="A939">
        <v>622656</v>
      </c>
      <c r="B939">
        <v>418</v>
      </c>
      <c r="C939" s="1" t="s">
        <v>106</v>
      </c>
      <c r="D939" s="10">
        <v>45157.002083333333</v>
      </c>
      <c r="E939" t="s">
        <v>96</v>
      </c>
      <c r="F939" t="s">
        <v>95</v>
      </c>
      <c r="G939">
        <v>6905</v>
      </c>
      <c r="H939" s="5" t="s">
        <v>106</v>
      </c>
      <c r="I939" s="15">
        <v>45157</v>
      </c>
      <c r="J939" s="15" t="s">
        <v>234</v>
      </c>
      <c r="K939" s="6">
        <v>0.50208333333333333</v>
      </c>
      <c r="L939" t="s">
        <v>143</v>
      </c>
      <c r="M939">
        <v>30000</v>
      </c>
      <c r="N939" t="s">
        <v>221</v>
      </c>
      <c r="O939" t="s">
        <v>152</v>
      </c>
      <c r="P939">
        <v>22</v>
      </c>
      <c r="Q939" t="s">
        <v>154</v>
      </c>
    </row>
    <row r="940" spans="1:17" x14ac:dyDescent="0.2">
      <c r="A940">
        <v>622835</v>
      </c>
      <c r="B940">
        <v>998</v>
      </c>
      <c r="C940" s="1" t="s">
        <v>103</v>
      </c>
      <c r="D940" s="10">
        <v>45258.074305555558</v>
      </c>
      <c r="E940" t="s">
        <v>191</v>
      </c>
      <c r="F940" t="s">
        <v>54</v>
      </c>
      <c r="G940">
        <v>678</v>
      </c>
      <c r="H940" s="5" t="s">
        <v>103</v>
      </c>
      <c r="I940" s="15">
        <v>45258</v>
      </c>
      <c r="J940" s="15" t="s">
        <v>295</v>
      </c>
      <c r="K940" s="6">
        <v>7.4305555555555555E-2</v>
      </c>
      <c r="L940" t="s">
        <v>144</v>
      </c>
      <c r="M940">
        <v>100000</v>
      </c>
      <c r="N940" t="s">
        <v>224</v>
      </c>
      <c r="O940" t="s">
        <v>152</v>
      </c>
      <c r="P940">
        <v>89</v>
      </c>
      <c r="Q940" t="s">
        <v>155</v>
      </c>
    </row>
    <row r="941" spans="1:17" x14ac:dyDescent="0.2">
      <c r="A941">
        <v>623784</v>
      </c>
      <c r="B941">
        <v>781</v>
      </c>
      <c r="C941" s="1" t="s">
        <v>102</v>
      </c>
      <c r="D941" s="10">
        <v>45240.073611111111</v>
      </c>
      <c r="E941" t="s">
        <v>97</v>
      </c>
      <c r="F941" t="s">
        <v>20</v>
      </c>
      <c r="G941">
        <v>6494</v>
      </c>
      <c r="H941" s="5" t="s">
        <v>102</v>
      </c>
      <c r="I941" s="15">
        <v>45240</v>
      </c>
      <c r="J941" s="15" t="s">
        <v>295</v>
      </c>
      <c r="K941" s="6">
        <v>7.3611111111111113E-2</v>
      </c>
      <c r="L941" t="s">
        <v>146</v>
      </c>
      <c r="M941">
        <v>150000</v>
      </c>
      <c r="N941" t="s">
        <v>212</v>
      </c>
      <c r="O941" t="s">
        <v>152</v>
      </c>
      <c r="P941">
        <v>66</v>
      </c>
      <c r="Q941" t="s">
        <v>155</v>
      </c>
    </row>
    <row r="942" spans="1:17" x14ac:dyDescent="0.2">
      <c r="A942">
        <v>623935</v>
      </c>
      <c r="B942">
        <v>1278</v>
      </c>
      <c r="C942" s="1" t="s">
        <v>99</v>
      </c>
      <c r="D942" s="10">
        <v>45027.058333333334</v>
      </c>
      <c r="E942" t="s">
        <v>96</v>
      </c>
      <c r="F942" t="s">
        <v>41</v>
      </c>
      <c r="G942">
        <v>7665</v>
      </c>
      <c r="H942" s="5" t="s">
        <v>99</v>
      </c>
      <c r="I942" s="15">
        <v>45027</v>
      </c>
      <c r="J942" s="15" t="s">
        <v>233</v>
      </c>
      <c r="K942" s="6">
        <v>5.8333333333333334E-2</v>
      </c>
      <c r="L942" t="s">
        <v>145</v>
      </c>
      <c r="M942">
        <v>150000</v>
      </c>
      <c r="N942" t="s">
        <v>203</v>
      </c>
      <c r="O942" t="s">
        <v>152</v>
      </c>
      <c r="P942">
        <v>69</v>
      </c>
      <c r="Q942" t="s">
        <v>156</v>
      </c>
    </row>
    <row r="943" spans="1:17" x14ac:dyDescent="0.2">
      <c r="A943">
        <v>624499</v>
      </c>
      <c r="B943">
        <v>1290</v>
      </c>
      <c r="C943" s="1" t="s">
        <v>99</v>
      </c>
      <c r="D943" s="10">
        <v>44932.027777777781</v>
      </c>
      <c r="E943" t="s">
        <v>96</v>
      </c>
      <c r="F943" t="s">
        <v>55</v>
      </c>
      <c r="G943">
        <v>4403</v>
      </c>
      <c r="H943" s="5" t="s">
        <v>99</v>
      </c>
      <c r="I943" s="15">
        <v>44932</v>
      </c>
      <c r="J943" s="15" t="s">
        <v>232</v>
      </c>
      <c r="K943" s="6">
        <v>0.52777777777777779</v>
      </c>
      <c r="L943" t="s">
        <v>144</v>
      </c>
      <c r="M943">
        <v>100000</v>
      </c>
      <c r="N943" t="s">
        <v>219</v>
      </c>
      <c r="O943" t="s">
        <v>151</v>
      </c>
      <c r="P943">
        <v>31</v>
      </c>
      <c r="Q943" t="s">
        <v>156</v>
      </c>
    </row>
    <row r="944" spans="1:17" x14ac:dyDescent="0.2">
      <c r="A944">
        <v>624700</v>
      </c>
      <c r="B944">
        <v>1948</v>
      </c>
      <c r="C944" s="1" t="s">
        <v>99</v>
      </c>
      <c r="D944" s="10">
        <v>45276.97152777778</v>
      </c>
      <c r="E944" t="s">
        <v>98</v>
      </c>
      <c r="F944" t="s">
        <v>56</v>
      </c>
      <c r="G944">
        <v>5277</v>
      </c>
      <c r="H944" s="5" t="s">
        <v>99</v>
      </c>
      <c r="I944" s="15">
        <v>45276</v>
      </c>
      <c r="J944" s="15" t="s">
        <v>295</v>
      </c>
      <c r="K944" s="6">
        <v>0.47152777777777777</v>
      </c>
      <c r="L944" t="s">
        <v>146</v>
      </c>
      <c r="M944">
        <v>50000</v>
      </c>
      <c r="N944" t="s">
        <v>220</v>
      </c>
      <c r="O944" t="s">
        <v>152</v>
      </c>
      <c r="P944">
        <v>79</v>
      </c>
      <c r="Q944" t="s">
        <v>157</v>
      </c>
    </row>
    <row r="945" spans="1:17" x14ac:dyDescent="0.2">
      <c r="A945">
        <v>624736</v>
      </c>
      <c r="B945">
        <v>633</v>
      </c>
      <c r="C945" s="1" t="s">
        <v>100</v>
      </c>
      <c r="D945" s="10">
        <v>45067.070833333331</v>
      </c>
      <c r="E945" t="s">
        <v>98</v>
      </c>
      <c r="F945" t="s">
        <v>57</v>
      </c>
      <c r="G945">
        <v>486</v>
      </c>
      <c r="H945" s="5" t="s">
        <v>100</v>
      </c>
      <c r="I945" s="15">
        <v>45067</v>
      </c>
      <c r="J945" s="15" t="s">
        <v>233</v>
      </c>
      <c r="K945" s="6">
        <v>7.0833333333333331E-2</v>
      </c>
      <c r="L945" t="s">
        <v>142</v>
      </c>
      <c r="M945">
        <v>50000</v>
      </c>
      <c r="N945" t="s">
        <v>208</v>
      </c>
      <c r="O945" t="s">
        <v>152</v>
      </c>
      <c r="P945">
        <v>88</v>
      </c>
      <c r="Q945" t="s">
        <v>155</v>
      </c>
    </row>
    <row r="946" spans="1:17" x14ac:dyDescent="0.2">
      <c r="A946">
        <v>625994</v>
      </c>
      <c r="B946">
        <v>476</v>
      </c>
      <c r="C946" s="1" t="s">
        <v>99</v>
      </c>
      <c r="D946" s="10">
        <v>45067.96597222222</v>
      </c>
      <c r="E946" t="s">
        <v>98</v>
      </c>
      <c r="F946" t="s">
        <v>58</v>
      </c>
      <c r="G946">
        <v>7369</v>
      </c>
      <c r="H946" s="5" t="s">
        <v>99</v>
      </c>
      <c r="I946" s="15">
        <v>45067</v>
      </c>
      <c r="J946" s="15" t="s">
        <v>233</v>
      </c>
      <c r="K946" s="6">
        <v>0.46597222222222223</v>
      </c>
      <c r="L946" t="s">
        <v>143</v>
      </c>
      <c r="M946">
        <v>80000</v>
      </c>
      <c r="N946" t="s">
        <v>214</v>
      </c>
      <c r="O946" t="s">
        <v>152</v>
      </c>
      <c r="P946">
        <v>80</v>
      </c>
      <c r="Q946" t="s">
        <v>154</v>
      </c>
    </row>
    <row r="947" spans="1:17" x14ac:dyDescent="0.2">
      <c r="A947">
        <v>626705</v>
      </c>
      <c r="B947">
        <v>868</v>
      </c>
      <c r="C947" s="1" t="s">
        <v>110</v>
      </c>
      <c r="D947" s="10">
        <v>45192.063194444447</v>
      </c>
      <c r="E947" t="s">
        <v>97</v>
      </c>
      <c r="F947" t="s">
        <v>59</v>
      </c>
      <c r="G947">
        <v>2713</v>
      </c>
      <c r="H947" s="5" t="s">
        <v>110</v>
      </c>
      <c r="I947" s="15">
        <v>45192</v>
      </c>
      <c r="J947" s="15" t="s">
        <v>234</v>
      </c>
      <c r="K947" s="6">
        <v>6.3194444444444442E-2</v>
      </c>
      <c r="L947" t="s">
        <v>144</v>
      </c>
      <c r="M947">
        <v>80000</v>
      </c>
      <c r="N947" t="s">
        <v>224</v>
      </c>
      <c r="O947" t="s">
        <v>152</v>
      </c>
      <c r="P947">
        <v>31</v>
      </c>
      <c r="Q947" t="s">
        <v>155</v>
      </c>
    </row>
    <row r="948" spans="1:17" x14ac:dyDescent="0.2">
      <c r="A948">
        <v>626849</v>
      </c>
      <c r="B948">
        <v>1679</v>
      </c>
      <c r="C948" s="1" t="s">
        <v>101</v>
      </c>
      <c r="D948" s="10">
        <v>45049.011111111111</v>
      </c>
      <c r="E948" t="s">
        <v>98</v>
      </c>
      <c r="F948" t="s">
        <v>4</v>
      </c>
      <c r="G948">
        <v>3639</v>
      </c>
      <c r="H948" s="5" t="s">
        <v>101</v>
      </c>
      <c r="I948" s="15">
        <v>45049</v>
      </c>
      <c r="J948" s="15" t="s">
        <v>233</v>
      </c>
      <c r="K948" s="6">
        <v>0.51111111111111107</v>
      </c>
      <c r="L948" t="s">
        <v>142</v>
      </c>
      <c r="M948">
        <v>200000</v>
      </c>
      <c r="N948" t="s">
        <v>197</v>
      </c>
      <c r="O948" t="s">
        <v>152</v>
      </c>
      <c r="P948">
        <v>59</v>
      </c>
      <c r="Q948" t="s">
        <v>157</v>
      </c>
    </row>
    <row r="949" spans="1:17" x14ac:dyDescent="0.2">
      <c r="A949">
        <v>627473</v>
      </c>
      <c r="B949">
        <v>1766</v>
      </c>
      <c r="C949" s="1" t="s">
        <v>105</v>
      </c>
      <c r="D949" s="10">
        <v>45012.038888888892</v>
      </c>
      <c r="E949" t="s">
        <v>191</v>
      </c>
      <c r="F949" t="s">
        <v>27</v>
      </c>
      <c r="G949">
        <v>5427</v>
      </c>
      <c r="H949" s="5" t="s">
        <v>105</v>
      </c>
      <c r="I949" s="15">
        <v>45012</v>
      </c>
      <c r="J949" s="15" t="s">
        <v>232</v>
      </c>
      <c r="K949" s="6">
        <v>0.53888888888888886</v>
      </c>
      <c r="L949" t="s">
        <v>142</v>
      </c>
      <c r="M949">
        <v>1000000</v>
      </c>
      <c r="N949" t="s">
        <v>209</v>
      </c>
      <c r="O949" t="s">
        <v>151</v>
      </c>
      <c r="P949">
        <v>42</v>
      </c>
      <c r="Q949" t="s">
        <v>157</v>
      </c>
    </row>
    <row r="950" spans="1:17" x14ac:dyDescent="0.2">
      <c r="A950">
        <v>627652</v>
      </c>
      <c r="B950">
        <v>330</v>
      </c>
      <c r="C950" s="1" t="s">
        <v>113</v>
      </c>
      <c r="D950" s="10">
        <v>45285.029166666667</v>
      </c>
      <c r="E950" t="s">
        <v>96</v>
      </c>
      <c r="F950" t="s">
        <v>60</v>
      </c>
      <c r="G950">
        <v>4651</v>
      </c>
      <c r="H950" s="5" t="s">
        <v>113</v>
      </c>
      <c r="I950" s="15">
        <v>45285</v>
      </c>
      <c r="J950" s="15" t="s">
        <v>295</v>
      </c>
      <c r="K950" s="6">
        <v>0.52916666666666667</v>
      </c>
      <c r="L950" t="s">
        <v>146</v>
      </c>
      <c r="M950">
        <v>100000</v>
      </c>
      <c r="N950" t="s">
        <v>225</v>
      </c>
      <c r="O950" t="s">
        <v>152</v>
      </c>
      <c r="P950">
        <v>43</v>
      </c>
      <c r="Q950" t="s">
        <v>154</v>
      </c>
    </row>
    <row r="951" spans="1:17" x14ac:dyDescent="0.2">
      <c r="A951">
        <v>628471</v>
      </c>
      <c r="B951">
        <v>240</v>
      </c>
      <c r="C951" s="1" t="s">
        <v>99</v>
      </c>
      <c r="D951" s="10">
        <v>45033.999305555553</v>
      </c>
      <c r="E951" t="s">
        <v>191</v>
      </c>
      <c r="F951" t="s">
        <v>61</v>
      </c>
      <c r="G951">
        <v>9883</v>
      </c>
      <c r="H951" s="5" t="s">
        <v>99</v>
      </c>
      <c r="I951" s="15">
        <v>45033</v>
      </c>
      <c r="J951" s="15" t="s">
        <v>233</v>
      </c>
      <c r="K951" s="6">
        <v>0.49930555555555556</v>
      </c>
      <c r="L951" t="s">
        <v>142</v>
      </c>
      <c r="M951">
        <v>80000</v>
      </c>
      <c r="N951" t="s">
        <v>197</v>
      </c>
      <c r="O951" t="s">
        <v>151</v>
      </c>
      <c r="P951">
        <v>63</v>
      </c>
      <c r="Q951" t="s">
        <v>154</v>
      </c>
    </row>
    <row r="952" spans="1:17" x14ac:dyDescent="0.2">
      <c r="A952">
        <v>628608</v>
      </c>
      <c r="B952">
        <v>1060</v>
      </c>
      <c r="C952" s="1" t="s">
        <v>113</v>
      </c>
      <c r="D952" s="10">
        <v>44927.030555555553</v>
      </c>
      <c r="E952" t="s">
        <v>97</v>
      </c>
      <c r="F952" t="s">
        <v>93</v>
      </c>
      <c r="G952">
        <v>89</v>
      </c>
      <c r="H952" s="5" t="s">
        <v>113</v>
      </c>
      <c r="I952" s="15">
        <v>44927</v>
      </c>
      <c r="J952" s="15" t="s">
        <v>232</v>
      </c>
      <c r="K952" s="6">
        <v>0.53055555555555556</v>
      </c>
      <c r="L952" t="s">
        <v>146</v>
      </c>
      <c r="M952">
        <v>30000</v>
      </c>
      <c r="N952" t="s">
        <v>220</v>
      </c>
      <c r="O952" t="s">
        <v>152</v>
      </c>
      <c r="P952">
        <v>62</v>
      </c>
      <c r="Q952" t="s">
        <v>156</v>
      </c>
    </row>
    <row r="953" spans="1:17" x14ac:dyDescent="0.2">
      <c r="A953">
        <v>628945</v>
      </c>
      <c r="B953">
        <v>329</v>
      </c>
      <c r="C953" s="1" t="s">
        <v>105</v>
      </c>
      <c r="D953" s="10">
        <v>45097.055555555555</v>
      </c>
      <c r="E953" t="s">
        <v>98</v>
      </c>
      <c r="F953" t="s">
        <v>33</v>
      </c>
      <c r="G953">
        <v>7750</v>
      </c>
      <c r="H953" s="5" t="s">
        <v>105</v>
      </c>
      <c r="I953" s="15">
        <v>45097</v>
      </c>
      <c r="J953" s="15" t="s">
        <v>233</v>
      </c>
      <c r="K953" s="6">
        <v>5.5555555555555552E-2</v>
      </c>
      <c r="L953" t="s">
        <v>145</v>
      </c>
      <c r="M953">
        <v>100000</v>
      </c>
      <c r="N953" t="s">
        <v>210</v>
      </c>
      <c r="O953" t="s">
        <v>152</v>
      </c>
      <c r="P953">
        <v>55</v>
      </c>
      <c r="Q953" t="s">
        <v>154</v>
      </c>
    </row>
    <row r="954" spans="1:17" x14ac:dyDescent="0.2">
      <c r="A954">
        <v>629227</v>
      </c>
      <c r="B954">
        <v>1665</v>
      </c>
      <c r="C954" s="1" t="s">
        <v>110</v>
      </c>
      <c r="D954" s="10">
        <v>45257.981944444444</v>
      </c>
      <c r="E954" t="s">
        <v>96</v>
      </c>
      <c r="F954" t="s">
        <v>63</v>
      </c>
      <c r="G954">
        <v>2109</v>
      </c>
      <c r="H954" s="5" t="s">
        <v>110</v>
      </c>
      <c r="I954" s="15">
        <v>45257</v>
      </c>
      <c r="J954" s="15" t="s">
        <v>295</v>
      </c>
      <c r="K954" s="6">
        <v>0.48194444444444445</v>
      </c>
      <c r="L954" t="s">
        <v>143</v>
      </c>
      <c r="M954">
        <v>100000</v>
      </c>
      <c r="N954" t="s">
        <v>198</v>
      </c>
      <c r="O954" t="s">
        <v>152</v>
      </c>
      <c r="P954">
        <v>19</v>
      </c>
      <c r="Q954" t="s">
        <v>157</v>
      </c>
    </row>
    <row r="955" spans="1:17" x14ac:dyDescent="0.2">
      <c r="A955">
        <v>629953</v>
      </c>
      <c r="B955">
        <v>787</v>
      </c>
      <c r="C955" s="1" t="s">
        <v>104</v>
      </c>
      <c r="D955" s="10">
        <v>45045.03125</v>
      </c>
      <c r="E955" t="s">
        <v>98</v>
      </c>
      <c r="F955" t="s">
        <v>52</v>
      </c>
      <c r="G955">
        <v>9460</v>
      </c>
      <c r="H955" s="5" t="s">
        <v>104</v>
      </c>
      <c r="I955" s="15">
        <v>45045</v>
      </c>
      <c r="J955" s="15" t="s">
        <v>233</v>
      </c>
      <c r="K955" s="6">
        <v>0.53125</v>
      </c>
      <c r="L955" t="s">
        <v>143</v>
      </c>
      <c r="M955">
        <v>100000</v>
      </c>
      <c r="N955" t="s">
        <v>206</v>
      </c>
      <c r="O955" t="s">
        <v>152</v>
      </c>
      <c r="P955">
        <v>40</v>
      </c>
      <c r="Q955" t="s">
        <v>155</v>
      </c>
    </row>
    <row r="956" spans="1:17" x14ac:dyDescent="0.2">
      <c r="A956">
        <v>630561</v>
      </c>
      <c r="B956">
        <v>1201</v>
      </c>
      <c r="C956" s="1" t="s">
        <v>100</v>
      </c>
      <c r="D956" s="10">
        <v>45166.049305555556</v>
      </c>
      <c r="E956" t="s">
        <v>191</v>
      </c>
      <c r="F956" t="s">
        <v>94</v>
      </c>
      <c r="G956">
        <v>6934</v>
      </c>
      <c r="H956" s="5" t="s">
        <v>100</v>
      </c>
      <c r="I956" s="15">
        <v>45166</v>
      </c>
      <c r="J956" s="15" t="s">
        <v>234</v>
      </c>
      <c r="K956" s="6">
        <v>4.9305555555555554E-2</v>
      </c>
      <c r="L956" t="s">
        <v>143</v>
      </c>
      <c r="M956">
        <v>50000</v>
      </c>
      <c r="N956" t="s">
        <v>215</v>
      </c>
      <c r="O956" t="s">
        <v>151</v>
      </c>
      <c r="P956">
        <v>89</v>
      </c>
      <c r="Q956" t="s">
        <v>156</v>
      </c>
    </row>
    <row r="957" spans="1:17" x14ac:dyDescent="0.2">
      <c r="A957">
        <v>630634</v>
      </c>
      <c r="B957">
        <v>723</v>
      </c>
      <c r="C957" s="1" t="s">
        <v>108</v>
      </c>
      <c r="D957" s="10">
        <v>45182.990972222222</v>
      </c>
      <c r="E957" t="s">
        <v>96</v>
      </c>
      <c r="F957" t="s">
        <v>27</v>
      </c>
      <c r="G957">
        <v>2225</v>
      </c>
      <c r="H957" s="5" t="s">
        <v>108</v>
      </c>
      <c r="I957" s="15">
        <v>45182</v>
      </c>
      <c r="J957" s="15" t="s">
        <v>234</v>
      </c>
      <c r="K957" s="6">
        <v>0.4909722222222222</v>
      </c>
      <c r="L957" t="s">
        <v>142</v>
      </c>
      <c r="M957">
        <v>1000000</v>
      </c>
      <c r="N957" t="s">
        <v>209</v>
      </c>
      <c r="O957" t="s">
        <v>152</v>
      </c>
      <c r="P957">
        <v>80</v>
      </c>
      <c r="Q957" t="s">
        <v>155</v>
      </c>
    </row>
    <row r="958" spans="1:17" x14ac:dyDescent="0.2">
      <c r="A958">
        <v>631266</v>
      </c>
      <c r="B958">
        <v>94</v>
      </c>
      <c r="C958" s="1" t="s">
        <v>108</v>
      </c>
      <c r="D958" s="10">
        <v>45081.013888888891</v>
      </c>
      <c r="E958" t="s">
        <v>98</v>
      </c>
      <c r="F958" t="s">
        <v>64</v>
      </c>
      <c r="G958">
        <v>985</v>
      </c>
      <c r="H958" s="5" t="s">
        <v>108</v>
      </c>
      <c r="I958" s="15">
        <v>45081</v>
      </c>
      <c r="J958" s="15" t="s">
        <v>233</v>
      </c>
      <c r="K958" s="6">
        <v>0.51388888888888884</v>
      </c>
      <c r="L958" t="s">
        <v>143</v>
      </c>
      <c r="M958">
        <v>100000</v>
      </c>
      <c r="N958" t="s">
        <v>223</v>
      </c>
      <c r="O958" t="s">
        <v>151</v>
      </c>
      <c r="P958">
        <v>65</v>
      </c>
      <c r="Q958" t="s">
        <v>154</v>
      </c>
    </row>
    <row r="959" spans="1:17" x14ac:dyDescent="0.2">
      <c r="A959">
        <v>631384</v>
      </c>
      <c r="B959">
        <v>1975</v>
      </c>
      <c r="C959" s="1" t="s">
        <v>99</v>
      </c>
      <c r="D959" s="10">
        <v>44963.054861111108</v>
      </c>
      <c r="E959" t="s">
        <v>97</v>
      </c>
      <c r="F959" t="s">
        <v>27</v>
      </c>
      <c r="G959">
        <v>5484</v>
      </c>
      <c r="H959" s="5" t="s">
        <v>99</v>
      </c>
      <c r="I959" s="15">
        <v>44963</v>
      </c>
      <c r="J959" s="15" t="s">
        <v>232</v>
      </c>
      <c r="K959" s="6">
        <v>5.486111111111111E-2</v>
      </c>
      <c r="L959" t="s">
        <v>142</v>
      </c>
      <c r="M959">
        <v>1000000</v>
      </c>
      <c r="N959" t="s">
        <v>209</v>
      </c>
      <c r="O959" t="s">
        <v>151</v>
      </c>
      <c r="P959">
        <v>40</v>
      </c>
      <c r="Q959" t="s">
        <v>157</v>
      </c>
    </row>
    <row r="960" spans="1:17" x14ac:dyDescent="0.2">
      <c r="A960">
        <v>631614</v>
      </c>
      <c r="B960">
        <v>1395</v>
      </c>
      <c r="C960" s="1" t="s">
        <v>99</v>
      </c>
      <c r="D960" s="10">
        <v>45238.989583333336</v>
      </c>
      <c r="E960" t="s">
        <v>191</v>
      </c>
      <c r="F960" t="s">
        <v>5</v>
      </c>
      <c r="G960">
        <v>4587</v>
      </c>
      <c r="H960" s="5" t="s">
        <v>99</v>
      </c>
      <c r="I960" s="15">
        <v>45238</v>
      </c>
      <c r="J960" s="15" t="s">
        <v>295</v>
      </c>
      <c r="K960" s="6">
        <v>0.48958333333333331</v>
      </c>
      <c r="L960" t="s">
        <v>143</v>
      </c>
      <c r="M960">
        <v>200000</v>
      </c>
      <c r="N960" t="s">
        <v>198</v>
      </c>
      <c r="O960" t="s">
        <v>152</v>
      </c>
      <c r="P960">
        <v>63</v>
      </c>
      <c r="Q960" t="s">
        <v>156</v>
      </c>
    </row>
    <row r="961" spans="1:17" x14ac:dyDescent="0.2">
      <c r="A961">
        <v>631808</v>
      </c>
      <c r="B961">
        <v>1219</v>
      </c>
      <c r="C961" s="1" t="s">
        <v>99</v>
      </c>
      <c r="D961" s="10">
        <v>45234.04583333333</v>
      </c>
      <c r="E961" t="s">
        <v>96</v>
      </c>
      <c r="F961" t="s">
        <v>65</v>
      </c>
      <c r="G961">
        <v>9502</v>
      </c>
      <c r="H961" s="5" t="s">
        <v>99</v>
      </c>
      <c r="I961" s="15">
        <v>45234</v>
      </c>
      <c r="J961" s="15" t="s">
        <v>295</v>
      </c>
      <c r="K961" s="6">
        <v>4.583333333333333E-2</v>
      </c>
      <c r="L961" t="s">
        <v>146</v>
      </c>
      <c r="M961">
        <v>200000</v>
      </c>
      <c r="N961" t="s">
        <v>225</v>
      </c>
      <c r="O961" t="s">
        <v>151</v>
      </c>
      <c r="P961">
        <v>19</v>
      </c>
      <c r="Q961" t="s">
        <v>156</v>
      </c>
    </row>
    <row r="962" spans="1:17" x14ac:dyDescent="0.2">
      <c r="A962">
        <v>633156</v>
      </c>
      <c r="B962">
        <v>990</v>
      </c>
      <c r="C962" s="1" t="s">
        <v>109</v>
      </c>
      <c r="D962" s="10">
        <v>44966.00277777778</v>
      </c>
      <c r="E962" t="s">
        <v>97</v>
      </c>
      <c r="F962" t="s">
        <v>62</v>
      </c>
      <c r="G962">
        <v>9361</v>
      </c>
      <c r="H962" s="5" t="s">
        <v>109</v>
      </c>
      <c r="I962" s="15">
        <v>44966</v>
      </c>
      <c r="J962" s="15" t="s">
        <v>232</v>
      </c>
      <c r="K962" s="6">
        <v>0.50277777777777777</v>
      </c>
      <c r="L962" t="s">
        <v>145</v>
      </c>
      <c r="M962">
        <v>100000</v>
      </c>
      <c r="N962" t="s">
        <v>217</v>
      </c>
      <c r="O962" t="s">
        <v>151</v>
      </c>
      <c r="P962">
        <v>37</v>
      </c>
      <c r="Q962" t="s">
        <v>155</v>
      </c>
    </row>
    <row r="963" spans="1:17" x14ac:dyDescent="0.2">
      <c r="A963">
        <v>635137</v>
      </c>
      <c r="B963">
        <v>795</v>
      </c>
      <c r="C963" s="1" t="s">
        <v>102</v>
      </c>
      <c r="D963" s="10">
        <v>45114.018055555556</v>
      </c>
      <c r="E963" t="s">
        <v>97</v>
      </c>
      <c r="F963" t="s">
        <v>21</v>
      </c>
      <c r="G963">
        <v>7566</v>
      </c>
      <c r="H963" s="5" t="s">
        <v>102</v>
      </c>
      <c r="I963" s="15">
        <v>45114</v>
      </c>
      <c r="J963" s="15" t="s">
        <v>234</v>
      </c>
      <c r="K963" s="6">
        <v>0.5180555555555556</v>
      </c>
      <c r="L963" t="s">
        <v>142</v>
      </c>
      <c r="M963">
        <v>150000</v>
      </c>
      <c r="N963" t="s">
        <v>211</v>
      </c>
      <c r="O963" t="s">
        <v>151</v>
      </c>
      <c r="P963">
        <v>83</v>
      </c>
      <c r="Q963" t="s">
        <v>155</v>
      </c>
    </row>
    <row r="964" spans="1:17" x14ac:dyDescent="0.2">
      <c r="A964">
        <v>635304</v>
      </c>
      <c r="B964">
        <v>95</v>
      </c>
      <c r="C964" s="1" t="s">
        <v>113</v>
      </c>
      <c r="D964" s="10">
        <v>45207.061111111114</v>
      </c>
      <c r="E964" t="s">
        <v>97</v>
      </c>
      <c r="F964" t="s">
        <v>12</v>
      </c>
      <c r="G964">
        <v>201</v>
      </c>
      <c r="H964" s="5" t="s">
        <v>113</v>
      </c>
      <c r="I964" s="15">
        <v>45207</v>
      </c>
      <c r="J964" s="15" t="s">
        <v>295</v>
      </c>
      <c r="K964" s="6">
        <v>6.1111111111111109E-2</v>
      </c>
      <c r="L964" t="s">
        <v>143</v>
      </c>
      <c r="M964">
        <v>150000</v>
      </c>
      <c r="N964" t="s">
        <v>205</v>
      </c>
      <c r="O964" t="s">
        <v>151</v>
      </c>
      <c r="P964">
        <v>50</v>
      </c>
      <c r="Q964" t="s">
        <v>154</v>
      </c>
    </row>
    <row r="965" spans="1:17" x14ac:dyDescent="0.2">
      <c r="A965">
        <v>635743</v>
      </c>
      <c r="B965">
        <v>1239</v>
      </c>
      <c r="C965" s="1" t="s">
        <v>105</v>
      </c>
      <c r="D965" s="10">
        <v>45266.942361111112</v>
      </c>
      <c r="E965" t="s">
        <v>97</v>
      </c>
      <c r="F965" t="s">
        <v>29</v>
      </c>
      <c r="G965">
        <v>782</v>
      </c>
      <c r="H965" s="5" t="s">
        <v>105</v>
      </c>
      <c r="I965" s="15">
        <v>45266</v>
      </c>
      <c r="J965" s="15" t="s">
        <v>295</v>
      </c>
      <c r="K965" s="6">
        <v>0.44236111111111109</v>
      </c>
      <c r="L965" t="s">
        <v>143</v>
      </c>
      <c r="M965">
        <v>150000</v>
      </c>
      <c r="N965" t="s">
        <v>214</v>
      </c>
      <c r="O965" t="s">
        <v>152</v>
      </c>
      <c r="P965">
        <v>86</v>
      </c>
      <c r="Q965" t="s">
        <v>156</v>
      </c>
    </row>
    <row r="966" spans="1:17" x14ac:dyDescent="0.2">
      <c r="A966">
        <v>636616</v>
      </c>
      <c r="B966">
        <v>51</v>
      </c>
      <c r="C966" s="1" t="s">
        <v>99</v>
      </c>
      <c r="D966" s="10">
        <v>44954.981249999997</v>
      </c>
      <c r="E966" t="s">
        <v>98</v>
      </c>
      <c r="F966" t="s">
        <v>24</v>
      </c>
      <c r="G966">
        <v>5103</v>
      </c>
      <c r="H966" s="5" t="s">
        <v>99</v>
      </c>
      <c r="I966" s="15">
        <v>44954</v>
      </c>
      <c r="J966" s="15" t="s">
        <v>232</v>
      </c>
      <c r="K966" s="6">
        <v>0.48125000000000001</v>
      </c>
      <c r="L966" t="s">
        <v>143</v>
      </c>
      <c r="M966">
        <v>200000</v>
      </c>
      <c r="N966" t="s">
        <v>214</v>
      </c>
      <c r="O966" t="s">
        <v>152</v>
      </c>
      <c r="P966">
        <v>63</v>
      </c>
      <c r="Q966" t="s">
        <v>154</v>
      </c>
    </row>
    <row r="967" spans="1:17" x14ac:dyDescent="0.2">
      <c r="A967">
        <v>636888</v>
      </c>
      <c r="B967">
        <v>770</v>
      </c>
      <c r="C967" s="1" t="s">
        <v>113</v>
      </c>
      <c r="D967" s="10">
        <v>45256.060416666667</v>
      </c>
      <c r="E967" t="s">
        <v>98</v>
      </c>
      <c r="F967" t="s">
        <v>30</v>
      </c>
      <c r="G967">
        <v>3115</v>
      </c>
      <c r="H967" s="5" t="s">
        <v>113</v>
      </c>
      <c r="I967" s="15">
        <v>45256</v>
      </c>
      <c r="J967" s="15" t="s">
        <v>295</v>
      </c>
      <c r="K967" s="6">
        <v>6.0416666666666667E-2</v>
      </c>
      <c r="L967" t="s">
        <v>144</v>
      </c>
      <c r="M967">
        <v>200000</v>
      </c>
      <c r="N967" t="s">
        <v>216</v>
      </c>
      <c r="O967" t="s">
        <v>151</v>
      </c>
      <c r="P967">
        <v>72</v>
      </c>
      <c r="Q967" t="s">
        <v>155</v>
      </c>
    </row>
    <row r="968" spans="1:17" x14ac:dyDescent="0.2">
      <c r="A968">
        <v>637916</v>
      </c>
      <c r="B968">
        <v>853</v>
      </c>
      <c r="C968" s="1" t="s">
        <v>99</v>
      </c>
      <c r="D968" s="10">
        <v>45137.01666666667</v>
      </c>
      <c r="E968" t="s">
        <v>96</v>
      </c>
      <c r="F968" t="s">
        <v>31</v>
      </c>
      <c r="G968">
        <v>613</v>
      </c>
      <c r="H968" s="5" t="s">
        <v>99</v>
      </c>
      <c r="I968" s="15">
        <v>45137</v>
      </c>
      <c r="J968" s="15" t="s">
        <v>234</v>
      </c>
      <c r="K968" s="6">
        <v>0.51666666666666672</v>
      </c>
      <c r="L968" t="s">
        <v>143</v>
      </c>
      <c r="M968">
        <v>80000</v>
      </c>
      <c r="N968" t="s">
        <v>204</v>
      </c>
      <c r="O968" t="s">
        <v>151</v>
      </c>
      <c r="P968">
        <v>57</v>
      </c>
      <c r="Q968" t="s">
        <v>155</v>
      </c>
    </row>
    <row r="969" spans="1:17" x14ac:dyDescent="0.2">
      <c r="A969">
        <v>638044</v>
      </c>
      <c r="B969">
        <v>255</v>
      </c>
      <c r="C969" s="1" t="s">
        <v>107</v>
      </c>
      <c r="D969" s="10">
        <v>44955.981249999997</v>
      </c>
      <c r="E969" t="s">
        <v>96</v>
      </c>
      <c r="F969" t="s">
        <v>90</v>
      </c>
      <c r="G969">
        <v>8196</v>
      </c>
      <c r="H969" s="5" t="s">
        <v>107</v>
      </c>
      <c r="I969" s="15">
        <v>44955</v>
      </c>
      <c r="J969" s="15" t="s">
        <v>232</v>
      </c>
      <c r="K969" s="6">
        <v>0.48125000000000001</v>
      </c>
      <c r="L969" t="s">
        <v>142</v>
      </c>
      <c r="M969">
        <v>150000</v>
      </c>
      <c r="N969" t="s">
        <v>208</v>
      </c>
      <c r="O969" t="s">
        <v>151</v>
      </c>
      <c r="P969">
        <v>62</v>
      </c>
      <c r="Q969" t="s">
        <v>154</v>
      </c>
    </row>
    <row r="970" spans="1:17" x14ac:dyDescent="0.2">
      <c r="A970">
        <v>638603</v>
      </c>
      <c r="B970">
        <v>876</v>
      </c>
      <c r="C970" s="1" t="s">
        <v>99</v>
      </c>
      <c r="D970" s="10">
        <v>45074.079861111109</v>
      </c>
      <c r="E970" t="s">
        <v>97</v>
      </c>
      <c r="F970" t="s">
        <v>33</v>
      </c>
      <c r="G970">
        <v>4319</v>
      </c>
      <c r="H970" s="5" t="s">
        <v>99</v>
      </c>
      <c r="I970" s="15">
        <v>45074</v>
      </c>
      <c r="J970" s="15" t="s">
        <v>233</v>
      </c>
      <c r="K970" s="6">
        <v>7.9861111111111105E-2</v>
      </c>
      <c r="L970" t="s">
        <v>145</v>
      </c>
      <c r="M970">
        <v>100000</v>
      </c>
      <c r="N970" t="s">
        <v>210</v>
      </c>
      <c r="O970" t="s">
        <v>151</v>
      </c>
      <c r="P970">
        <v>76</v>
      </c>
      <c r="Q970" t="s">
        <v>155</v>
      </c>
    </row>
    <row r="971" spans="1:17" x14ac:dyDescent="0.2">
      <c r="A971">
        <v>639027</v>
      </c>
      <c r="B971">
        <v>390</v>
      </c>
      <c r="C971" s="1" t="s">
        <v>113</v>
      </c>
      <c r="D971" s="10">
        <v>45131.989583333336</v>
      </c>
      <c r="E971" t="s">
        <v>96</v>
      </c>
      <c r="F971" t="s">
        <v>91</v>
      </c>
      <c r="G971">
        <v>2403</v>
      </c>
      <c r="H971" s="5" t="s">
        <v>113</v>
      </c>
      <c r="I971" s="15">
        <v>45131</v>
      </c>
      <c r="J971" s="15" t="s">
        <v>234</v>
      </c>
      <c r="K971" s="6">
        <v>0.48958333333333331</v>
      </c>
      <c r="L971" t="s">
        <v>142</v>
      </c>
      <c r="M971">
        <v>100000</v>
      </c>
      <c r="N971" t="s">
        <v>213</v>
      </c>
      <c r="O971" t="s">
        <v>151</v>
      </c>
      <c r="P971">
        <v>89</v>
      </c>
      <c r="Q971" t="s">
        <v>154</v>
      </c>
    </row>
    <row r="972" spans="1:17" x14ac:dyDescent="0.2">
      <c r="A972">
        <v>640940</v>
      </c>
      <c r="B972">
        <v>1725</v>
      </c>
      <c r="C972" s="1" t="s">
        <v>99</v>
      </c>
      <c r="D972" s="10">
        <v>44986.98333333333</v>
      </c>
      <c r="E972" t="s">
        <v>191</v>
      </c>
      <c r="F972" t="s">
        <v>35</v>
      </c>
      <c r="G972">
        <v>3582</v>
      </c>
      <c r="H972" s="5" t="s">
        <v>99</v>
      </c>
      <c r="I972" s="15">
        <v>44986</v>
      </c>
      <c r="J972" s="15" t="s">
        <v>232</v>
      </c>
      <c r="K972" s="6">
        <v>0.48333333333333334</v>
      </c>
      <c r="L972" t="s">
        <v>144</v>
      </c>
      <c r="M972">
        <v>100000</v>
      </c>
      <c r="N972" t="s">
        <v>219</v>
      </c>
      <c r="O972" t="s">
        <v>151</v>
      </c>
      <c r="P972">
        <v>81</v>
      </c>
      <c r="Q972" t="s">
        <v>157</v>
      </c>
    </row>
    <row r="973" spans="1:17" x14ac:dyDescent="0.2">
      <c r="A973">
        <v>640945</v>
      </c>
      <c r="B973">
        <v>174</v>
      </c>
      <c r="C973" s="1" t="s">
        <v>107</v>
      </c>
      <c r="D973" s="10">
        <v>45062.006249999999</v>
      </c>
      <c r="E973" t="s">
        <v>191</v>
      </c>
      <c r="F973" t="s">
        <v>36</v>
      </c>
      <c r="G973">
        <v>5492</v>
      </c>
      <c r="H973" s="5" t="s">
        <v>107</v>
      </c>
      <c r="I973" s="15">
        <v>45062</v>
      </c>
      <c r="J973" s="15" t="s">
        <v>233</v>
      </c>
      <c r="K973" s="6">
        <v>0.50624999999999998</v>
      </c>
      <c r="L973" t="s">
        <v>146</v>
      </c>
      <c r="M973">
        <v>100000</v>
      </c>
      <c r="N973" t="s">
        <v>220</v>
      </c>
      <c r="O973" t="s">
        <v>151</v>
      </c>
      <c r="P973">
        <v>68</v>
      </c>
      <c r="Q973" t="s">
        <v>154</v>
      </c>
    </row>
    <row r="974" spans="1:17" x14ac:dyDescent="0.2">
      <c r="A974">
        <v>641229</v>
      </c>
      <c r="B974">
        <v>781</v>
      </c>
      <c r="C974" s="1" t="s">
        <v>102</v>
      </c>
      <c r="D974" s="10">
        <v>44936.990277777775</v>
      </c>
      <c r="E974" t="s">
        <v>191</v>
      </c>
      <c r="F974" t="s">
        <v>37</v>
      </c>
      <c r="G974">
        <v>5740</v>
      </c>
      <c r="H974" s="5" t="s">
        <v>102</v>
      </c>
      <c r="I974" s="15">
        <v>44936</v>
      </c>
      <c r="J974" s="15" t="s">
        <v>232</v>
      </c>
      <c r="K974" s="6">
        <v>0.49027777777777776</v>
      </c>
      <c r="L974" t="s">
        <v>144</v>
      </c>
      <c r="M974">
        <v>100000</v>
      </c>
      <c r="N974" t="s">
        <v>199</v>
      </c>
      <c r="O974" t="s">
        <v>152</v>
      </c>
      <c r="P974">
        <v>66</v>
      </c>
      <c r="Q974" t="s">
        <v>155</v>
      </c>
    </row>
    <row r="975" spans="1:17" x14ac:dyDescent="0.2">
      <c r="A975">
        <v>641966</v>
      </c>
      <c r="B975">
        <v>1767</v>
      </c>
      <c r="C975" s="1" t="s">
        <v>100</v>
      </c>
      <c r="D975" s="10">
        <v>44965.067361111112</v>
      </c>
      <c r="E975" t="s">
        <v>191</v>
      </c>
      <c r="F975" t="s">
        <v>27</v>
      </c>
      <c r="G975">
        <v>3140</v>
      </c>
      <c r="H975" s="5" t="s">
        <v>100</v>
      </c>
      <c r="I975" s="15">
        <v>44965</v>
      </c>
      <c r="J975" s="15" t="s">
        <v>232</v>
      </c>
      <c r="K975" s="6">
        <v>6.7361111111111108E-2</v>
      </c>
      <c r="L975" t="s">
        <v>142</v>
      </c>
      <c r="M975">
        <v>1000000</v>
      </c>
      <c r="N975" t="s">
        <v>209</v>
      </c>
      <c r="O975" t="s">
        <v>152</v>
      </c>
      <c r="P975">
        <v>52</v>
      </c>
      <c r="Q975" t="s">
        <v>157</v>
      </c>
    </row>
    <row r="976" spans="1:17" x14ac:dyDescent="0.2">
      <c r="A976">
        <v>642754</v>
      </c>
      <c r="B976">
        <v>542</v>
      </c>
      <c r="C976" s="1" t="s">
        <v>101</v>
      </c>
      <c r="D976" s="10">
        <v>44963.027777777781</v>
      </c>
      <c r="E976" t="s">
        <v>191</v>
      </c>
      <c r="F976" t="s">
        <v>65</v>
      </c>
      <c r="G976">
        <v>4849</v>
      </c>
      <c r="H976" s="5" t="s">
        <v>101</v>
      </c>
      <c r="I976" s="15">
        <v>44963</v>
      </c>
      <c r="J976" s="15" t="s">
        <v>232</v>
      </c>
      <c r="K976" s="6">
        <v>0.52777777777777779</v>
      </c>
      <c r="L976" t="s">
        <v>146</v>
      </c>
      <c r="M976">
        <v>200000</v>
      </c>
      <c r="N976" t="s">
        <v>225</v>
      </c>
      <c r="O976" t="s">
        <v>152</v>
      </c>
      <c r="P976">
        <v>33</v>
      </c>
      <c r="Q976" t="s">
        <v>155</v>
      </c>
    </row>
    <row r="977" spans="1:17" x14ac:dyDescent="0.2">
      <c r="A977">
        <v>642874</v>
      </c>
      <c r="B977">
        <v>901</v>
      </c>
      <c r="C977" s="1" t="s">
        <v>99</v>
      </c>
      <c r="D977" s="10">
        <v>45206.037499999999</v>
      </c>
      <c r="E977" t="s">
        <v>98</v>
      </c>
      <c r="F977" t="s">
        <v>24</v>
      </c>
      <c r="G977">
        <v>1789</v>
      </c>
      <c r="H977" s="5" t="s">
        <v>99</v>
      </c>
      <c r="I977" s="15">
        <v>45206</v>
      </c>
      <c r="J977" s="15" t="s">
        <v>295</v>
      </c>
      <c r="K977" s="6">
        <v>0.53749999999999998</v>
      </c>
      <c r="L977" t="s">
        <v>143</v>
      </c>
      <c r="M977">
        <v>200000</v>
      </c>
      <c r="N977" t="s">
        <v>214</v>
      </c>
      <c r="O977" t="s">
        <v>152</v>
      </c>
      <c r="P977">
        <v>44</v>
      </c>
      <c r="Q977" t="s">
        <v>155</v>
      </c>
    </row>
    <row r="978" spans="1:17" x14ac:dyDescent="0.2">
      <c r="A978">
        <v>645557</v>
      </c>
      <c r="B978">
        <v>1114</v>
      </c>
      <c r="C978" s="1" t="s">
        <v>113</v>
      </c>
      <c r="D978" s="10">
        <v>45185.981249999997</v>
      </c>
      <c r="E978" t="s">
        <v>191</v>
      </c>
      <c r="F978" t="s">
        <v>40</v>
      </c>
      <c r="G978">
        <v>1567</v>
      </c>
      <c r="H978" s="5" t="s">
        <v>113</v>
      </c>
      <c r="I978" s="15">
        <v>45185</v>
      </c>
      <c r="J978" s="15" t="s">
        <v>234</v>
      </c>
      <c r="K978" s="6">
        <v>0.48125000000000001</v>
      </c>
      <c r="L978" t="s">
        <v>142</v>
      </c>
      <c r="M978">
        <v>150000</v>
      </c>
      <c r="N978" t="s">
        <v>207</v>
      </c>
      <c r="O978" t="s">
        <v>152</v>
      </c>
      <c r="P978">
        <v>39</v>
      </c>
      <c r="Q978" t="s">
        <v>156</v>
      </c>
    </row>
    <row r="979" spans="1:17" x14ac:dyDescent="0.2">
      <c r="A979">
        <v>646139</v>
      </c>
      <c r="B979">
        <v>1792</v>
      </c>
      <c r="C979" s="1" t="s">
        <v>108</v>
      </c>
      <c r="D979" s="10">
        <v>45159.981249999997</v>
      </c>
      <c r="E979" t="s">
        <v>97</v>
      </c>
      <c r="F979" t="s">
        <v>41</v>
      </c>
      <c r="G979">
        <v>5161</v>
      </c>
      <c r="H979" s="5" t="s">
        <v>108</v>
      </c>
      <c r="I979" s="15">
        <v>45159</v>
      </c>
      <c r="J979" s="15" t="s">
        <v>234</v>
      </c>
      <c r="K979" s="6">
        <v>0.48125000000000001</v>
      </c>
      <c r="L979" t="s">
        <v>145</v>
      </c>
      <c r="M979">
        <v>150000</v>
      </c>
      <c r="N979" t="s">
        <v>203</v>
      </c>
      <c r="O979" t="s">
        <v>151</v>
      </c>
      <c r="P979">
        <v>59</v>
      </c>
      <c r="Q979" t="s">
        <v>157</v>
      </c>
    </row>
    <row r="980" spans="1:17" x14ac:dyDescent="0.2">
      <c r="A980">
        <v>647292</v>
      </c>
      <c r="B980">
        <v>1553</v>
      </c>
      <c r="C980" s="1" t="s">
        <v>100</v>
      </c>
      <c r="D980" s="10">
        <v>44930.033333333333</v>
      </c>
      <c r="E980" t="s">
        <v>191</v>
      </c>
      <c r="F980" t="s">
        <v>42</v>
      </c>
      <c r="G980">
        <v>8207</v>
      </c>
      <c r="H980" s="5" t="s">
        <v>100</v>
      </c>
      <c r="I980" s="15">
        <v>44930</v>
      </c>
      <c r="J980" s="15" t="s">
        <v>232</v>
      </c>
      <c r="K980" s="6">
        <v>0.53333333333333333</v>
      </c>
      <c r="L980" t="s">
        <v>144</v>
      </c>
      <c r="M980">
        <v>100000</v>
      </c>
      <c r="N980" t="s">
        <v>219</v>
      </c>
      <c r="O980" t="s">
        <v>151</v>
      </c>
      <c r="P980">
        <v>81</v>
      </c>
      <c r="Q980" t="s">
        <v>157</v>
      </c>
    </row>
    <row r="981" spans="1:17" x14ac:dyDescent="0.2">
      <c r="A981">
        <v>649627</v>
      </c>
      <c r="B981">
        <v>159</v>
      </c>
      <c r="C981" s="1" t="s">
        <v>99</v>
      </c>
      <c r="D981" s="10">
        <v>45249.026388888888</v>
      </c>
      <c r="E981" t="s">
        <v>96</v>
      </c>
      <c r="F981" t="s">
        <v>43</v>
      </c>
      <c r="G981">
        <v>5618</v>
      </c>
      <c r="H981" s="5" t="s">
        <v>99</v>
      </c>
      <c r="I981" s="15">
        <v>45249</v>
      </c>
      <c r="J981" s="15" t="s">
        <v>295</v>
      </c>
      <c r="K981" s="6">
        <v>0.52638888888888891</v>
      </c>
      <c r="L981" t="s">
        <v>145</v>
      </c>
      <c r="M981">
        <v>1000000</v>
      </c>
      <c r="N981" t="s">
        <v>203</v>
      </c>
      <c r="O981" t="s">
        <v>151</v>
      </c>
      <c r="P981">
        <v>25</v>
      </c>
      <c r="Q981" t="s">
        <v>154</v>
      </c>
    </row>
    <row r="982" spans="1:17" x14ac:dyDescent="0.2">
      <c r="A982">
        <v>649787</v>
      </c>
      <c r="B982">
        <v>132</v>
      </c>
      <c r="C982" s="1" t="s">
        <v>105</v>
      </c>
      <c r="D982" s="10">
        <v>45001.029166666667</v>
      </c>
      <c r="E982" t="s">
        <v>98</v>
      </c>
      <c r="F982" t="s">
        <v>44</v>
      </c>
      <c r="G982">
        <v>8578</v>
      </c>
      <c r="H982" s="5" t="s">
        <v>105</v>
      </c>
      <c r="I982" s="15">
        <v>45001</v>
      </c>
      <c r="J982" s="15" t="s">
        <v>232</v>
      </c>
      <c r="K982" s="6">
        <v>0.52916666666666667</v>
      </c>
      <c r="L982" t="s">
        <v>144</v>
      </c>
      <c r="M982">
        <v>150000</v>
      </c>
      <c r="N982" t="s">
        <v>199</v>
      </c>
      <c r="O982" t="s">
        <v>152</v>
      </c>
      <c r="P982">
        <v>50</v>
      </c>
      <c r="Q982" t="s">
        <v>154</v>
      </c>
    </row>
    <row r="983" spans="1:17" x14ac:dyDescent="0.2">
      <c r="A983">
        <v>650459</v>
      </c>
      <c r="B983">
        <v>928</v>
      </c>
      <c r="C983" s="1" t="s">
        <v>104</v>
      </c>
      <c r="D983" s="10">
        <v>45055.025694444441</v>
      </c>
      <c r="E983" t="s">
        <v>97</v>
      </c>
      <c r="F983" t="s">
        <v>81</v>
      </c>
      <c r="G983">
        <v>6510</v>
      </c>
      <c r="H983" s="5" t="s">
        <v>104</v>
      </c>
      <c r="I983" s="15">
        <v>45055</v>
      </c>
      <c r="J983" s="15" t="s">
        <v>233</v>
      </c>
      <c r="K983" s="6">
        <v>0.52569444444444446</v>
      </c>
      <c r="L983" t="s">
        <v>143</v>
      </c>
      <c r="M983">
        <v>250000</v>
      </c>
      <c r="N983" t="s">
        <v>221</v>
      </c>
      <c r="O983" t="s">
        <v>152</v>
      </c>
      <c r="P983">
        <v>56</v>
      </c>
      <c r="Q983" t="s">
        <v>155</v>
      </c>
    </row>
    <row r="984" spans="1:17" x14ac:dyDescent="0.2">
      <c r="A984">
        <v>652344</v>
      </c>
      <c r="B984">
        <v>1854</v>
      </c>
      <c r="C984" s="1" t="s">
        <v>99</v>
      </c>
      <c r="D984" s="10">
        <v>45194.037499999999</v>
      </c>
      <c r="E984" t="s">
        <v>96</v>
      </c>
      <c r="F984" t="s">
        <v>14</v>
      </c>
      <c r="G984">
        <v>1170</v>
      </c>
      <c r="H984" s="5" t="s">
        <v>99</v>
      </c>
      <c r="I984" s="15">
        <v>45194</v>
      </c>
      <c r="J984" s="15" t="s">
        <v>234</v>
      </c>
      <c r="K984" s="6">
        <v>0.53749999999999998</v>
      </c>
      <c r="L984" t="s">
        <v>142</v>
      </c>
      <c r="M984">
        <v>250000</v>
      </c>
      <c r="N984" t="s">
        <v>207</v>
      </c>
      <c r="O984" t="s">
        <v>152</v>
      </c>
      <c r="P984">
        <v>87</v>
      </c>
      <c r="Q984" t="s">
        <v>157</v>
      </c>
    </row>
    <row r="985" spans="1:17" x14ac:dyDescent="0.2">
      <c r="A985">
        <v>653986</v>
      </c>
      <c r="B985">
        <v>1079</v>
      </c>
      <c r="C985" s="1" t="s">
        <v>113</v>
      </c>
      <c r="D985" s="10">
        <v>45202.976388888892</v>
      </c>
      <c r="E985" t="s">
        <v>96</v>
      </c>
      <c r="F985" t="s">
        <v>43</v>
      </c>
      <c r="G985">
        <v>6834</v>
      </c>
      <c r="H985" s="5" t="s">
        <v>113</v>
      </c>
      <c r="I985" s="15">
        <v>45202</v>
      </c>
      <c r="J985" s="15" t="s">
        <v>295</v>
      </c>
      <c r="K985" s="6">
        <v>0.47638888888888886</v>
      </c>
      <c r="L985" t="s">
        <v>145</v>
      </c>
      <c r="M985">
        <v>1000000</v>
      </c>
      <c r="N985" t="s">
        <v>203</v>
      </c>
      <c r="O985" t="s">
        <v>152</v>
      </c>
      <c r="P985">
        <v>29</v>
      </c>
      <c r="Q985" t="s">
        <v>156</v>
      </c>
    </row>
    <row r="986" spans="1:17" x14ac:dyDescent="0.2">
      <c r="A986">
        <v>654071</v>
      </c>
      <c r="B986">
        <v>1039</v>
      </c>
      <c r="C986" s="1" t="s">
        <v>105</v>
      </c>
      <c r="D986" s="10">
        <v>45258.018055555556</v>
      </c>
      <c r="E986" t="s">
        <v>97</v>
      </c>
      <c r="F986" t="s">
        <v>45</v>
      </c>
      <c r="G986">
        <v>5670</v>
      </c>
      <c r="H986" s="5" t="s">
        <v>105</v>
      </c>
      <c r="I986" s="15">
        <v>45258</v>
      </c>
      <c r="J986" s="15" t="s">
        <v>295</v>
      </c>
      <c r="K986" s="6">
        <v>0.5180555555555556</v>
      </c>
      <c r="L986" t="s">
        <v>142</v>
      </c>
      <c r="M986">
        <v>100000</v>
      </c>
      <c r="N986" t="s">
        <v>197</v>
      </c>
      <c r="O986" t="s">
        <v>152</v>
      </c>
      <c r="P986">
        <v>66</v>
      </c>
      <c r="Q986" t="s">
        <v>156</v>
      </c>
    </row>
    <row r="987" spans="1:17" x14ac:dyDescent="0.2">
      <c r="A987">
        <v>655800</v>
      </c>
      <c r="B987">
        <v>672</v>
      </c>
      <c r="C987" s="1" t="s">
        <v>99</v>
      </c>
      <c r="D987" s="10">
        <v>44944.98541666667</v>
      </c>
      <c r="E987" t="s">
        <v>191</v>
      </c>
      <c r="F987" t="s">
        <v>8</v>
      </c>
      <c r="G987">
        <v>6855</v>
      </c>
      <c r="H987" s="5" t="s">
        <v>99</v>
      </c>
      <c r="I987" s="15">
        <v>44944</v>
      </c>
      <c r="J987" s="15" t="s">
        <v>232</v>
      </c>
      <c r="K987" s="6">
        <v>0.48541666666666666</v>
      </c>
      <c r="L987" t="s">
        <v>142</v>
      </c>
      <c r="M987">
        <v>200000</v>
      </c>
      <c r="N987" t="s">
        <v>201</v>
      </c>
      <c r="O987" t="s">
        <v>152</v>
      </c>
      <c r="P987">
        <v>78</v>
      </c>
      <c r="Q987" t="s">
        <v>155</v>
      </c>
    </row>
    <row r="988" spans="1:17" x14ac:dyDescent="0.2">
      <c r="A988">
        <v>656865</v>
      </c>
      <c r="B988">
        <v>1462</v>
      </c>
      <c r="C988" s="1" t="s">
        <v>99</v>
      </c>
      <c r="D988" s="10">
        <v>45079.012499999997</v>
      </c>
      <c r="E988" t="s">
        <v>191</v>
      </c>
      <c r="F988" t="s">
        <v>67</v>
      </c>
      <c r="G988">
        <v>7427</v>
      </c>
      <c r="H988" s="5" t="s">
        <v>99</v>
      </c>
      <c r="I988" s="15">
        <v>45079</v>
      </c>
      <c r="J988" s="15" t="s">
        <v>233</v>
      </c>
      <c r="K988" s="6">
        <v>0.51249999999999996</v>
      </c>
      <c r="L988" t="s">
        <v>142</v>
      </c>
      <c r="M988">
        <v>100000</v>
      </c>
      <c r="N988" t="s">
        <v>213</v>
      </c>
      <c r="O988" t="s">
        <v>151</v>
      </c>
      <c r="P988">
        <v>65</v>
      </c>
      <c r="Q988" t="s">
        <v>156</v>
      </c>
    </row>
    <row r="989" spans="1:17" x14ac:dyDescent="0.2">
      <c r="A989">
        <v>656929</v>
      </c>
      <c r="B989">
        <v>1773</v>
      </c>
      <c r="C989" s="1" t="s">
        <v>99</v>
      </c>
      <c r="D989" s="10">
        <v>45278.986805555556</v>
      </c>
      <c r="E989" t="s">
        <v>97</v>
      </c>
      <c r="F989" t="s">
        <v>60</v>
      </c>
      <c r="G989">
        <v>2228</v>
      </c>
      <c r="H989" s="5" t="s">
        <v>99</v>
      </c>
      <c r="I989" s="15">
        <v>45278</v>
      </c>
      <c r="J989" s="15" t="s">
        <v>295</v>
      </c>
      <c r="K989" s="6">
        <v>0.48680555555555555</v>
      </c>
      <c r="L989" t="s">
        <v>146</v>
      </c>
      <c r="M989">
        <v>100000</v>
      </c>
      <c r="N989" t="s">
        <v>225</v>
      </c>
      <c r="O989" t="s">
        <v>152</v>
      </c>
      <c r="P989">
        <v>22</v>
      </c>
      <c r="Q989" t="s">
        <v>157</v>
      </c>
    </row>
    <row r="990" spans="1:17" x14ac:dyDescent="0.2">
      <c r="A990">
        <v>658249</v>
      </c>
      <c r="B990">
        <v>1588</v>
      </c>
      <c r="C990" s="1" t="s">
        <v>100</v>
      </c>
      <c r="D990" s="10">
        <v>45160.965277777781</v>
      </c>
      <c r="E990" t="s">
        <v>191</v>
      </c>
      <c r="F990" t="s">
        <v>52</v>
      </c>
      <c r="G990">
        <v>6820</v>
      </c>
      <c r="H990" s="5" t="s">
        <v>100</v>
      </c>
      <c r="I990" s="15">
        <v>45160</v>
      </c>
      <c r="J990" s="15" t="s">
        <v>234</v>
      </c>
      <c r="K990" s="6">
        <v>0.46527777777777779</v>
      </c>
      <c r="L990" t="s">
        <v>143</v>
      </c>
      <c r="M990">
        <v>100000</v>
      </c>
      <c r="N990" t="s">
        <v>206</v>
      </c>
      <c r="O990" t="s">
        <v>151</v>
      </c>
      <c r="P990">
        <v>74</v>
      </c>
      <c r="Q990" t="s">
        <v>157</v>
      </c>
    </row>
    <row r="991" spans="1:17" x14ac:dyDescent="0.2">
      <c r="A991">
        <v>658815</v>
      </c>
      <c r="B991">
        <v>1190</v>
      </c>
      <c r="C991" s="1" t="s">
        <v>103</v>
      </c>
      <c r="D991" s="10">
        <v>45255.010416666664</v>
      </c>
      <c r="E991" t="s">
        <v>191</v>
      </c>
      <c r="F991" t="s">
        <v>30</v>
      </c>
      <c r="G991">
        <v>5243</v>
      </c>
      <c r="H991" s="5" t="s">
        <v>103</v>
      </c>
      <c r="I991" s="15">
        <v>45255</v>
      </c>
      <c r="J991" s="15" t="s">
        <v>295</v>
      </c>
      <c r="K991" s="6">
        <v>0.51041666666666663</v>
      </c>
      <c r="L991" t="s">
        <v>144</v>
      </c>
      <c r="M991">
        <v>200000</v>
      </c>
      <c r="N991" t="s">
        <v>216</v>
      </c>
      <c r="O991" t="s">
        <v>151</v>
      </c>
      <c r="P991">
        <v>50</v>
      </c>
      <c r="Q991" t="s">
        <v>156</v>
      </c>
    </row>
    <row r="992" spans="1:17" x14ac:dyDescent="0.2">
      <c r="A992">
        <v>659390</v>
      </c>
      <c r="B992">
        <v>159</v>
      </c>
      <c r="C992" s="1" t="s">
        <v>99</v>
      </c>
      <c r="D992" s="10">
        <v>45276.010416666664</v>
      </c>
      <c r="E992" t="s">
        <v>97</v>
      </c>
      <c r="F992" t="s">
        <v>27</v>
      </c>
      <c r="G992">
        <v>2372</v>
      </c>
      <c r="H992" s="5" t="s">
        <v>99</v>
      </c>
      <c r="I992" s="15">
        <v>45276</v>
      </c>
      <c r="J992" s="15" t="s">
        <v>295</v>
      </c>
      <c r="K992" s="6">
        <v>0.51041666666666663</v>
      </c>
      <c r="L992" t="s">
        <v>142</v>
      </c>
      <c r="M992">
        <v>1000000</v>
      </c>
      <c r="N992" t="s">
        <v>209</v>
      </c>
      <c r="O992" t="s">
        <v>151</v>
      </c>
      <c r="P992">
        <v>25</v>
      </c>
      <c r="Q992" t="s">
        <v>154</v>
      </c>
    </row>
    <row r="993" spans="1:17" x14ac:dyDescent="0.2">
      <c r="A993">
        <v>659698</v>
      </c>
      <c r="B993">
        <v>767</v>
      </c>
      <c r="C993" s="1" t="s">
        <v>99</v>
      </c>
      <c r="D993" s="10">
        <v>45168.055555555555</v>
      </c>
      <c r="E993" t="s">
        <v>98</v>
      </c>
      <c r="F993" t="s">
        <v>43</v>
      </c>
      <c r="G993">
        <v>6482</v>
      </c>
      <c r="H993" s="5" t="s">
        <v>99</v>
      </c>
      <c r="I993" s="15">
        <v>45168</v>
      </c>
      <c r="J993" s="15" t="s">
        <v>234</v>
      </c>
      <c r="K993" s="6">
        <v>5.5555555555555552E-2</v>
      </c>
      <c r="L993" t="s">
        <v>145</v>
      </c>
      <c r="M993">
        <v>1000000</v>
      </c>
      <c r="N993" t="s">
        <v>203</v>
      </c>
      <c r="O993" t="s">
        <v>151</v>
      </c>
      <c r="P993">
        <v>30</v>
      </c>
      <c r="Q993" t="s">
        <v>155</v>
      </c>
    </row>
    <row r="994" spans="1:17" x14ac:dyDescent="0.2">
      <c r="A994">
        <v>659911</v>
      </c>
      <c r="B994">
        <v>983</v>
      </c>
      <c r="C994" s="1" t="s">
        <v>99</v>
      </c>
      <c r="D994" s="10">
        <v>45144.053472222222</v>
      </c>
      <c r="E994" t="s">
        <v>96</v>
      </c>
      <c r="F994" t="s">
        <v>27</v>
      </c>
      <c r="G994">
        <v>1431</v>
      </c>
      <c r="H994" s="5" t="s">
        <v>99</v>
      </c>
      <c r="I994" s="15">
        <v>45144</v>
      </c>
      <c r="J994" s="15" t="s">
        <v>234</v>
      </c>
      <c r="K994" s="6">
        <v>5.347222222222222E-2</v>
      </c>
      <c r="L994" t="s">
        <v>142</v>
      </c>
      <c r="M994">
        <v>1000000</v>
      </c>
      <c r="N994" t="s">
        <v>209</v>
      </c>
      <c r="O994" t="s">
        <v>151</v>
      </c>
      <c r="P994">
        <v>58</v>
      </c>
      <c r="Q994" t="s">
        <v>155</v>
      </c>
    </row>
    <row r="995" spans="1:17" x14ac:dyDescent="0.2">
      <c r="A995">
        <v>660187</v>
      </c>
      <c r="B995">
        <v>1374</v>
      </c>
      <c r="C995" s="1" t="s">
        <v>100</v>
      </c>
      <c r="D995" s="10">
        <v>45130.959722222222</v>
      </c>
      <c r="E995" t="s">
        <v>96</v>
      </c>
      <c r="F995" t="s">
        <v>25</v>
      </c>
      <c r="G995">
        <v>6369</v>
      </c>
      <c r="H995" s="5" t="s">
        <v>100</v>
      </c>
      <c r="I995" s="15">
        <v>45130</v>
      </c>
      <c r="J995" s="15" t="s">
        <v>234</v>
      </c>
      <c r="K995" s="6">
        <v>0.4597222222222222</v>
      </c>
      <c r="L995" t="s">
        <v>142</v>
      </c>
      <c r="M995">
        <v>100000</v>
      </c>
      <c r="N995" t="s">
        <v>201</v>
      </c>
      <c r="O995" t="s">
        <v>151</v>
      </c>
      <c r="P995">
        <v>80</v>
      </c>
      <c r="Q995" t="s">
        <v>156</v>
      </c>
    </row>
    <row r="996" spans="1:17" x14ac:dyDescent="0.2">
      <c r="A996">
        <v>660830</v>
      </c>
      <c r="B996">
        <v>1404</v>
      </c>
      <c r="C996" s="1" t="s">
        <v>99</v>
      </c>
      <c r="D996" s="10">
        <v>44932.000694444447</v>
      </c>
      <c r="E996" t="s">
        <v>191</v>
      </c>
      <c r="F996" t="s">
        <v>80</v>
      </c>
      <c r="G996">
        <v>7643</v>
      </c>
      <c r="H996" s="5" t="s">
        <v>99</v>
      </c>
      <c r="I996" s="15">
        <v>44932</v>
      </c>
      <c r="J996" s="15" t="s">
        <v>232</v>
      </c>
      <c r="K996" s="6">
        <v>0.50069444444444444</v>
      </c>
      <c r="L996" t="s">
        <v>146</v>
      </c>
      <c r="M996">
        <v>50000</v>
      </c>
      <c r="N996" t="s">
        <v>212</v>
      </c>
      <c r="O996" t="s">
        <v>152</v>
      </c>
      <c r="P996">
        <v>59</v>
      </c>
      <c r="Q996" t="s">
        <v>156</v>
      </c>
    </row>
    <row r="997" spans="1:17" x14ac:dyDescent="0.2">
      <c r="A997">
        <v>661163</v>
      </c>
      <c r="B997">
        <v>1426</v>
      </c>
      <c r="C997" s="1" t="s">
        <v>99</v>
      </c>
      <c r="D997" s="10">
        <v>45001.034722222219</v>
      </c>
      <c r="E997" t="s">
        <v>191</v>
      </c>
      <c r="F997" t="s">
        <v>54</v>
      </c>
      <c r="G997">
        <v>5069</v>
      </c>
      <c r="H997" s="5" t="s">
        <v>99</v>
      </c>
      <c r="I997" s="15">
        <v>45001</v>
      </c>
      <c r="J997" s="15" t="s">
        <v>232</v>
      </c>
      <c r="K997" s="6">
        <v>0.53472222222222221</v>
      </c>
      <c r="L997" t="s">
        <v>144</v>
      </c>
      <c r="M997">
        <v>100000</v>
      </c>
      <c r="N997" t="s">
        <v>224</v>
      </c>
      <c r="O997" t="s">
        <v>152</v>
      </c>
      <c r="P997">
        <v>37</v>
      </c>
      <c r="Q997" t="s">
        <v>156</v>
      </c>
    </row>
    <row r="998" spans="1:17" x14ac:dyDescent="0.2">
      <c r="A998">
        <v>661382</v>
      </c>
      <c r="B998">
        <v>1488</v>
      </c>
      <c r="C998" s="1" t="s">
        <v>99</v>
      </c>
      <c r="D998" s="10">
        <v>44949.968055555553</v>
      </c>
      <c r="E998" t="s">
        <v>191</v>
      </c>
      <c r="F998" t="s">
        <v>38</v>
      </c>
      <c r="G998">
        <v>970</v>
      </c>
      <c r="H998" s="5" t="s">
        <v>99</v>
      </c>
      <c r="I998" s="15">
        <v>44949</v>
      </c>
      <c r="J998" s="15" t="s">
        <v>232</v>
      </c>
      <c r="K998" s="6">
        <v>0.46805555555555556</v>
      </c>
      <c r="L998" t="s">
        <v>143</v>
      </c>
      <c r="M998">
        <v>100000</v>
      </c>
      <c r="N998" t="s">
        <v>221</v>
      </c>
      <c r="O998" t="s">
        <v>151</v>
      </c>
      <c r="P998">
        <v>35</v>
      </c>
      <c r="Q998" t="s">
        <v>156</v>
      </c>
    </row>
    <row r="999" spans="1:17" x14ac:dyDescent="0.2">
      <c r="A999">
        <v>661822</v>
      </c>
      <c r="B999">
        <v>177</v>
      </c>
      <c r="C999" s="1" t="s">
        <v>113</v>
      </c>
      <c r="D999" s="10">
        <v>45214.984027777777</v>
      </c>
      <c r="E999" t="s">
        <v>191</v>
      </c>
      <c r="F999" t="s">
        <v>34</v>
      </c>
      <c r="G999">
        <v>2352</v>
      </c>
      <c r="H999" s="5" t="s">
        <v>113</v>
      </c>
      <c r="I999" s="15">
        <v>45214</v>
      </c>
      <c r="J999" s="15" t="s">
        <v>295</v>
      </c>
      <c r="K999" s="6">
        <v>0.48402777777777778</v>
      </c>
      <c r="L999" t="s">
        <v>144</v>
      </c>
      <c r="M999">
        <v>150000</v>
      </c>
      <c r="N999" t="s">
        <v>218</v>
      </c>
      <c r="O999" t="s">
        <v>151</v>
      </c>
      <c r="P999">
        <v>75</v>
      </c>
      <c r="Q999" t="s">
        <v>154</v>
      </c>
    </row>
    <row r="1000" spans="1:17" x14ac:dyDescent="0.2">
      <c r="A1000">
        <v>662950</v>
      </c>
      <c r="B1000">
        <v>1320</v>
      </c>
      <c r="C1000" s="1" t="s">
        <v>109</v>
      </c>
      <c r="D1000" s="10">
        <v>45098.981944444444</v>
      </c>
      <c r="E1000" t="s">
        <v>97</v>
      </c>
      <c r="F1000" t="s">
        <v>60</v>
      </c>
      <c r="G1000">
        <v>8477</v>
      </c>
      <c r="H1000" s="5" t="s">
        <v>109</v>
      </c>
      <c r="I1000" s="15">
        <v>45098</v>
      </c>
      <c r="J1000" s="15" t="s">
        <v>233</v>
      </c>
      <c r="K1000" s="6">
        <v>0.48194444444444445</v>
      </c>
      <c r="L1000" t="s">
        <v>146</v>
      </c>
      <c r="M1000">
        <v>100000</v>
      </c>
      <c r="N1000" t="s">
        <v>225</v>
      </c>
      <c r="O1000" t="s">
        <v>151</v>
      </c>
      <c r="P1000">
        <v>71</v>
      </c>
      <c r="Q1000" t="s">
        <v>156</v>
      </c>
    </row>
    <row r="1001" spans="1:17" x14ac:dyDescent="0.2">
      <c r="A1001">
        <v>663055</v>
      </c>
      <c r="B1001">
        <v>626</v>
      </c>
      <c r="C1001" s="1" t="s">
        <v>99</v>
      </c>
      <c r="D1001" s="10">
        <v>45096.975694444445</v>
      </c>
      <c r="E1001" t="s">
        <v>97</v>
      </c>
      <c r="F1001" t="s">
        <v>63</v>
      </c>
      <c r="G1001">
        <v>6976</v>
      </c>
      <c r="H1001" s="5" t="s">
        <v>99</v>
      </c>
      <c r="I1001" s="15">
        <v>45096</v>
      </c>
      <c r="J1001" s="15" t="s">
        <v>233</v>
      </c>
      <c r="K1001" s="6">
        <v>0.47569444444444442</v>
      </c>
      <c r="L1001" t="s">
        <v>143</v>
      </c>
      <c r="M1001">
        <v>100000</v>
      </c>
      <c r="N1001" t="s">
        <v>198</v>
      </c>
      <c r="O1001" t="s">
        <v>152</v>
      </c>
      <c r="P1001">
        <v>59</v>
      </c>
      <c r="Q1001" t="s">
        <v>155</v>
      </c>
    </row>
    <row r="1002" spans="1:17" x14ac:dyDescent="0.2">
      <c r="A1002">
        <v>664585</v>
      </c>
      <c r="B1002">
        <v>1236</v>
      </c>
      <c r="C1002" s="1" t="s">
        <v>99</v>
      </c>
      <c r="D1002" s="11">
        <v>45087.034722222219</v>
      </c>
      <c r="E1002" t="s">
        <v>191</v>
      </c>
      <c r="F1002" t="s">
        <v>4</v>
      </c>
      <c r="G1002">
        <v>9357</v>
      </c>
      <c r="H1002" s="5" t="s">
        <v>99</v>
      </c>
      <c r="I1002" s="15">
        <v>45087</v>
      </c>
      <c r="J1002" s="15" t="s">
        <v>233</v>
      </c>
      <c r="K1002" s="6">
        <v>0.53472222222222221</v>
      </c>
      <c r="L1002" t="s">
        <v>142</v>
      </c>
      <c r="M1002">
        <v>200000</v>
      </c>
      <c r="N1002" t="s">
        <v>197</v>
      </c>
      <c r="O1002" t="s">
        <v>151</v>
      </c>
      <c r="P1002">
        <v>47</v>
      </c>
      <c r="Q1002" t="s">
        <v>156</v>
      </c>
    </row>
    <row r="1003" spans="1:17" x14ac:dyDescent="0.2">
      <c r="A1003">
        <v>664724</v>
      </c>
      <c r="B1003">
        <v>29</v>
      </c>
      <c r="C1003" s="1" t="s">
        <v>105</v>
      </c>
      <c r="D1003" s="11">
        <v>45176.986111111109</v>
      </c>
      <c r="E1003" t="s">
        <v>97</v>
      </c>
      <c r="F1003" t="s">
        <v>60</v>
      </c>
      <c r="G1003">
        <v>6535</v>
      </c>
      <c r="H1003" s="5" t="s">
        <v>105</v>
      </c>
      <c r="I1003" s="15">
        <v>45176</v>
      </c>
      <c r="J1003" s="15" t="s">
        <v>234</v>
      </c>
      <c r="K1003" s="6">
        <v>0.4861111111111111</v>
      </c>
      <c r="L1003" t="s">
        <v>146</v>
      </c>
      <c r="M1003">
        <v>100000</v>
      </c>
      <c r="N1003" t="s">
        <v>225</v>
      </c>
      <c r="O1003" t="s">
        <v>152</v>
      </c>
      <c r="P1003">
        <v>19</v>
      </c>
      <c r="Q1003" t="s">
        <v>154</v>
      </c>
    </row>
    <row r="1004" spans="1:17" x14ac:dyDescent="0.2">
      <c r="A1004">
        <v>666564</v>
      </c>
      <c r="B1004">
        <v>1217</v>
      </c>
      <c r="C1004" s="1" t="s">
        <v>99</v>
      </c>
      <c r="D1004" s="11">
        <v>44948.01458333333</v>
      </c>
      <c r="E1004" t="s">
        <v>96</v>
      </c>
      <c r="F1004" t="s">
        <v>43</v>
      </c>
      <c r="G1004">
        <v>5348</v>
      </c>
      <c r="H1004" s="5" t="s">
        <v>99</v>
      </c>
      <c r="I1004" s="15">
        <v>44948</v>
      </c>
      <c r="J1004" s="15" t="s">
        <v>232</v>
      </c>
      <c r="K1004" s="6">
        <v>0.51458333333333328</v>
      </c>
      <c r="L1004" t="s">
        <v>145</v>
      </c>
      <c r="M1004">
        <v>1000000</v>
      </c>
      <c r="N1004" t="s">
        <v>203</v>
      </c>
      <c r="O1004" t="s">
        <v>152</v>
      </c>
      <c r="P1004">
        <v>68</v>
      </c>
      <c r="Q1004" t="s">
        <v>156</v>
      </c>
    </row>
    <row r="1005" spans="1:17" x14ac:dyDescent="0.2">
      <c r="A1005">
        <v>666686</v>
      </c>
      <c r="B1005">
        <v>1580</v>
      </c>
      <c r="C1005" s="1" t="s">
        <v>101</v>
      </c>
      <c r="D1005" s="11">
        <v>45269.021527777775</v>
      </c>
      <c r="E1005" t="s">
        <v>191</v>
      </c>
      <c r="F1005" t="s">
        <v>40</v>
      </c>
      <c r="G1005">
        <v>3933</v>
      </c>
      <c r="H1005" s="5" t="s">
        <v>101</v>
      </c>
      <c r="I1005" s="15">
        <v>45269</v>
      </c>
      <c r="J1005" s="15" t="s">
        <v>295</v>
      </c>
      <c r="K1005" s="6">
        <v>0.52152777777777781</v>
      </c>
      <c r="L1005" t="s">
        <v>142</v>
      </c>
      <c r="M1005">
        <v>150000</v>
      </c>
      <c r="N1005" t="s">
        <v>207</v>
      </c>
      <c r="O1005" t="s">
        <v>151</v>
      </c>
      <c r="P1005">
        <v>85</v>
      </c>
      <c r="Q1005" t="s">
        <v>157</v>
      </c>
    </row>
    <row r="1006" spans="1:17" x14ac:dyDescent="0.2">
      <c r="A1006">
        <v>668693</v>
      </c>
      <c r="B1006">
        <v>27</v>
      </c>
      <c r="C1006" s="1" t="s">
        <v>99</v>
      </c>
      <c r="D1006" s="11">
        <v>44936.96597222222</v>
      </c>
      <c r="E1006" t="s">
        <v>191</v>
      </c>
      <c r="F1006" t="s">
        <v>81</v>
      </c>
      <c r="G1006">
        <v>3654</v>
      </c>
      <c r="H1006" s="5" t="s">
        <v>99</v>
      </c>
      <c r="I1006" s="15">
        <v>44936</v>
      </c>
      <c r="J1006" s="15" t="s">
        <v>232</v>
      </c>
      <c r="K1006" s="6">
        <v>0.46597222222222223</v>
      </c>
      <c r="L1006" t="s">
        <v>143</v>
      </c>
      <c r="M1006">
        <v>250000</v>
      </c>
      <c r="N1006" t="s">
        <v>221</v>
      </c>
      <c r="O1006" t="s">
        <v>152</v>
      </c>
      <c r="P1006">
        <v>66</v>
      </c>
      <c r="Q1006" t="s">
        <v>154</v>
      </c>
    </row>
    <row r="1007" spans="1:17" x14ac:dyDescent="0.2">
      <c r="A1007">
        <v>670170</v>
      </c>
      <c r="B1007">
        <v>1773</v>
      </c>
      <c r="C1007" s="1" t="s">
        <v>99</v>
      </c>
      <c r="D1007" s="11">
        <v>45009.952777777777</v>
      </c>
      <c r="E1007" t="s">
        <v>191</v>
      </c>
      <c r="F1007" t="s">
        <v>82</v>
      </c>
      <c r="G1007">
        <v>877</v>
      </c>
      <c r="H1007" s="5" t="s">
        <v>99</v>
      </c>
      <c r="I1007" s="15">
        <v>45009</v>
      </c>
      <c r="J1007" s="15" t="s">
        <v>232</v>
      </c>
      <c r="K1007" s="6">
        <v>0.45277777777777778</v>
      </c>
      <c r="L1007" t="s">
        <v>142</v>
      </c>
      <c r="M1007">
        <v>100000</v>
      </c>
      <c r="N1007" t="s">
        <v>209</v>
      </c>
      <c r="O1007" t="s">
        <v>152</v>
      </c>
      <c r="P1007">
        <v>22</v>
      </c>
      <c r="Q1007" t="s">
        <v>157</v>
      </c>
    </row>
    <row r="1008" spans="1:17" x14ac:dyDescent="0.2">
      <c r="A1008">
        <v>670697</v>
      </c>
      <c r="B1008">
        <v>171</v>
      </c>
      <c r="C1008" s="1" t="s">
        <v>99</v>
      </c>
      <c r="D1008" s="11">
        <v>45062.015972222223</v>
      </c>
      <c r="E1008" t="s">
        <v>191</v>
      </c>
      <c r="F1008" t="s">
        <v>21</v>
      </c>
      <c r="G1008">
        <v>4251</v>
      </c>
      <c r="H1008" s="5" t="s">
        <v>99</v>
      </c>
      <c r="I1008" s="15">
        <v>45062</v>
      </c>
      <c r="J1008" s="15" t="s">
        <v>233</v>
      </c>
      <c r="K1008" s="6">
        <v>0.51597222222222228</v>
      </c>
      <c r="L1008" t="s">
        <v>142</v>
      </c>
      <c r="M1008">
        <v>150000</v>
      </c>
      <c r="N1008" t="s">
        <v>211</v>
      </c>
      <c r="O1008" t="s">
        <v>151</v>
      </c>
      <c r="P1008">
        <v>31</v>
      </c>
      <c r="Q1008" t="s">
        <v>154</v>
      </c>
    </row>
    <row r="1009" spans="1:17" x14ac:dyDescent="0.2">
      <c r="A1009">
        <v>670916</v>
      </c>
      <c r="B1009">
        <v>1977</v>
      </c>
      <c r="C1009" s="1" t="s">
        <v>99</v>
      </c>
      <c r="D1009" s="11">
        <v>45017.048611111109</v>
      </c>
      <c r="E1009" t="s">
        <v>192</v>
      </c>
      <c r="F1009" t="s">
        <v>66</v>
      </c>
      <c r="G1009">
        <v>9847</v>
      </c>
      <c r="H1009" s="5" t="s">
        <v>99</v>
      </c>
      <c r="I1009" s="15">
        <v>45017</v>
      </c>
      <c r="J1009" s="15" t="s">
        <v>233</v>
      </c>
      <c r="K1009" s="6">
        <v>4.8611111111111112E-2</v>
      </c>
      <c r="L1009" t="s">
        <v>144</v>
      </c>
      <c r="M1009">
        <v>150000</v>
      </c>
      <c r="N1009" t="s">
        <v>224</v>
      </c>
      <c r="O1009" t="s">
        <v>152</v>
      </c>
      <c r="P1009">
        <v>79</v>
      </c>
      <c r="Q1009" t="s">
        <v>157</v>
      </c>
    </row>
    <row r="1010" spans="1:17" x14ac:dyDescent="0.2">
      <c r="A1010">
        <v>671201</v>
      </c>
      <c r="B1010">
        <v>456</v>
      </c>
      <c r="C1010" s="1" t="s">
        <v>101</v>
      </c>
      <c r="D1010" s="11">
        <v>45075.055555555555</v>
      </c>
      <c r="E1010" t="s">
        <v>191</v>
      </c>
      <c r="F1010" t="s">
        <v>27</v>
      </c>
      <c r="G1010">
        <v>9565</v>
      </c>
      <c r="H1010" s="5" t="s">
        <v>101</v>
      </c>
      <c r="I1010" s="15">
        <v>45075</v>
      </c>
      <c r="J1010" s="15" t="s">
        <v>233</v>
      </c>
      <c r="K1010" s="6">
        <v>5.5555555555555552E-2</v>
      </c>
      <c r="L1010" t="s">
        <v>142</v>
      </c>
      <c r="M1010">
        <v>1000000</v>
      </c>
      <c r="N1010" t="s">
        <v>209</v>
      </c>
      <c r="O1010" t="s">
        <v>151</v>
      </c>
      <c r="P1010">
        <v>75</v>
      </c>
      <c r="Q1010" t="s">
        <v>154</v>
      </c>
    </row>
    <row r="1011" spans="1:17" x14ac:dyDescent="0.2">
      <c r="A1011">
        <v>671270</v>
      </c>
      <c r="B1011">
        <v>1084</v>
      </c>
      <c r="C1011" s="1" t="s">
        <v>113</v>
      </c>
      <c r="D1011" s="11">
        <v>45269.990277777775</v>
      </c>
      <c r="E1011" t="s">
        <v>96</v>
      </c>
      <c r="F1011" t="s">
        <v>39</v>
      </c>
      <c r="G1011">
        <v>258</v>
      </c>
      <c r="H1011" s="5" t="s">
        <v>113</v>
      </c>
      <c r="I1011" s="15">
        <v>45269</v>
      </c>
      <c r="J1011" s="15" t="s">
        <v>295</v>
      </c>
      <c r="K1011" s="6">
        <v>0.49027777777777776</v>
      </c>
      <c r="L1011" t="s">
        <v>146</v>
      </c>
      <c r="M1011">
        <v>100000</v>
      </c>
      <c r="N1011" t="s">
        <v>212</v>
      </c>
      <c r="O1011" t="s">
        <v>151</v>
      </c>
      <c r="P1011">
        <v>75</v>
      </c>
      <c r="Q1011" t="s">
        <v>156</v>
      </c>
    </row>
    <row r="1012" spans="1:17" x14ac:dyDescent="0.2">
      <c r="A1012">
        <v>671412</v>
      </c>
      <c r="B1012">
        <v>356</v>
      </c>
      <c r="C1012" s="1" t="s">
        <v>113</v>
      </c>
      <c r="D1012" s="11">
        <v>45215.007638888892</v>
      </c>
      <c r="E1012" t="s">
        <v>191</v>
      </c>
      <c r="F1012" t="s">
        <v>27</v>
      </c>
      <c r="G1012">
        <v>1921</v>
      </c>
      <c r="H1012" s="5" t="s">
        <v>113</v>
      </c>
      <c r="I1012" s="15">
        <v>45215</v>
      </c>
      <c r="J1012" s="15" t="s">
        <v>295</v>
      </c>
      <c r="K1012" s="6">
        <v>0.50763888888888886</v>
      </c>
      <c r="L1012" t="s">
        <v>142</v>
      </c>
      <c r="M1012">
        <v>1000000</v>
      </c>
      <c r="N1012" t="s">
        <v>209</v>
      </c>
      <c r="O1012" t="s">
        <v>151</v>
      </c>
      <c r="P1012">
        <v>41</v>
      </c>
      <c r="Q1012" t="s">
        <v>154</v>
      </c>
    </row>
    <row r="1013" spans="1:17" x14ac:dyDescent="0.2">
      <c r="A1013">
        <v>671598</v>
      </c>
      <c r="B1013">
        <v>342</v>
      </c>
      <c r="C1013" s="8" t="s">
        <v>113</v>
      </c>
      <c r="D1013" s="11">
        <v>44969.027083333334</v>
      </c>
      <c r="E1013" t="s">
        <v>98</v>
      </c>
      <c r="F1013" t="s">
        <v>43</v>
      </c>
      <c r="G1013">
        <v>8711</v>
      </c>
      <c r="H1013" s="5" t="s">
        <v>113</v>
      </c>
      <c r="I1013" s="15">
        <v>44969</v>
      </c>
      <c r="J1013" s="15" t="s">
        <v>232</v>
      </c>
      <c r="K1013" s="6">
        <v>0.52708333333333335</v>
      </c>
      <c r="L1013" t="s">
        <v>145</v>
      </c>
      <c r="M1013">
        <v>1000000</v>
      </c>
      <c r="N1013" t="s">
        <v>203</v>
      </c>
      <c r="O1013" t="s">
        <v>152</v>
      </c>
      <c r="P1013">
        <v>65</v>
      </c>
      <c r="Q1013" t="s">
        <v>154</v>
      </c>
    </row>
    <row r="1014" spans="1:17" x14ac:dyDescent="0.2">
      <c r="A1014">
        <v>671670</v>
      </c>
      <c r="B1014">
        <v>523</v>
      </c>
      <c r="C1014" s="1" t="s">
        <v>99</v>
      </c>
      <c r="D1014" s="11">
        <v>45155.045138888891</v>
      </c>
      <c r="E1014" t="s">
        <v>191</v>
      </c>
      <c r="F1014" t="s">
        <v>62</v>
      </c>
      <c r="G1014">
        <v>6441</v>
      </c>
      <c r="H1014" s="5" t="s">
        <v>99</v>
      </c>
      <c r="I1014" s="15">
        <v>45155</v>
      </c>
      <c r="J1014" s="15" t="s">
        <v>234</v>
      </c>
      <c r="K1014" s="6">
        <v>4.5138888888888888E-2</v>
      </c>
      <c r="L1014" t="s">
        <v>145</v>
      </c>
      <c r="M1014">
        <v>100000</v>
      </c>
      <c r="N1014" t="s">
        <v>217</v>
      </c>
      <c r="O1014" t="s">
        <v>151</v>
      </c>
      <c r="P1014">
        <v>26</v>
      </c>
      <c r="Q1014" t="s">
        <v>155</v>
      </c>
    </row>
    <row r="1015" spans="1:17" x14ac:dyDescent="0.2">
      <c r="A1015">
        <v>672076</v>
      </c>
      <c r="B1015">
        <v>27</v>
      </c>
      <c r="C1015" s="1" t="s">
        <v>99</v>
      </c>
      <c r="D1015" s="11">
        <v>44933.936805555553</v>
      </c>
      <c r="E1015" t="s">
        <v>96</v>
      </c>
      <c r="F1015" t="s">
        <v>27</v>
      </c>
      <c r="G1015">
        <v>9162</v>
      </c>
      <c r="H1015" s="5" t="s">
        <v>99</v>
      </c>
      <c r="I1015" s="15">
        <v>44933</v>
      </c>
      <c r="J1015" s="15" t="s">
        <v>232</v>
      </c>
      <c r="K1015" s="6">
        <v>0.43680555555555556</v>
      </c>
      <c r="L1015" t="s">
        <v>142</v>
      </c>
      <c r="M1015">
        <v>1000000</v>
      </c>
      <c r="N1015" t="s">
        <v>209</v>
      </c>
      <c r="O1015" t="s">
        <v>152</v>
      </c>
      <c r="P1015">
        <v>66</v>
      </c>
      <c r="Q1015" t="s">
        <v>154</v>
      </c>
    </row>
    <row r="1016" spans="1:17" x14ac:dyDescent="0.2">
      <c r="A1016">
        <v>672686</v>
      </c>
      <c r="B1016">
        <v>1985</v>
      </c>
      <c r="C1016" s="1" t="s">
        <v>100</v>
      </c>
      <c r="D1016" s="11">
        <v>45259.070833333331</v>
      </c>
      <c r="E1016" t="s">
        <v>191</v>
      </c>
      <c r="F1016" t="s">
        <v>49</v>
      </c>
      <c r="G1016">
        <v>2269</v>
      </c>
      <c r="H1016" s="5" t="s">
        <v>100</v>
      </c>
      <c r="I1016" s="15">
        <v>45259</v>
      </c>
      <c r="J1016" s="15" t="s">
        <v>295</v>
      </c>
      <c r="K1016" s="6">
        <v>7.0833333333333331E-2</v>
      </c>
      <c r="L1016" t="s">
        <v>146</v>
      </c>
      <c r="M1016">
        <v>100000</v>
      </c>
      <c r="N1016" t="s">
        <v>222</v>
      </c>
      <c r="O1016" t="s">
        <v>151</v>
      </c>
      <c r="P1016">
        <v>49</v>
      </c>
      <c r="Q1016" t="s">
        <v>157</v>
      </c>
    </row>
    <row r="1017" spans="1:17" x14ac:dyDescent="0.2">
      <c r="A1017">
        <v>673115</v>
      </c>
      <c r="B1017">
        <v>1619</v>
      </c>
      <c r="C1017" s="1" t="s">
        <v>99</v>
      </c>
      <c r="D1017" s="11">
        <v>44960.967361111114</v>
      </c>
      <c r="E1017" t="s">
        <v>191</v>
      </c>
      <c r="F1017" t="s">
        <v>66</v>
      </c>
      <c r="G1017">
        <v>3556</v>
      </c>
      <c r="H1017" s="5" t="s">
        <v>99</v>
      </c>
      <c r="I1017" s="15">
        <v>44960</v>
      </c>
      <c r="J1017" s="15" t="s">
        <v>232</v>
      </c>
      <c r="K1017" s="6">
        <v>0.46736111111111112</v>
      </c>
      <c r="L1017" t="s">
        <v>144</v>
      </c>
      <c r="M1017">
        <v>150000</v>
      </c>
      <c r="N1017" t="s">
        <v>224</v>
      </c>
      <c r="O1017" t="s">
        <v>151</v>
      </c>
      <c r="P1017">
        <v>56</v>
      </c>
      <c r="Q1017" t="s">
        <v>157</v>
      </c>
    </row>
    <row r="1018" spans="1:17" x14ac:dyDescent="0.2">
      <c r="A1018">
        <v>673915</v>
      </c>
      <c r="B1018">
        <v>1426</v>
      </c>
      <c r="C1018" s="1" t="s">
        <v>99</v>
      </c>
      <c r="D1018" s="11">
        <v>45250.952777777777</v>
      </c>
      <c r="E1018" t="s">
        <v>98</v>
      </c>
      <c r="F1018" t="s">
        <v>71</v>
      </c>
      <c r="G1018">
        <v>1043</v>
      </c>
      <c r="H1018" s="5" t="s">
        <v>99</v>
      </c>
      <c r="I1018" s="15">
        <v>45250</v>
      </c>
      <c r="J1018" s="15" t="s">
        <v>295</v>
      </c>
      <c r="K1018" s="6">
        <v>0.45277777777777778</v>
      </c>
      <c r="L1018" t="s">
        <v>145</v>
      </c>
      <c r="M1018">
        <v>150000</v>
      </c>
      <c r="N1018" t="s">
        <v>226</v>
      </c>
      <c r="O1018" t="s">
        <v>152</v>
      </c>
      <c r="P1018">
        <v>37</v>
      </c>
      <c r="Q1018" t="s">
        <v>156</v>
      </c>
    </row>
    <row r="1019" spans="1:17" x14ac:dyDescent="0.2">
      <c r="A1019">
        <v>674745</v>
      </c>
      <c r="B1019">
        <v>613</v>
      </c>
      <c r="C1019" s="1" t="s">
        <v>113</v>
      </c>
      <c r="D1019" s="11">
        <v>44978.042361111111</v>
      </c>
      <c r="E1019" t="s">
        <v>191</v>
      </c>
      <c r="F1019" t="s">
        <v>78</v>
      </c>
      <c r="G1019">
        <v>4027</v>
      </c>
      <c r="H1019" s="5" t="s">
        <v>113</v>
      </c>
      <c r="I1019" s="15">
        <v>44978</v>
      </c>
      <c r="J1019" s="15" t="s">
        <v>232</v>
      </c>
      <c r="K1019" s="6">
        <v>4.2361111111111113E-2</v>
      </c>
      <c r="L1019" t="s">
        <v>143</v>
      </c>
      <c r="M1019">
        <v>200000</v>
      </c>
      <c r="N1019" t="s">
        <v>215</v>
      </c>
      <c r="O1019" t="s">
        <v>152</v>
      </c>
      <c r="P1019">
        <v>51</v>
      </c>
      <c r="Q1019" t="s">
        <v>155</v>
      </c>
    </row>
    <row r="1020" spans="1:17" x14ac:dyDescent="0.2">
      <c r="A1020">
        <v>675163</v>
      </c>
      <c r="B1020">
        <v>26</v>
      </c>
      <c r="C1020" s="1" t="s">
        <v>100</v>
      </c>
      <c r="D1020" s="11">
        <v>45100.939583333333</v>
      </c>
      <c r="E1020" t="s">
        <v>191</v>
      </c>
      <c r="F1020" t="s">
        <v>55</v>
      </c>
      <c r="G1020">
        <v>8499</v>
      </c>
      <c r="H1020" s="5" t="s">
        <v>100</v>
      </c>
      <c r="I1020" s="15">
        <v>45100</v>
      </c>
      <c r="J1020" s="15" t="s">
        <v>233</v>
      </c>
      <c r="K1020" s="6">
        <v>0.43958333333333333</v>
      </c>
      <c r="L1020" t="s">
        <v>144</v>
      </c>
      <c r="M1020">
        <v>100000</v>
      </c>
      <c r="N1020" t="s">
        <v>219</v>
      </c>
      <c r="O1020" t="s">
        <v>151</v>
      </c>
      <c r="P1020">
        <v>27</v>
      </c>
      <c r="Q1020" t="s">
        <v>154</v>
      </c>
    </row>
    <row r="1021" spans="1:17" x14ac:dyDescent="0.2">
      <c r="A1021">
        <v>675362</v>
      </c>
      <c r="B1021">
        <v>851</v>
      </c>
      <c r="C1021" s="1" t="s">
        <v>106</v>
      </c>
      <c r="D1021" s="11">
        <v>45061.969444444447</v>
      </c>
      <c r="E1021" t="s">
        <v>96</v>
      </c>
      <c r="F1021" t="s">
        <v>77</v>
      </c>
      <c r="G1021">
        <v>6791</v>
      </c>
      <c r="H1021" s="5" t="s">
        <v>106</v>
      </c>
      <c r="I1021" s="15">
        <v>45061</v>
      </c>
      <c r="J1021" s="15" t="s">
        <v>233</v>
      </c>
      <c r="K1021" s="6">
        <v>0.46944444444444444</v>
      </c>
      <c r="L1021" t="s">
        <v>146</v>
      </c>
      <c r="M1021">
        <v>100000</v>
      </c>
      <c r="N1021" t="s">
        <v>222</v>
      </c>
      <c r="O1021" t="s">
        <v>152</v>
      </c>
      <c r="P1021">
        <v>58</v>
      </c>
      <c r="Q1021" t="s">
        <v>155</v>
      </c>
    </row>
    <row r="1022" spans="1:17" x14ac:dyDescent="0.2">
      <c r="A1022">
        <v>675864</v>
      </c>
      <c r="B1022">
        <v>15</v>
      </c>
      <c r="C1022" s="1" t="s">
        <v>109</v>
      </c>
      <c r="D1022" s="11">
        <v>45159.008333333331</v>
      </c>
      <c r="E1022" t="s">
        <v>98</v>
      </c>
      <c r="F1022" t="s">
        <v>46</v>
      </c>
      <c r="G1022">
        <v>9493</v>
      </c>
      <c r="H1022" s="5" t="s">
        <v>109</v>
      </c>
      <c r="I1022" s="15">
        <v>45159</v>
      </c>
      <c r="J1022" s="15" t="s">
        <v>234</v>
      </c>
      <c r="K1022" s="6">
        <v>0.5083333333333333</v>
      </c>
      <c r="L1022" t="s">
        <v>142</v>
      </c>
      <c r="M1022">
        <v>200000</v>
      </c>
      <c r="N1022" t="s">
        <v>211</v>
      </c>
      <c r="O1022" t="s">
        <v>152</v>
      </c>
      <c r="P1022">
        <v>48</v>
      </c>
      <c r="Q1022" t="s">
        <v>154</v>
      </c>
    </row>
    <row r="1023" spans="1:17" x14ac:dyDescent="0.2">
      <c r="A1023">
        <v>677135</v>
      </c>
      <c r="B1023">
        <v>413</v>
      </c>
      <c r="C1023" s="1" t="s">
        <v>105</v>
      </c>
      <c r="D1023" s="11">
        <v>45049.011805555558</v>
      </c>
      <c r="E1023" t="s">
        <v>191</v>
      </c>
      <c r="F1023" t="s">
        <v>64</v>
      </c>
      <c r="G1023">
        <v>4602</v>
      </c>
      <c r="H1023" s="5" t="s">
        <v>105</v>
      </c>
      <c r="I1023" s="15">
        <v>45049</v>
      </c>
      <c r="J1023" s="15" t="s">
        <v>233</v>
      </c>
      <c r="K1023" s="6">
        <v>0.51180555555555551</v>
      </c>
      <c r="L1023" t="s">
        <v>143</v>
      </c>
      <c r="M1023">
        <v>100000</v>
      </c>
      <c r="N1023" t="s">
        <v>223</v>
      </c>
      <c r="O1023" t="s">
        <v>151</v>
      </c>
      <c r="P1023">
        <v>47</v>
      </c>
      <c r="Q1023" t="s">
        <v>154</v>
      </c>
    </row>
    <row r="1024" spans="1:17" x14ac:dyDescent="0.2">
      <c r="A1024">
        <v>679362</v>
      </c>
      <c r="B1024">
        <v>955</v>
      </c>
      <c r="C1024" s="1" t="s">
        <v>113</v>
      </c>
      <c r="D1024" s="11">
        <v>45007.023611111108</v>
      </c>
      <c r="E1024" t="s">
        <v>97</v>
      </c>
      <c r="F1024" t="s">
        <v>58</v>
      </c>
      <c r="G1024">
        <v>1750</v>
      </c>
      <c r="H1024" s="5" t="s">
        <v>113</v>
      </c>
      <c r="I1024" s="15">
        <v>45007</v>
      </c>
      <c r="J1024" s="15" t="s">
        <v>232</v>
      </c>
      <c r="K1024" s="6">
        <v>0.52361111111111114</v>
      </c>
      <c r="L1024" t="s">
        <v>143</v>
      </c>
      <c r="M1024">
        <v>80000</v>
      </c>
      <c r="N1024" t="s">
        <v>214</v>
      </c>
      <c r="O1024" t="s">
        <v>151</v>
      </c>
      <c r="P1024">
        <v>85</v>
      </c>
      <c r="Q1024" t="s">
        <v>155</v>
      </c>
    </row>
    <row r="1025" spans="1:17" x14ac:dyDescent="0.2">
      <c r="A1025">
        <v>679845</v>
      </c>
      <c r="B1025">
        <v>95</v>
      </c>
      <c r="C1025" s="1" t="s">
        <v>113</v>
      </c>
      <c r="D1025" s="11">
        <v>44981.004166666666</v>
      </c>
      <c r="E1025" t="s">
        <v>96</v>
      </c>
      <c r="F1025" t="s">
        <v>30</v>
      </c>
      <c r="G1025">
        <v>8415</v>
      </c>
      <c r="H1025" s="5" t="s">
        <v>113</v>
      </c>
      <c r="I1025" s="15">
        <v>44981</v>
      </c>
      <c r="J1025" s="15" t="s">
        <v>232</v>
      </c>
      <c r="K1025" s="6">
        <v>0.50416666666666665</v>
      </c>
      <c r="L1025" t="s">
        <v>144</v>
      </c>
      <c r="M1025">
        <v>200000</v>
      </c>
      <c r="N1025" t="s">
        <v>216</v>
      </c>
      <c r="O1025" t="s">
        <v>151</v>
      </c>
      <c r="P1025">
        <v>50</v>
      </c>
      <c r="Q1025" t="s">
        <v>154</v>
      </c>
    </row>
    <row r="1026" spans="1:17" x14ac:dyDescent="0.2">
      <c r="A1026">
        <v>680722</v>
      </c>
      <c r="B1026">
        <v>1278</v>
      </c>
      <c r="C1026" s="1" t="s">
        <v>99</v>
      </c>
      <c r="D1026" s="11">
        <v>45032.083333333336</v>
      </c>
      <c r="E1026" t="s">
        <v>98</v>
      </c>
      <c r="F1026" t="s">
        <v>47</v>
      </c>
      <c r="G1026">
        <v>421</v>
      </c>
      <c r="H1026" s="5" t="s">
        <v>99</v>
      </c>
      <c r="I1026" s="15">
        <v>45032</v>
      </c>
      <c r="J1026" s="15" t="s">
        <v>233</v>
      </c>
      <c r="K1026" s="6">
        <v>8.3333333333333329E-2</v>
      </c>
      <c r="L1026" t="s">
        <v>144</v>
      </c>
      <c r="M1026">
        <v>100000</v>
      </c>
      <c r="N1026" t="s">
        <v>218</v>
      </c>
      <c r="O1026" t="s">
        <v>152</v>
      </c>
      <c r="P1026">
        <v>69</v>
      </c>
      <c r="Q1026" t="s">
        <v>156</v>
      </c>
    </row>
    <row r="1027" spans="1:17" x14ac:dyDescent="0.2">
      <c r="A1027">
        <v>682438</v>
      </c>
      <c r="B1027">
        <v>361</v>
      </c>
      <c r="C1027" s="1" t="s">
        <v>107</v>
      </c>
      <c r="D1027" s="11">
        <v>45271.042361111111</v>
      </c>
      <c r="E1027" t="s">
        <v>191</v>
      </c>
      <c r="F1027" t="s">
        <v>53</v>
      </c>
      <c r="G1027">
        <v>1181</v>
      </c>
      <c r="H1027" s="5" t="s">
        <v>107</v>
      </c>
      <c r="I1027" s="15">
        <v>45271</v>
      </c>
      <c r="J1027" s="15" t="s">
        <v>295</v>
      </c>
      <c r="K1027" s="6">
        <v>4.2361111111111113E-2</v>
      </c>
      <c r="L1027" t="s">
        <v>142</v>
      </c>
      <c r="M1027">
        <v>100000</v>
      </c>
      <c r="N1027" t="s">
        <v>207</v>
      </c>
      <c r="O1027" t="s">
        <v>151</v>
      </c>
      <c r="P1027">
        <v>87</v>
      </c>
      <c r="Q1027" t="s">
        <v>154</v>
      </c>
    </row>
    <row r="1028" spans="1:17" x14ac:dyDescent="0.2">
      <c r="A1028">
        <v>683069</v>
      </c>
      <c r="B1028">
        <v>1757</v>
      </c>
      <c r="C1028" s="1" t="s">
        <v>105</v>
      </c>
      <c r="D1028" s="11">
        <v>45219.97152777778</v>
      </c>
      <c r="E1028" t="s">
        <v>96</v>
      </c>
      <c r="F1028" t="s">
        <v>11</v>
      </c>
      <c r="G1028">
        <v>8159</v>
      </c>
      <c r="H1028" s="5" t="s">
        <v>105</v>
      </c>
      <c r="I1028" s="15">
        <v>45219</v>
      </c>
      <c r="J1028" s="15" t="s">
        <v>295</v>
      </c>
      <c r="K1028" s="6">
        <v>0.47152777777777777</v>
      </c>
      <c r="L1028" t="s">
        <v>143</v>
      </c>
      <c r="M1028">
        <v>150000</v>
      </c>
      <c r="N1028" t="s">
        <v>204</v>
      </c>
      <c r="O1028" t="s">
        <v>151</v>
      </c>
      <c r="P1028">
        <v>20</v>
      </c>
      <c r="Q1028" t="s">
        <v>157</v>
      </c>
    </row>
    <row r="1029" spans="1:17" x14ac:dyDescent="0.2">
      <c r="A1029">
        <v>683536</v>
      </c>
      <c r="B1029">
        <v>1986</v>
      </c>
      <c r="C1029" s="1" t="s">
        <v>100</v>
      </c>
      <c r="D1029" s="11">
        <v>45278.957638888889</v>
      </c>
      <c r="E1029" t="s">
        <v>97</v>
      </c>
      <c r="F1029" t="s">
        <v>85</v>
      </c>
      <c r="G1029">
        <v>4037</v>
      </c>
      <c r="H1029" s="5" t="s">
        <v>100</v>
      </c>
      <c r="I1029" s="15">
        <v>45278</v>
      </c>
      <c r="J1029" s="15" t="s">
        <v>295</v>
      </c>
      <c r="K1029" s="6">
        <v>0.45763888888888887</v>
      </c>
      <c r="L1029" t="s">
        <v>146</v>
      </c>
      <c r="M1029">
        <v>100000</v>
      </c>
      <c r="N1029" t="s">
        <v>212</v>
      </c>
      <c r="O1029" t="s">
        <v>151</v>
      </c>
      <c r="P1029">
        <v>21</v>
      </c>
      <c r="Q1029" t="s">
        <v>157</v>
      </c>
    </row>
    <row r="1030" spans="1:17" x14ac:dyDescent="0.2">
      <c r="A1030">
        <v>685513</v>
      </c>
      <c r="B1030">
        <v>252</v>
      </c>
      <c r="C1030" s="1" t="s">
        <v>99</v>
      </c>
      <c r="D1030" s="11">
        <v>44998.011805555558</v>
      </c>
      <c r="E1030" t="s">
        <v>96</v>
      </c>
      <c r="F1030" t="s">
        <v>44</v>
      </c>
      <c r="G1030">
        <v>7916</v>
      </c>
      <c r="H1030" s="5" t="s">
        <v>99</v>
      </c>
      <c r="I1030" s="15">
        <v>44998</v>
      </c>
      <c r="J1030" s="15" t="s">
        <v>232</v>
      </c>
      <c r="K1030" s="6">
        <v>0.51180555555555551</v>
      </c>
      <c r="L1030" t="s">
        <v>144</v>
      </c>
      <c r="M1030">
        <v>150000</v>
      </c>
      <c r="N1030" t="s">
        <v>199</v>
      </c>
      <c r="O1030" t="s">
        <v>152</v>
      </c>
      <c r="P1030">
        <v>89</v>
      </c>
      <c r="Q1030" t="s">
        <v>154</v>
      </c>
    </row>
    <row r="1031" spans="1:17" x14ac:dyDescent="0.2">
      <c r="A1031">
        <v>685841</v>
      </c>
      <c r="B1031">
        <v>446</v>
      </c>
      <c r="C1031" s="1" t="s">
        <v>99</v>
      </c>
      <c r="D1031" s="11">
        <v>45201.955555555556</v>
      </c>
      <c r="E1031" t="s">
        <v>97</v>
      </c>
      <c r="F1031" t="s">
        <v>51</v>
      </c>
      <c r="G1031">
        <v>7514</v>
      </c>
      <c r="H1031" s="5" t="s">
        <v>99</v>
      </c>
      <c r="I1031" s="15">
        <v>45201</v>
      </c>
      <c r="J1031" s="15" t="s">
        <v>295</v>
      </c>
      <c r="K1031" s="6">
        <v>0.45555555555555555</v>
      </c>
      <c r="L1031" t="s">
        <v>145</v>
      </c>
      <c r="M1031">
        <v>100000</v>
      </c>
      <c r="N1031" t="s">
        <v>217</v>
      </c>
      <c r="O1031" t="s">
        <v>151</v>
      </c>
      <c r="P1031">
        <v>67</v>
      </c>
      <c r="Q1031" t="s">
        <v>154</v>
      </c>
    </row>
    <row r="1032" spans="1:17" x14ac:dyDescent="0.2">
      <c r="A1032">
        <v>686575</v>
      </c>
      <c r="B1032">
        <v>184</v>
      </c>
      <c r="C1032" s="1" t="s">
        <v>106</v>
      </c>
      <c r="D1032" s="11">
        <v>45112.972222222219</v>
      </c>
      <c r="E1032" t="s">
        <v>98</v>
      </c>
      <c r="F1032" t="s">
        <v>27</v>
      </c>
      <c r="G1032">
        <v>5597</v>
      </c>
      <c r="H1032" s="5" t="s">
        <v>106</v>
      </c>
      <c r="I1032" s="15">
        <v>45112</v>
      </c>
      <c r="J1032" s="15" t="s">
        <v>234</v>
      </c>
      <c r="K1032" s="6">
        <v>0.47222222222222221</v>
      </c>
      <c r="L1032" t="s">
        <v>142</v>
      </c>
      <c r="M1032">
        <v>1000000</v>
      </c>
      <c r="N1032" t="s">
        <v>209</v>
      </c>
      <c r="O1032" t="s">
        <v>151</v>
      </c>
      <c r="P1032">
        <v>79</v>
      </c>
      <c r="Q1032" t="s">
        <v>154</v>
      </c>
    </row>
    <row r="1033" spans="1:17" x14ac:dyDescent="0.2">
      <c r="A1033">
        <v>686952</v>
      </c>
      <c r="B1033">
        <v>1685</v>
      </c>
      <c r="C1033" s="1" t="s">
        <v>99</v>
      </c>
      <c r="D1033" s="11">
        <v>45029.040277777778</v>
      </c>
      <c r="E1033" t="s">
        <v>97</v>
      </c>
      <c r="F1033" t="s">
        <v>68</v>
      </c>
      <c r="G1033">
        <v>6047</v>
      </c>
      <c r="H1033" s="5" t="s">
        <v>99</v>
      </c>
      <c r="I1033" s="15">
        <v>45029</v>
      </c>
      <c r="J1033" s="15" t="s">
        <v>233</v>
      </c>
      <c r="K1033" s="6">
        <v>0.54027777777777775</v>
      </c>
      <c r="L1033" t="s">
        <v>144</v>
      </c>
      <c r="M1033">
        <v>100000</v>
      </c>
      <c r="N1033" t="s">
        <v>200</v>
      </c>
      <c r="O1033" t="s">
        <v>152</v>
      </c>
      <c r="P1033">
        <v>74</v>
      </c>
      <c r="Q1033" t="s">
        <v>157</v>
      </c>
    </row>
    <row r="1034" spans="1:17" x14ac:dyDescent="0.2">
      <c r="A1034">
        <v>687364</v>
      </c>
      <c r="B1034">
        <v>444</v>
      </c>
      <c r="C1034" s="1" t="s">
        <v>105</v>
      </c>
      <c r="D1034" s="11">
        <v>45153.986111111109</v>
      </c>
      <c r="E1034" t="s">
        <v>98</v>
      </c>
      <c r="F1034" t="s">
        <v>27</v>
      </c>
      <c r="G1034">
        <v>4487</v>
      </c>
      <c r="H1034" s="5" t="s">
        <v>105</v>
      </c>
      <c r="I1034" s="15">
        <v>45153</v>
      </c>
      <c r="J1034" s="15" t="s">
        <v>234</v>
      </c>
      <c r="K1034" s="6">
        <v>0.4861111111111111</v>
      </c>
      <c r="L1034" t="s">
        <v>142</v>
      </c>
      <c r="M1034">
        <v>1000000</v>
      </c>
      <c r="N1034" t="s">
        <v>209</v>
      </c>
      <c r="O1034" t="s">
        <v>152</v>
      </c>
      <c r="P1034">
        <v>23</v>
      </c>
      <c r="Q1034" t="s">
        <v>154</v>
      </c>
    </row>
    <row r="1035" spans="1:17" x14ac:dyDescent="0.2">
      <c r="A1035">
        <v>687698</v>
      </c>
      <c r="B1035">
        <v>814</v>
      </c>
      <c r="C1035" s="1" t="s">
        <v>99</v>
      </c>
      <c r="D1035" s="11">
        <v>44942.03125</v>
      </c>
      <c r="E1035" t="s">
        <v>97</v>
      </c>
      <c r="F1035" t="s">
        <v>73</v>
      </c>
      <c r="G1035">
        <v>4616</v>
      </c>
      <c r="H1035" s="5" t="s">
        <v>99</v>
      </c>
      <c r="I1035" s="15">
        <v>44942</v>
      </c>
      <c r="J1035" s="15" t="s">
        <v>232</v>
      </c>
      <c r="K1035" s="6">
        <v>0.53125</v>
      </c>
      <c r="L1035" t="s">
        <v>146</v>
      </c>
      <c r="M1035">
        <v>150000</v>
      </c>
      <c r="N1035" t="s">
        <v>222</v>
      </c>
      <c r="O1035" t="s">
        <v>152</v>
      </c>
      <c r="P1035">
        <v>60</v>
      </c>
      <c r="Q1035" t="s">
        <v>155</v>
      </c>
    </row>
    <row r="1036" spans="1:17" x14ac:dyDescent="0.2">
      <c r="A1036">
        <v>688175</v>
      </c>
      <c r="B1036">
        <v>642</v>
      </c>
      <c r="C1036" s="1" t="s">
        <v>100</v>
      </c>
      <c r="D1036" s="11">
        <v>45238.036111111112</v>
      </c>
      <c r="E1036" t="s">
        <v>97</v>
      </c>
      <c r="F1036" t="s">
        <v>43</v>
      </c>
      <c r="G1036">
        <v>1612</v>
      </c>
      <c r="H1036" s="5" t="s">
        <v>100</v>
      </c>
      <c r="I1036" s="15">
        <v>45238</v>
      </c>
      <c r="J1036" s="15" t="s">
        <v>295</v>
      </c>
      <c r="K1036" s="6">
        <v>0.53611111111111109</v>
      </c>
      <c r="L1036" t="s">
        <v>145</v>
      </c>
      <c r="M1036">
        <v>1000000</v>
      </c>
      <c r="N1036" t="s">
        <v>203</v>
      </c>
      <c r="O1036" t="s">
        <v>152</v>
      </c>
      <c r="P1036">
        <v>32</v>
      </c>
      <c r="Q1036" t="s">
        <v>155</v>
      </c>
    </row>
    <row r="1037" spans="1:17" x14ac:dyDescent="0.2">
      <c r="A1037">
        <v>688366</v>
      </c>
      <c r="B1037">
        <v>268</v>
      </c>
      <c r="C1037" s="1" t="s">
        <v>113</v>
      </c>
      <c r="D1037" s="11">
        <v>45272.046527777777</v>
      </c>
      <c r="E1037" t="s">
        <v>191</v>
      </c>
      <c r="F1037" t="s">
        <v>64</v>
      </c>
      <c r="G1037">
        <v>345</v>
      </c>
      <c r="H1037" s="5" t="s">
        <v>113</v>
      </c>
      <c r="I1037" s="15">
        <v>45272</v>
      </c>
      <c r="J1037" s="15" t="s">
        <v>295</v>
      </c>
      <c r="K1037" s="6">
        <v>4.6527777777777779E-2</v>
      </c>
      <c r="L1037" t="s">
        <v>143</v>
      </c>
      <c r="M1037">
        <v>100000</v>
      </c>
      <c r="N1037" t="s">
        <v>223</v>
      </c>
      <c r="O1037" t="s">
        <v>151</v>
      </c>
      <c r="P1037">
        <v>47</v>
      </c>
      <c r="Q1037" t="s">
        <v>154</v>
      </c>
    </row>
    <row r="1038" spans="1:17" x14ac:dyDescent="0.2">
      <c r="A1038">
        <v>688473</v>
      </c>
      <c r="B1038">
        <v>829</v>
      </c>
      <c r="C1038" s="1" t="s">
        <v>99</v>
      </c>
      <c r="D1038" s="11">
        <v>45194.050694444442</v>
      </c>
      <c r="E1038" t="s">
        <v>97</v>
      </c>
      <c r="F1038" t="s">
        <v>27</v>
      </c>
      <c r="G1038">
        <v>2835</v>
      </c>
      <c r="H1038" s="5" t="s">
        <v>99</v>
      </c>
      <c r="I1038" s="15">
        <v>45194</v>
      </c>
      <c r="J1038" s="15" t="s">
        <v>234</v>
      </c>
      <c r="K1038" s="6">
        <v>5.0694444444444445E-2</v>
      </c>
      <c r="L1038" t="s">
        <v>142</v>
      </c>
      <c r="M1038">
        <v>1000000</v>
      </c>
      <c r="N1038" t="s">
        <v>209</v>
      </c>
      <c r="O1038" t="s">
        <v>152</v>
      </c>
      <c r="P1038">
        <v>65</v>
      </c>
      <c r="Q1038" t="s">
        <v>155</v>
      </c>
    </row>
    <row r="1039" spans="1:17" x14ac:dyDescent="0.2">
      <c r="A1039">
        <v>689972</v>
      </c>
      <c r="B1039">
        <v>916</v>
      </c>
      <c r="C1039" s="8" t="s">
        <v>100</v>
      </c>
      <c r="D1039" s="11">
        <v>44965.075694444444</v>
      </c>
      <c r="E1039" t="s">
        <v>96</v>
      </c>
      <c r="F1039" t="s">
        <v>26</v>
      </c>
      <c r="G1039">
        <v>2682</v>
      </c>
      <c r="H1039" s="5" t="s">
        <v>100</v>
      </c>
      <c r="I1039" s="15">
        <v>44965</v>
      </c>
      <c r="J1039" s="15" t="s">
        <v>232</v>
      </c>
      <c r="K1039" s="6">
        <v>7.5694444444444439E-2</v>
      </c>
      <c r="L1039" t="s">
        <v>145</v>
      </c>
      <c r="M1039">
        <v>100000</v>
      </c>
      <c r="N1039" t="s">
        <v>210</v>
      </c>
      <c r="O1039" t="s">
        <v>151</v>
      </c>
      <c r="P1039">
        <v>61</v>
      </c>
      <c r="Q1039" t="s">
        <v>155</v>
      </c>
    </row>
    <row r="1040" spans="1:17" x14ac:dyDescent="0.2">
      <c r="A1040">
        <v>690697</v>
      </c>
      <c r="B1040">
        <v>1330</v>
      </c>
      <c r="C1040" s="1" t="s">
        <v>101</v>
      </c>
      <c r="D1040" s="11">
        <v>44987.008333333331</v>
      </c>
      <c r="E1040" t="s">
        <v>98</v>
      </c>
      <c r="F1040" t="s">
        <v>69</v>
      </c>
      <c r="G1040">
        <v>2726</v>
      </c>
      <c r="H1040" s="5" t="s">
        <v>101</v>
      </c>
      <c r="I1040" s="15">
        <v>44987</v>
      </c>
      <c r="J1040" s="15" t="s">
        <v>232</v>
      </c>
      <c r="K1040" s="6">
        <v>0.5083333333333333</v>
      </c>
      <c r="L1040" t="s">
        <v>146</v>
      </c>
      <c r="M1040">
        <v>250000</v>
      </c>
      <c r="N1040" t="s">
        <v>225</v>
      </c>
      <c r="O1040" t="s">
        <v>151</v>
      </c>
      <c r="P1040">
        <v>59</v>
      </c>
      <c r="Q1040" t="s">
        <v>156</v>
      </c>
    </row>
    <row r="1041" spans="1:17" x14ac:dyDescent="0.2">
      <c r="A1041">
        <v>690812</v>
      </c>
      <c r="B1041">
        <v>985</v>
      </c>
      <c r="C1041" s="1" t="s">
        <v>99</v>
      </c>
      <c r="D1041" s="11">
        <v>45167.004861111112</v>
      </c>
      <c r="E1041" t="s">
        <v>97</v>
      </c>
      <c r="F1041" t="s">
        <v>74</v>
      </c>
      <c r="G1041">
        <v>3887</v>
      </c>
      <c r="H1041" s="5" t="s">
        <v>99</v>
      </c>
      <c r="I1041" s="15">
        <v>45167</v>
      </c>
      <c r="J1041" s="15" t="s">
        <v>234</v>
      </c>
      <c r="K1041" s="6">
        <v>0.50486111111111109</v>
      </c>
      <c r="L1041" t="s">
        <v>145</v>
      </c>
      <c r="M1041">
        <v>150000</v>
      </c>
      <c r="N1041" t="s">
        <v>226</v>
      </c>
      <c r="O1041" t="s">
        <v>151</v>
      </c>
      <c r="P1041">
        <v>69</v>
      </c>
      <c r="Q1041" t="s">
        <v>155</v>
      </c>
    </row>
    <row r="1042" spans="1:17" x14ac:dyDescent="0.2">
      <c r="A1042">
        <v>691227</v>
      </c>
      <c r="B1042">
        <v>955</v>
      </c>
      <c r="C1042" s="1" t="s">
        <v>113</v>
      </c>
      <c r="D1042" s="11">
        <v>45116.03402777778</v>
      </c>
      <c r="E1042" t="s">
        <v>191</v>
      </c>
      <c r="F1042" t="s">
        <v>43</v>
      </c>
      <c r="G1042">
        <v>5936</v>
      </c>
      <c r="H1042" s="5" t="s">
        <v>113</v>
      </c>
      <c r="I1042" s="15">
        <v>45116</v>
      </c>
      <c r="J1042" s="15" t="s">
        <v>234</v>
      </c>
      <c r="K1042" s="6">
        <v>0.53402777777777777</v>
      </c>
      <c r="L1042" t="s">
        <v>145</v>
      </c>
      <c r="M1042">
        <v>1000000</v>
      </c>
      <c r="N1042" t="s">
        <v>203</v>
      </c>
      <c r="O1042" t="s">
        <v>151</v>
      </c>
      <c r="P1042">
        <v>85</v>
      </c>
      <c r="Q1042" t="s">
        <v>155</v>
      </c>
    </row>
    <row r="1043" spans="1:17" x14ac:dyDescent="0.2">
      <c r="A1043">
        <v>691268</v>
      </c>
      <c r="B1043">
        <v>809</v>
      </c>
      <c r="C1043" s="1" t="s">
        <v>99</v>
      </c>
      <c r="D1043" s="11">
        <v>45068.036805555559</v>
      </c>
      <c r="E1043" t="s">
        <v>98</v>
      </c>
      <c r="F1043" t="s">
        <v>88</v>
      </c>
      <c r="G1043">
        <v>9498</v>
      </c>
      <c r="H1043" s="5" t="s">
        <v>99</v>
      </c>
      <c r="I1043" s="15">
        <v>45068</v>
      </c>
      <c r="J1043" s="15" t="s">
        <v>233</v>
      </c>
      <c r="K1043" s="6">
        <v>0.53680555555555554</v>
      </c>
      <c r="L1043" t="s">
        <v>144</v>
      </c>
      <c r="M1043">
        <v>100000</v>
      </c>
      <c r="N1043" t="s">
        <v>200</v>
      </c>
      <c r="O1043" t="s">
        <v>151</v>
      </c>
      <c r="P1043">
        <v>87</v>
      </c>
      <c r="Q1043" t="s">
        <v>155</v>
      </c>
    </row>
    <row r="1044" spans="1:17" x14ac:dyDescent="0.2">
      <c r="A1044">
        <v>691913</v>
      </c>
      <c r="B1044">
        <v>1566</v>
      </c>
      <c r="C1044" s="1" t="s">
        <v>99</v>
      </c>
      <c r="D1044" s="11">
        <v>44969.047222222223</v>
      </c>
      <c r="E1044" t="s">
        <v>191</v>
      </c>
      <c r="F1044" t="s">
        <v>22</v>
      </c>
      <c r="G1044">
        <v>6689</v>
      </c>
      <c r="H1044" s="5" t="s">
        <v>99</v>
      </c>
      <c r="I1044" s="15">
        <v>44969</v>
      </c>
      <c r="J1044" s="15" t="s">
        <v>232</v>
      </c>
      <c r="K1044" s="6">
        <v>4.7222222222222221E-2</v>
      </c>
      <c r="L1044" t="s">
        <v>144</v>
      </c>
      <c r="M1044">
        <v>100000</v>
      </c>
      <c r="N1044" t="s">
        <v>202</v>
      </c>
      <c r="O1044" t="s">
        <v>151</v>
      </c>
      <c r="P1044">
        <v>64</v>
      </c>
      <c r="Q1044" t="s">
        <v>157</v>
      </c>
    </row>
    <row r="1045" spans="1:17" x14ac:dyDescent="0.2">
      <c r="A1045">
        <v>691946</v>
      </c>
      <c r="B1045">
        <v>455</v>
      </c>
      <c r="C1045" s="1" t="s">
        <v>109</v>
      </c>
      <c r="D1045" s="11">
        <v>44960.990277777775</v>
      </c>
      <c r="E1045" t="s">
        <v>191</v>
      </c>
      <c r="F1045" t="s">
        <v>73</v>
      </c>
      <c r="G1045">
        <v>1893</v>
      </c>
      <c r="H1045" s="5" t="s">
        <v>109</v>
      </c>
      <c r="I1045" s="15">
        <v>44960</v>
      </c>
      <c r="J1045" s="15" t="s">
        <v>232</v>
      </c>
      <c r="K1045" s="6">
        <v>0.49027777777777776</v>
      </c>
      <c r="L1045" t="s">
        <v>146</v>
      </c>
      <c r="M1045">
        <v>150000</v>
      </c>
      <c r="N1045" t="s">
        <v>222</v>
      </c>
      <c r="O1045" t="s">
        <v>152</v>
      </c>
      <c r="P1045">
        <v>52</v>
      </c>
      <c r="Q1045" t="s">
        <v>154</v>
      </c>
    </row>
    <row r="1046" spans="1:17" x14ac:dyDescent="0.2">
      <c r="A1046">
        <v>692440</v>
      </c>
      <c r="B1046">
        <v>159</v>
      </c>
      <c r="C1046" s="1" t="s">
        <v>99</v>
      </c>
      <c r="D1046" s="11">
        <v>45126.987500000003</v>
      </c>
      <c r="E1046" t="s">
        <v>96</v>
      </c>
      <c r="F1046" t="s">
        <v>4</v>
      </c>
      <c r="G1046">
        <v>7041</v>
      </c>
      <c r="H1046" s="5" t="s">
        <v>99</v>
      </c>
      <c r="I1046" s="15">
        <v>45126</v>
      </c>
      <c r="J1046" s="15" t="s">
        <v>234</v>
      </c>
      <c r="K1046" s="6">
        <v>0.48749999999999999</v>
      </c>
      <c r="L1046" t="s">
        <v>142</v>
      </c>
      <c r="M1046">
        <v>200000</v>
      </c>
      <c r="N1046" t="s">
        <v>197</v>
      </c>
      <c r="O1046" t="s">
        <v>151</v>
      </c>
      <c r="P1046">
        <v>25</v>
      </c>
      <c r="Q1046" t="s">
        <v>154</v>
      </c>
    </row>
    <row r="1047" spans="1:17" x14ac:dyDescent="0.2">
      <c r="A1047">
        <v>692808</v>
      </c>
      <c r="B1047">
        <v>1797</v>
      </c>
      <c r="C1047" s="1" t="s">
        <v>99</v>
      </c>
      <c r="D1047" s="11">
        <v>45146.019444444442</v>
      </c>
      <c r="E1047" t="s">
        <v>96</v>
      </c>
      <c r="F1047" t="s">
        <v>89</v>
      </c>
      <c r="G1047">
        <v>7362</v>
      </c>
      <c r="H1047" s="5" t="s">
        <v>99</v>
      </c>
      <c r="I1047" s="15">
        <v>45146</v>
      </c>
      <c r="J1047" s="15" t="s">
        <v>234</v>
      </c>
      <c r="K1047" s="6">
        <v>0.51944444444444449</v>
      </c>
      <c r="L1047" t="s">
        <v>144</v>
      </c>
      <c r="M1047">
        <v>150000</v>
      </c>
      <c r="N1047" t="s">
        <v>218</v>
      </c>
      <c r="O1047" t="s">
        <v>151</v>
      </c>
      <c r="P1047">
        <v>45</v>
      </c>
      <c r="Q1047" t="s">
        <v>157</v>
      </c>
    </row>
    <row r="1048" spans="1:17" x14ac:dyDescent="0.2">
      <c r="A1048">
        <v>692957</v>
      </c>
      <c r="B1048">
        <v>941</v>
      </c>
      <c r="C1048" s="1" t="s">
        <v>99</v>
      </c>
      <c r="D1048" s="11">
        <v>45262.990277777775</v>
      </c>
      <c r="E1048" t="s">
        <v>98</v>
      </c>
      <c r="F1048" t="s">
        <v>19</v>
      </c>
      <c r="G1048">
        <v>8917</v>
      </c>
      <c r="H1048" s="5" t="s">
        <v>99</v>
      </c>
      <c r="I1048" s="15">
        <v>45262</v>
      </c>
      <c r="J1048" s="15" t="s">
        <v>295</v>
      </c>
      <c r="K1048" s="6">
        <v>0.49027777777777776</v>
      </c>
      <c r="L1048" t="s">
        <v>142</v>
      </c>
      <c r="M1048">
        <v>150000</v>
      </c>
      <c r="N1048" t="s">
        <v>211</v>
      </c>
      <c r="O1048" t="s">
        <v>151</v>
      </c>
      <c r="P1048">
        <v>81</v>
      </c>
      <c r="Q1048" t="s">
        <v>155</v>
      </c>
    </row>
    <row r="1049" spans="1:17" x14ac:dyDescent="0.2">
      <c r="A1049">
        <v>692962</v>
      </c>
      <c r="B1049">
        <v>442</v>
      </c>
      <c r="C1049" s="1" t="s">
        <v>99</v>
      </c>
      <c r="D1049" s="11">
        <v>45124.021527777775</v>
      </c>
      <c r="E1049" t="s">
        <v>98</v>
      </c>
      <c r="F1049" t="s">
        <v>72</v>
      </c>
      <c r="G1049">
        <v>1328</v>
      </c>
      <c r="H1049" s="5" t="s">
        <v>99</v>
      </c>
      <c r="I1049" s="15">
        <v>45124</v>
      </c>
      <c r="J1049" s="15" t="s">
        <v>234</v>
      </c>
      <c r="K1049" s="6">
        <v>0.52152777777777781</v>
      </c>
      <c r="L1049" t="s">
        <v>143</v>
      </c>
      <c r="M1049">
        <v>150000</v>
      </c>
      <c r="N1049" t="s">
        <v>223</v>
      </c>
      <c r="O1049" t="s">
        <v>151</v>
      </c>
      <c r="P1049">
        <v>62</v>
      </c>
      <c r="Q1049" t="s">
        <v>154</v>
      </c>
    </row>
    <row r="1050" spans="1:17" x14ac:dyDescent="0.2">
      <c r="A1050">
        <v>694715</v>
      </c>
      <c r="B1050">
        <v>519</v>
      </c>
      <c r="C1050" s="1" t="s">
        <v>100</v>
      </c>
      <c r="D1050" s="11">
        <v>45139.963194444441</v>
      </c>
      <c r="E1050" t="s">
        <v>96</v>
      </c>
      <c r="F1050" t="s">
        <v>35</v>
      </c>
      <c r="G1050">
        <v>6870</v>
      </c>
      <c r="H1050" s="5" t="s">
        <v>100</v>
      </c>
      <c r="I1050" s="15">
        <v>45139</v>
      </c>
      <c r="J1050" s="15" t="s">
        <v>234</v>
      </c>
      <c r="K1050" s="6">
        <v>0.46319444444444446</v>
      </c>
      <c r="L1050" t="s">
        <v>144</v>
      </c>
      <c r="M1050">
        <v>100000</v>
      </c>
      <c r="N1050" t="s">
        <v>219</v>
      </c>
      <c r="O1050" t="s">
        <v>151</v>
      </c>
      <c r="P1050">
        <v>70</v>
      </c>
      <c r="Q1050" t="s">
        <v>155</v>
      </c>
    </row>
    <row r="1051" spans="1:17" x14ac:dyDescent="0.2">
      <c r="A1051">
        <v>695237</v>
      </c>
      <c r="B1051">
        <v>520</v>
      </c>
      <c r="C1051" s="1" t="s">
        <v>105</v>
      </c>
      <c r="D1051" s="11">
        <v>44937.986111111109</v>
      </c>
      <c r="E1051" t="s">
        <v>98</v>
      </c>
      <c r="F1051" t="s">
        <v>25</v>
      </c>
      <c r="G1051">
        <v>1232</v>
      </c>
      <c r="H1051" s="5" t="s">
        <v>105</v>
      </c>
      <c r="I1051" s="15">
        <v>44937</v>
      </c>
      <c r="J1051" s="15" t="s">
        <v>232</v>
      </c>
      <c r="K1051" s="6">
        <v>0.4861111111111111</v>
      </c>
      <c r="L1051" t="s">
        <v>142</v>
      </c>
      <c r="M1051">
        <v>100000</v>
      </c>
      <c r="N1051" t="s">
        <v>201</v>
      </c>
      <c r="O1051" t="s">
        <v>151</v>
      </c>
      <c r="P1051">
        <v>81</v>
      </c>
      <c r="Q1051" t="s">
        <v>155</v>
      </c>
    </row>
    <row r="1052" spans="1:17" x14ac:dyDescent="0.2">
      <c r="A1052">
        <v>695670</v>
      </c>
      <c r="B1052">
        <v>58</v>
      </c>
      <c r="C1052" s="1" t="s">
        <v>109</v>
      </c>
      <c r="D1052" s="11">
        <v>45090.098611111112</v>
      </c>
      <c r="E1052" t="s">
        <v>191</v>
      </c>
      <c r="F1052" t="s">
        <v>15</v>
      </c>
      <c r="G1052">
        <v>8331</v>
      </c>
      <c r="H1052" s="5" t="s">
        <v>109</v>
      </c>
      <c r="I1052" s="15">
        <v>45090</v>
      </c>
      <c r="J1052" s="15" t="s">
        <v>233</v>
      </c>
      <c r="K1052" s="6">
        <v>9.8611111111111108E-2</v>
      </c>
      <c r="L1052" t="s">
        <v>143</v>
      </c>
      <c r="M1052">
        <v>150000</v>
      </c>
      <c r="N1052" t="s">
        <v>198</v>
      </c>
      <c r="O1052" t="s">
        <v>151</v>
      </c>
      <c r="P1052">
        <v>29</v>
      </c>
      <c r="Q1052" t="s">
        <v>154</v>
      </c>
    </row>
    <row r="1053" spans="1:17" x14ac:dyDescent="0.2">
      <c r="A1053">
        <v>696736</v>
      </c>
      <c r="B1053">
        <v>899</v>
      </c>
      <c r="C1053" s="1" t="s">
        <v>99</v>
      </c>
      <c r="D1053" s="11">
        <v>45249.039583333331</v>
      </c>
      <c r="E1053" t="s">
        <v>97</v>
      </c>
      <c r="F1053" t="s">
        <v>49</v>
      </c>
      <c r="G1053">
        <v>2627</v>
      </c>
      <c r="H1053" s="5" t="s">
        <v>99</v>
      </c>
      <c r="I1053" s="15">
        <v>45249</v>
      </c>
      <c r="J1053" s="15" t="s">
        <v>295</v>
      </c>
      <c r="K1053" s="6">
        <v>0.5395833333333333</v>
      </c>
      <c r="L1053" t="s">
        <v>146</v>
      </c>
      <c r="M1053">
        <v>100000</v>
      </c>
      <c r="N1053" t="s">
        <v>222</v>
      </c>
      <c r="O1053" t="s">
        <v>152</v>
      </c>
      <c r="P1053">
        <v>75</v>
      </c>
      <c r="Q1053" t="s">
        <v>155</v>
      </c>
    </row>
    <row r="1054" spans="1:17" x14ac:dyDescent="0.2">
      <c r="A1054">
        <v>696792</v>
      </c>
      <c r="B1054">
        <v>1651</v>
      </c>
      <c r="C1054" s="1" t="s">
        <v>101</v>
      </c>
      <c r="D1054" s="11">
        <v>45083.992361111108</v>
      </c>
      <c r="E1054" t="s">
        <v>98</v>
      </c>
      <c r="F1054" t="s">
        <v>28</v>
      </c>
      <c r="G1054">
        <v>9568</v>
      </c>
      <c r="H1054" s="5" t="s">
        <v>101</v>
      </c>
      <c r="I1054" s="15">
        <v>45083</v>
      </c>
      <c r="J1054" s="15" t="s">
        <v>233</v>
      </c>
      <c r="K1054" s="6">
        <v>0.49236111111111114</v>
      </c>
      <c r="L1054" t="s">
        <v>143</v>
      </c>
      <c r="M1054">
        <v>100000</v>
      </c>
      <c r="N1054" t="s">
        <v>215</v>
      </c>
      <c r="O1054" t="s">
        <v>151</v>
      </c>
      <c r="P1054">
        <v>53</v>
      </c>
      <c r="Q1054" t="s">
        <v>157</v>
      </c>
    </row>
    <row r="1055" spans="1:17" x14ac:dyDescent="0.2">
      <c r="A1055">
        <v>696860</v>
      </c>
      <c r="B1055">
        <v>270</v>
      </c>
      <c r="C1055" s="1" t="s">
        <v>101</v>
      </c>
      <c r="D1055" s="11">
        <v>44996.038194444445</v>
      </c>
      <c r="E1055" t="s">
        <v>96</v>
      </c>
      <c r="F1055" t="s">
        <v>14</v>
      </c>
      <c r="G1055">
        <v>4174</v>
      </c>
      <c r="H1055" s="5" t="s">
        <v>101</v>
      </c>
      <c r="I1055" s="15">
        <v>44996</v>
      </c>
      <c r="J1055" s="15" t="s">
        <v>232</v>
      </c>
      <c r="K1055" s="6">
        <v>0.53819444444444442</v>
      </c>
      <c r="L1055" t="s">
        <v>142</v>
      </c>
      <c r="M1055">
        <v>250000</v>
      </c>
      <c r="N1055" t="s">
        <v>207</v>
      </c>
      <c r="O1055" t="s">
        <v>152</v>
      </c>
      <c r="P1055">
        <v>74</v>
      </c>
      <c r="Q1055" t="s">
        <v>154</v>
      </c>
    </row>
    <row r="1056" spans="1:17" x14ac:dyDescent="0.2">
      <c r="A1056">
        <v>697123</v>
      </c>
      <c r="B1056">
        <v>1959</v>
      </c>
      <c r="C1056" s="1" t="s">
        <v>109</v>
      </c>
      <c r="D1056" s="11">
        <v>45241.076388888891</v>
      </c>
      <c r="E1056" t="s">
        <v>97</v>
      </c>
      <c r="F1056" t="s">
        <v>78</v>
      </c>
      <c r="G1056">
        <v>6636</v>
      </c>
      <c r="H1056" s="5" t="s">
        <v>109</v>
      </c>
      <c r="I1056" s="15">
        <v>45241</v>
      </c>
      <c r="J1056" s="15" t="s">
        <v>295</v>
      </c>
      <c r="K1056" s="6">
        <v>7.6388888888888895E-2</v>
      </c>
      <c r="L1056" t="s">
        <v>143</v>
      </c>
      <c r="M1056">
        <v>200000</v>
      </c>
      <c r="N1056" t="s">
        <v>215</v>
      </c>
      <c r="O1056" t="s">
        <v>151</v>
      </c>
      <c r="P1056">
        <v>28</v>
      </c>
      <c r="Q1056" t="s">
        <v>157</v>
      </c>
    </row>
    <row r="1057" spans="1:17" x14ac:dyDescent="0.2">
      <c r="A1057">
        <v>698048</v>
      </c>
      <c r="B1057">
        <v>175</v>
      </c>
      <c r="C1057" s="1" t="s">
        <v>99</v>
      </c>
      <c r="D1057" s="11">
        <v>45234.074999999997</v>
      </c>
      <c r="E1057" t="s">
        <v>96</v>
      </c>
      <c r="F1057" t="s">
        <v>27</v>
      </c>
      <c r="G1057">
        <v>731</v>
      </c>
      <c r="H1057" s="5" t="s">
        <v>99</v>
      </c>
      <c r="I1057" s="15">
        <v>45234</v>
      </c>
      <c r="J1057" s="15" t="s">
        <v>295</v>
      </c>
      <c r="K1057" s="6">
        <v>7.4999999999999997E-2</v>
      </c>
      <c r="L1057" t="s">
        <v>142</v>
      </c>
      <c r="M1057">
        <v>1000000</v>
      </c>
      <c r="N1057" t="s">
        <v>209</v>
      </c>
      <c r="O1057" t="s">
        <v>151</v>
      </c>
      <c r="P1057">
        <v>70</v>
      </c>
      <c r="Q1057" t="s">
        <v>154</v>
      </c>
    </row>
    <row r="1058" spans="1:17" x14ac:dyDescent="0.2">
      <c r="A1058">
        <v>698175</v>
      </c>
      <c r="B1058">
        <v>1372</v>
      </c>
      <c r="C1058" s="1" t="s">
        <v>100</v>
      </c>
      <c r="D1058" s="11">
        <v>45094.064583333333</v>
      </c>
      <c r="E1058" t="s">
        <v>98</v>
      </c>
      <c r="F1058" t="s">
        <v>94</v>
      </c>
      <c r="G1058">
        <v>6322</v>
      </c>
      <c r="H1058" s="5" t="s">
        <v>100</v>
      </c>
      <c r="I1058" s="15">
        <v>45094</v>
      </c>
      <c r="J1058" s="15" t="s">
        <v>233</v>
      </c>
      <c r="K1058" s="6">
        <v>6.458333333333334E-2</v>
      </c>
      <c r="L1058" t="s">
        <v>143</v>
      </c>
      <c r="M1058">
        <v>50000</v>
      </c>
      <c r="N1058" t="s">
        <v>215</v>
      </c>
      <c r="O1058" t="s">
        <v>151</v>
      </c>
      <c r="P1058">
        <v>28</v>
      </c>
      <c r="Q1058" t="s">
        <v>156</v>
      </c>
    </row>
    <row r="1059" spans="1:17" x14ac:dyDescent="0.2">
      <c r="A1059">
        <v>698222</v>
      </c>
      <c r="B1059">
        <v>1836</v>
      </c>
      <c r="C1059" s="1" t="s">
        <v>100</v>
      </c>
      <c r="D1059" s="11">
        <v>45007.003472222219</v>
      </c>
      <c r="E1059" t="s">
        <v>98</v>
      </c>
      <c r="F1059" t="s">
        <v>46</v>
      </c>
      <c r="G1059">
        <v>1804</v>
      </c>
      <c r="H1059" s="5" t="s">
        <v>100</v>
      </c>
      <c r="I1059" s="15">
        <v>45007</v>
      </c>
      <c r="J1059" s="15" t="s">
        <v>232</v>
      </c>
      <c r="K1059" s="6">
        <v>0.50347222222222221</v>
      </c>
      <c r="L1059" t="s">
        <v>142</v>
      </c>
      <c r="M1059">
        <v>200000</v>
      </c>
      <c r="N1059" t="s">
        <v>211</v>
      </c>
      <c r="O1059" t="s">
        <v>151</v>
      </c>
      <c r="P1059">
        <v>36</v>
      </c>
      <c r="Q1059" t="s">
        <v>157</v>
      </c>
    </row>
    <row r="1060" spans="1:17" x14ac:dyDescent="0.2">
      <c r="A1060">
        <v>699766</v>
      </c>
      <c r="B1060">
        <v>202</v>
      </c>
      <c r="C1060" s="1" t="s">
        <v>99</v>
      </c>
      <c r="D1060" s="11">
        <v>45289.061111111114</v>
      </c>
      <c r="E1060" t="s">
        <v>97</v>
      </c>
      <c r="F1060" t="s">
        <v>20</v>
      </c>
      <c r="G1060">
        <v>2379</v>
      </c>
      <c r="H1060" s="5" t="s">
        <v>99</v>
      </c>
      <c r="I1060" s="15">
        <v>45289</v>
      </c>
      <c r="J1060" s="15" t="s">
        <v>295</v>
      </c>
      <c r="K1060" s="6">
        <v>6.1111111111111109E-2</v>
      </c>
      <c r="L1060" t="s">
        <v>146</v>
      </c>
      <c r="M1060">
        <v>150000</v>
      </c>
      <c r="N1060" t="s">
        <v>212</v>
      </c>
      <c r="O1060" t="s">
        <v>151</v>
      </c>
      <c r="P1060">
        <v>86</v>
      </c>
      <c r="Q1060" t="s">
        <v>154</v>
      </c>
    </row>
    <row r="1061" spans="1:17" x14ac:dyDescent="0.2">
      <c r="A1061">
        <v>700751</v>
      </c>
      <c r="B1061">
        <v>1082</v>
      </c>
      <c r="C1061" s="1" t="s">
        <v>113</v>
      </c>
      <c r="D1061" s="11">
        <v>45023.020138888889</v>
      </c>
      <c r="E1061" t="s">
        <v>191</v>
      </c>
      <c r="F1061" t="s">
        <v>27</v>
      </c>
      <c r="G1061">
        <v>1547</v>
      </c>
      <c r="H1061" s="5" t="s">
        <v>113</v>
      </c>
      <c r="I1061" s="15">
        <v>45023</v>
      </c>
      <c r="J1061" s="15" t="s">
        <v>233</v>
      </c>
      <c r="K1061" s="6">
        <v>0.52013888888888893</v>
      </c>
      <c r="L1061" t="s">
        <v>142</v>
      </c>
      <c r="M1061">
        <v>1000000</v>
      </c>
      <c r="N1061" t="s">
        <v>209</v>
      </c>
      <c r="O1061" t="s">
        <v>151</v>
      </c>
      <c r="P1061">
        <v>70</v>
      </c>
      <c r="Q1061" t="s">
        <v>156</v>
      </c>
    </row>
    <row r="1062" spans="1:17" x14ac:dyDescent="0.2">
      <c r="A1062">
        <v>701790</v>
      </c>
      <c r="B1062">
        <v>1704</v>
      </c>
      <c r="C1062" s="1" t="s">
        <v>99</v>
      </c>
      <c r="D1062" s="11">
        <v>44979.027777777781</v>
      </c>
      <c r="E1062" t="s">
        <v>191</v>
      </c>
      <c r="F1062" t="s">
        <v>27</v>
      </c>
      <c r="G1062">
        <v>4202</v>
      </c>
      <c r="H1062" s="5" t="s">
        <v>99</v>
      </c>
      <c r="I1062" s="15">
        <v>44979</v>
      </c>
      <c r="J1062" s="15" t="s">
        <v>232</v>
      </c>
      <c r="K1062" s="6">
        <v>0.52777777777777779</v>
      </c>
      <c r="L1062" t="s">
        <v>142</v>
      </c>
      <c r="M1062">
        <v>1000000</v>
      </c>
      <c r="N1062" t="s">
        <v>209</v>
      </c>
      <c r="O1062" t="s">
        <v>151</v>
      </c>
      <c r="P1062">
        <v>67</v>
      </c>
      <c r="Q1062" t="s">
        <v>157</v>
      </c>
    </row>
    <row r="1063" spans="1:17" x14ac:dyDescent="0.2">
      <c r="A1063">
        <v>701802</v>
      </c>
      <c r="B1063">
        <v>151</v>
      </c>
      <c r="C1063" s="1" t="s">
        <v>109</v>
      </c>
      <c r="D1063" s="11">
        <v>45020.05</v>
      </c>
      <c r="E1063" t="s">
        <v>96</v>
      </c>
      <c r="F1063" t="s">
        <v>87</v>
      </c>
      <c r="G1063">
        <v>927</v>
      </c>
      <c r="H1063" s="5" t="s">
        <v>109</v>
      </c>
      <c r="I1063" s="15">
        <v>45020</v>
      </c>
      <c r="J1063" s="15" t="s">
        <v>233</v>
      </c>
      <c r="K1063" s="6">
        <v>0.05</v>
      </c>
      <c r="L1063" t="s">
        <v>144</v>
      </c>
      <c r="M1063">
        <v>100000</v>
      </c>
      <c r="N1063" t="s">
        <v>216</v>
      </c>
      <c r="O1063" t="s">
        <v>151</v>
      </c>
      <c r="P1063">
        <v>76</v>
      </c>
      <c r="Q1063" t="s">
        <v>154</v>
      </c>
    </row>
    <row r="1064" spans="1:17" x14ac:dyDescent="0.2">
      <c r="A1064">
        <v>702331</v>
      </c>
      <c r="B1064">
        <v>1848</v>
      </c>
      <c r="C1064" s="1" t="s">
        <v>99</v>
      </c>
      <c r="D1064" s="11">
        <v>45166.022916666669</v>
      </c>
      <c r="E1064" t="s">
        <v>97</v>
      </c>
      <c r="F1064" t="s">
        <v>27</v>
      </c>
      <c r="G1064">
        <v>5015</v>
      </c>
      <c r="H1064" s="5" t="s">
        <v>99</v>
      </c>
      <c r="I1064" s="15">
        <v>45166</v>
      </c>
      <c r="J1064" s="15" t="s">
        <v>234</v>
      </c>
      <c r="K1064" s="6">
        <v>0.5229166666666667</v>
      </c>
      <c r="L1064" t="s">
        <v>142</v>
      </c>
      <c r="M1064">
        <v>1000000</v>
      </c>
      <c r="N1064" t="s">
        <v>209</v>
      </c>
      <c r="O1064" t="s">
        <v>151</v>
      </c>
      <c r="P1064">
        <v>63</v>
      </c>
      <c r="Q1064" t="s">
        <v>157</v>
      </c>
    </row>
    <row r="1065" spans="1:17" x14ac:dyDescent="0.2">
      <c r="A1065">
        <v>703166</v>
      </c>
      <c r="B1065">
        <v>1228</v>
      </c>
      <c r="C1065" s="1" t="s">
        <v>99</v>
      </c>
      <c r="D1065" s="11">
        <v>45233.015277777777</v>
      </c>
      <c r="E1065" t="s">
        <v>191</v>
      </c>
      <c r="F1065" t="s">
        <v>23</v>
      </c>
      <c r="G1065">
        <v>2916</v>
      </c>
      <c r="H1065" s="5" t="s">
        <v>99</v>
      </c>
      <c r="I1065" s="15">
        <v>45233</v>
      </c>
      <c r="J1065" s="15" t="s">
        <v>295</v>
      </c>
      <c r="K1065" s="6">
        <v>0.51527777777777772</v>
      </c>
      <c r="L1065" t="s">
        <v>142</v>
      </c>
      <c r="M1065">
        <v>150000</v>
      </c>
      <c r="N1065" t="s">
        <v>213</v>
      </c>
      <c r="O1065" t="s">
        <v>151</v>
      </c>
      <c r="P1065">
        <v>87</v>
      </c>
      <c r="Q1065" t="s">
        <v>156</v>
      </c>
    </row>
    <row r="1066" spans="1:17" x14ac:dyDescent="0.2">
      <c r="A1066">
        <v>704734</v>
      </c>
      <c r="B1066">
        <v>1243</v>
      </c>
      <c r="C1066" s="1" t="s">
        <v>105</v>
      </c>
      <c r="D1066" s="11">
        <v>45194.940972222219</v>
      </c>
      <c r="E1066" t="s">
        <v>98</v>
      </c>
      <c r="F1066" t="s">
        <v>18</v>
      </c>
      <c r="G1066">
        <v>9313</v>
      </c>
      <c r="H1066" s="5" t="s">
        <v>105</v>
      </c>
      <c r="I1066" s="15">
        <v>45194</v>
      </c>
      <c r="J1066" s="15" t="s">
        <v>234</v>
      </c>
      <c r="K1066" s="6">
        <v>0.44097222222222221</v>
      </c>
      <c r="L1066" t="s">
        <v>145</v>
      </c>
      <c r="M1066">
        <v>200000</v>
      </c>
      <c r="N1066" t="s">
        <v>210</v>
      </c>
      <c r="O1066" t="s">
        <v>151</v>
      </c>
      <c r="P1066">
        <v>24</v>
      </c>
      <c r="Q1066" t="s">
        <v>156</v>
      </c>
    </row>
    <row r="1067" spans="1:17" x14ac:dyDescent="0.2">
      <c r="A1067">
        <v>705322</v>
      </c>
      <c r="B1067">
        <v>1718</v>
      </c>
      <c r="C1067" s="1" t="s">
        <v>99</v>
      </c>
      <c r="D1067" s="11">
        <v>45049.974999999999</v>
      </c>
      <c r="E1067" t="s">
        <v>191</v>
      </c>
      <c r="F1067" t="s">
        <v>52</v>
      </c>
      <c r="G1067">
        <v>1519</v>
      </c>
      <c r="H1067" s="5" t="s">
        <v>99</v>
      </c>
      <c r="I1067" s="15">
        <v>45049</v>
      </c>
      <c r="J1067" s="15" t="s">
        <v>233</v>
      </c>
      <c r="K1067" s="6">
        <v>0.47499999999999998</v>
      </c>
      <c r="L1067" t="s">
        <v>143</v>
      </c>
      <c r="M1067">
        <v>100000</v>
      </c>
      <c r="N1067" t="s">
        <v>206</v>
      </c>
      <c r="O1067" t="s">
        <v>151</v>
      </c>
      <c r="P1067">
        <v>26</v>
      </c>
      <c r="Q1067" t="s">
        <v>157</v>
      </c>
    </row>
    <row r="1068" spans="1:17" x14ac:dyDescent="0.2">
      <c r="A1068">
        <v>705612</v>
      </c>
      <c r="B1068">
        <v>1886</v>
      </c>
      <c r="C1068" s="1" t="s">
        <v>101</v>
      </c>
      <c r="D1068" s="11">
        <v>45045.979861111111</v>
      </c>
      <c r="E1068" t="s">
        <v>191</v>
      </c>
      <c r="F1068" t="s">
        <v>30</v>
      </c>
      <c r="G1068">
        <v>2657</v>
      </c>
      <c r="H1068" s="5" t="s">
        <v>101</v>
      </c>
      <c r="I1068" s="15">
        <v>45045</v>
      </c>
      <c r="J1068" s="15" t="s">
        <v>233</v>
      </c>
      <c r="K1068" s="6">
        <v>0.47986111111111113</v>
      </c>
      <c r="L1068" t="s">
        <v>144</v>
      </c>
      <c r="M1068">
        <v>200000</v>
      </c>
      <c r="N1068" t="s">
        <v>216</v>
      </c>
      <c r="O1068" t="s">
        <v>152</v>
      </c>
      <c r="P1068">
        <v>28</v>
      </c>
      <c r="Q1068" t="s">
        <v>157</v>
      </c>
    </row>
    <row r="1069" spans="1:17" x14ac:dyDescent="0.2">
      <c r="A1069">
        <v>706153</v>
      </c>
      <c r="B1069">
        <v>1053</v>
      </c>
      <c r="C1069" s="1" t="s">
        <v>113</v>
      </c>
      <c r="D1069" s="11">
        <v>45007.022222222222</v>
      </c>
      <c r="E1069" t="s">
        <v>97</v>
      </c>
      <c r="F1069" t="s">
        <v>27</v>
      </c>
      <c r="G1069">
        <v>777</v>
      </c>
      <c r="H1069" s="5" t="s">
        <v>113</v>
      </c>
      <c r="I1069" s="15">
        <v>45007</v>
      </c>
      <c r="J1069" s="15" t="s">
        <v>232</v>
      </c>
      <c r="K1069" s="6">
        <v>0.52222222222222225</v>
      </c>
      <c r="L1069" t="s">
        <v>142</v>
      </c>
      <c r="M1069">
        <v>1000000</v>
      </c>
      <c r="N1069" t="s">
        <v>209</v>
      </c>
      <c r="O1069" t="s">
        <v>152</v>
      </c>
      <c r="P1069">
        <v>67</v>
      </c>
      <c r="Q1069" t="s">
        <v>156</v>
      </c>
    </row>
    <row r="1070" spans="1:17" x14ac:dyDescent="0.2">
      <c r="A1070">
        <v>706669</v>
      </c>
      <c r="B1070">
        <v>1153</v>
      </c>
      <c r="C1070" s="1" t="s">
        <v>107</v>
      </c>
      <c r="D1070" s="11">
        <v>45052.072916666664</v>
      </c>
      <c r="E1070" t="s">
        <v>98</v>
      </c>
      <c r="F1070" t="s">
        <v>43</v>
      </c>
      <c r="G1070">
        <v>4666</v>
      </c>
      <c r="H1070" s="5" t="s">
        <v>107</v>
      </c>
      <c r="I1070" s="15">
        <v>45052</v>
      </c>
      <c r="J1070" s="15" t="s">
        <v>233</v>
      </c>
      <c r="K1070" s="6">
        <v>7.2916666666666671E-2</v>
      </c>
      <c r="L1070" t="s">
        <v>145</v>
      </c>
      <c r="M1070">
        <v>1000000</v>
      </c>
      <c r="N1070" t="s">
        <v>203</v>
      </c>
      <c r="O1070" t="s">
        <v>152</v>
      </c>
      <c r="P1070">
        <v>39</v>
      </c>
      <c r="Q1070" t="s">
        <v>156</v>
      </c>
    </row>
    <row r="1071" spans="1:17" x14ac:dyDescent="0.2">
      <c r="A1071">
        <v>706696</v>
      </c>
      <c r="B1071">
        <v>606</v>
      </c>
      <c r="C1071" s="1" t="s">
        <v>99</v>
      </c>
      <c r="D1071" s="11">
        <v>45116.02847222222</v>
      </c>
      <c r="E1071" t="s">
        <v>96</v>
      </c>
      <c r="F1071" t="s">
        <v>27</v>
      </c>
      <c r="G1071">
        <v>3500</v>
      </c>
      <c r="H1071" s="5" t="s">
        <v>99</v>
      </c>
      <c r="I1071" s="15">
        <v>45116</v>
      </c>
      <c r="J1071" s="15" t="s">
        <v>234</v>
      </c>
      <c r="K1071" s="6">
        <v>0.52847222222222223</v>
      </c>
      <c r="L1071" t="s">
        <v>142</v>
      </c>
      <c r="M1071">
        <v>1000000</v>
      </c>
      <c r="N1071" t="s">
        <v>209</v>
      </c>
      <c r="O1071" t="s">
        <v>151</v>
      </c>
      <c r="P1071">
        <v>18</v>
      </c>
      <c r="Q1071" t="s">
        <v>155</v>
      </c>
    </row>
    <row r="1072" spans="1:17" x14ac:dyDescent="0.2">
      <c r="A1072">
        <v>706725</v>
      </c>
      <c r="B1072">
        <v>1812</v>
      </c>
      <c r="C1072" s="1" t="s">
        <v>105</v>
      </c>
      <c r="D1072" s="11">
        <v>44982.011111111111</v>
      </c>
      <c r="E1072" t="s">
        <v>98</v>
      </c>
      <c r="F1072" t="s">
        <v>30</v>
      </c>
      <c r="G1072">
        <v>7569</v>
      </c>
      <c r="H1072" s="5" t="s">
        <v>105</v>
      </c>
      <c r="I1072" s="15">
        <v>44982</v>
      </c>
      <c r="J1072" s="15" t="s">
        <v>232</v>
      </c>
      <c r="K1072" s="6">
        <v>0.51111111111111107</v>
      </c>
      <c r="L1072" t="s">
        <v>144</v>
      </c>
      <c r="M1072">
        <v>200000</v>
      </c>
      <c r="N1072" t="s">
        <v>216</v>
      </c>
      <c r="O1072" t="s">
        <v>151</v>
      </c>
      <c r="P1072">
        <v>49</v>
      </c>
      <c r="Q1072" t="s">
        <v>157</v>
      </c>
    </row>
    <row r="1073" spans="1:17" x14ac:dyDescent="0.2">
      <c r="A1073">
        <v>708480</v>
      </c>
      <c r="B1073">
        <v>1060</v>
      </c>
      <c r="C1073" s="1" t="s">
        <v>113</v>
      </c>
      <c r="D1073" s="11">
        <v>45218.981249999997</v>
      </c>
      <c r="E1073" t="s">
        <v>97</v>
      </c>
      <c r="F1073" t="s">
        <v>80</v>
      </c>
      <c r="G1073">
        <v>2493</v>
      </c>
      <c r="H1073" s="5" t="s">
        <v>113</v>
      </c>
      <c r="I1073" s="15">
        <v>45218</v>
      </c>
      <c r="J1073" s="15" t="s">
        <v>295</v>
      </c>
      <c r="K1073" s="6">
        <v>0.48125000000000001</v>
      </c>
      <c r="L1073" t="s">
        <v>146</v>
      </c>
      <c r="M1073">
        <v>50000</v>
      </c>
      <c r="N1073" t="s">
        <v>212</v>
      </c>
      <c r="O1073" t="s">
        <v>152</v>
      </c>
      <c r="P1073">
        <v>62</v>
      </c>
      <c r="Q1073" t="s">
        <v>156</v>
      </c>
    </row>
    <row r="1074" spans="1:17" x14ac:dyDescent="0.2">
      <c r="A1074">
        <v>708846</v>
      </c>
      <c r="B1074">
        <v>1644</v>
      </c>
      <c r="C1074" s="1" t="s">
        <v>101</v>
      </c>
      <c r="D1074" s="11">
        <v>45206.022916666669</v>
      </c>
      <c r="E1074" t="s">
        <v>97</v>
      </c>
      <c r="F1074" t="s">
        <v>54</v>
      </c>
      <c r="G1074">
        <v>3069</v>
      </c>
      <c r="H1074" s="5" t="s">
        <v>101</v>
      </c>
      <c r="I1074" s="15">
        <v>45206</v>
      </c>
      <c r="J1074" s="15" t="s">
        <v>295</v>
      </c>
      <c r="K1074" s="6">
        <v>0.5229166666666667</v>
      </c>
      <c r="L1074" t="s">
        <v>144</v>
      </c>
      <c r="M1074">
        <v>100000</v>
      </c>
      <c r="N1074" t="s">
        <v>224</v>
      </c>
      <c r="O1074" t="s">
        <v>152</v>
      </c>
      <c r="P1074">
        <v>25</v>
      </c>
      <c r="Q1074" t="s">
        <v>157</v>
      </c>
    </row>
    <row r="1075" spans="1:17" x14ac:dyDescent="0.2">
      <c r="A1075">
        <v>709317</v>
      </c>
      <c r="B1075">
        <v>253</v>
      </c>
      <c r="C1075" s="1" t="s">
        <v>100</v>
      </c>
      <c r="D1075" s="11">
        <v>45175.000694444447</v>
      </c>
      <c r="E1075" t="s">
        <v>191</v>
      </c>
      <c r="F1075" t="s">
        <v>38</v>
      </c>
      <c r="G1075">
        <v>9441</v>
      </c>
      <c r="H1075" s="5" t="s">
        <v>100</v>
      </c>
      <c r="I1075" s="15">
        <v>45175</v>
      </c>
      <c r="J1075" s="15" t="s">
        <v>234</v>
      </c>
      <c r="K1075" s="6">
        <v>0.50069444444444444</v>
      </c>
      <c r="L1075" t="s">
        <v>143</v>
      </c>
      <c r="M1075">
        <v>100000</v>
      </c>
      <c r="N1075" t="s">
        <v>221</v>
      </c>
      <c r="O1075" t="s">
        <v>152</v>
      </c>
      <c r="P1075">
        <v>67</v>
      </c>
      <c r="Q1075" t="s">
        <v>154</v>
      </c>
    </row>
    <row r="1076" spans="1:17" x14ac:dyDescent="0.2">
      <c r="A1076">
        <v>710669</v>
      </c>
      <c r="B1076">
        <v>1366</v>
      </c>
      <c r="C1076" s="1" t="s">
        <v>99</v>
      </c>
      <c r="D1076" s="11">
        <v>45275.00277777778</v>
      </c>
      <c r="E1076" t="s">
        <v>98</v>
      </c>
      <c r="F1076" t="s">
        <v>34</v>
      </c>
      <c r="G1076">
        <v>5405</v>
      </c>
      <c r="H1076" s="5" t="s">
        <v>99</v>
      </c>
      <c r="I1076" s="15">
        <v>45275</v>
      </c>
      <c r="J1076" s="15" t="s">
        <v>295</v>
      </c>
      <c r="K1076" s="6">
        <v>0.50277777777777777</v>
      </c>
      <c r="L1076" t="s">
        <v>144</v>
      </c>
      <c r="M1076">
        <v>150000</v>
      </c>
      <c r="N1076" t="s">
        <v>218</v>
      </c>
      <c r="O1076" t="s">
        <v>151</v>
      </c>
      <c r="P1076">
        <v>44</v>
      </c>
      <c r="Q1076" t="s">
        <v>156</v>
      </c>
    </row>
    <row r="1077" spans="1:17" x14ac:dyDescent="0.2">
      <c r="A1077">
        <v>710673</v>
      </c>
      <c r="B1077">
        <v>1229</v>
      </c>
      <c r="C1077" s="1" t="s">
        <v>101</v>
      </c>
      <c r="D1077" s="11">
        <v>45090.05972222222</v>
      </c>
      <c r="E1077" t="s">
        <v>97</v>
      </c>
      <c r="F1077" t="s">
        <v>60</v>
      </c>
      <c r="G1077">
        <v>6405</v>
      </c>
      <c r="H1077" s="5" t="s">
        <v>101</v>
      </c>
      <c r="I1077" s="15">
        <v>45090</v>
      </c>
      <c r="J1077" s="15" t="s">
        <v>233</v>
      </c>
      <c r="K1077" s="6">
        <v>5.9722222222222225E-2</v>
      </c>
      <c r="L1077" t="s">
        <v>146</v>
      </c>
      <c r="M1077">
        <v>100000</v>
      </c>
      <c r="N1077" t="s">
        <v>225</v>
      </c>
      <c r="O1077" t="s">
        <v>152</v>
      </c>
      <c r="P1077">
        <v>67</v>
      </c>
      <c r="Q1077" t="s">
        <v>156</v>
      </c>
    </row>
    <row r="1078" spans="1:17" x14ac:dyDescent="0.2">
      <c r="A1078">
        <v>711277</v>
      </c>
      <c r="B1078">
        <v>933</v>
      </c>
      <c r="C1078" s="1" t="s">
        <v>99</v>
      </c>
      <c r="D1078" s="11">
        <v>45149.963888888888</v>
      </c>
      <c r="E1078" t="s">
        <v>191</v>
      </c>
      <c r="F1078" t="s">
        <v>63</v>
      </c>
      <c r="G1078">
        <v>2857</v>
      </c>
      <c r="H1078" s="5" t="s">
        <v>99</v>
      </c>
      <c r="I1078" s="15">
        <v>45149</v>
      </c>
      <c r="J1078" s="15" t="s">
        <v>234</v>
      </c>
      <c r="K1078" s="6">
        <v>0.46388888888888891</v>
      </c>
      <c r="L1078" t="s">
        <v>143</v>
      </c>
      <c r="M1078">
        <v>100000</v>
      </c>
      <c r="N1078" t="s">
        <v>198</v>
      </c>
      <c r="O1078" t="s">
        <v>152</v>
      </c>
      <c r="P1078">
        <v>24</v>
      </c>
      <c r="Q1078" t="s">
        <v>155</v>
      </c>
    </row>
    <row r="1079" spans="1:17" x14ac:dyDescent="0.2">
      <c r="A1079">
        <v>711681</v>
      </c>
      <c r="B1079">
        <v>1344</v>
      </c>
      <c r="C1079" s="1" t="s">
        <v>105</v>
      </c>
      <c r="D1079" s="11">
        <v>45068.024305555555</v>
      </c>
      <c r="E1079" t="s">
        <v>98</v>
      </c>
      <c r="F1079" t="s">
        <v>4</v>
      </c>
      <c r="G1079">
        <v>3885</v>
      </c>
      <c r="H1079" s="5" t="s">
        <v>105</v>
      </c>
      <c r="I1079" s="15">
        <v>45068</v>
      </c>
      <c r="J1079" s="15" t="s">
        <v>233</v>
      </c>
      <c r="K1079" s="6">
        <v>0.52430555555555558</v>
      </c>
      <c r="L1079" t="s">
        <v>142</v>
      </c>
      <c r="M1079">
        <v>200000</v>
      </c>
      <c r="N1079" t="s">
        <v>197</v>
      </c>
      <c r="O1079" t="s">
        <v>151</v>
      </c>
      <c r="P1079">
        <v>40</v>
      </c>
      <c r="Q1079" t="s">
        <v>156</v>
      </c>
    </row>
    <row r="1080" spans="1:17" x14ac:dyDescent="0.2">
      <c r="A1080">
        <v>712741</v>
      </c>
      <c r="B1080">
        <v>1001</v>
      </c>
      <c r="C1080" s="1" t="s">
        <v>99</v>
      </c>
      <c r="D1080" s="11">
        <v>45280.013888888891</v>
      </c>
      <c r="E1080" t="s">
        <v>96</v>
      </c>
      <c r="F1080" t="s">
        <v>60</v>
      </c>
      <c r="G1080">
        <v>1475</v>
      </c>
      <c r="H1080" s="5" t="s">
        <v>99</v>
      </c>
      <c r="I1080" s="15">
        <v>45280</v>
      </c>
      <c r="J1080" s="15" t="s">
        <v>295</v>
      </c>
      <c r="K1080" s="6">
        <v>0.51388888888888884</v>
      </c>
      <c r="L1080" t="s">
        <v>146</v>
      </c>
      <c r="M1080">
        <v>100000</v>
      </c>
      <c r="N1080" t="s">
        <v>225</v>
      </c>
      <c r="O1080" t="s">
        <v>152</v>
      </c>
      <c r="P1080">
        <v>41</v>
      </c>
      <c r="Q1080" t="s">
        <v>156</v>
      </c>
    </row>
    <row r="1081" spans="1:17" x14ac:dyDescent="0.2">
      <c r="A1081">
        <v>713425</v>
      </c>
      <c r="B1081">
        <v>1254</v>
      </c>
      <c r="C1081" s="1" t="s">
        <v>100</v>
      </c>
      <c r="D1081" s="11">
        <v>45258.038194444445</v>
      </c>
      <c r="E1081" t="s">
        <v>96</v>
      </c>
      <c r="F1081" t="s">
        <v>43</v>
      </c>
      <c r="G1081">
        <v>918</v>
      </c>
      <c r="H1081" s="5" t="s">
        <v>100</v>
      </c>
      <c r="I1081" s="15">
        <v>45258</v>
      </c>
      <c r="J1081" s="15" t="s">
        <v>295</v>
      </c>
      <c r="K1081" s="6">
        <v>0.53819444444444442</v>
      </c>
      <c r="L1081" t="s">
        <v>145</v>
      </c>
      <c r="M1081">
        <v>1000000</v>
      </c>
      <c r="N1081" t="s">
        <v>203</v>
      </c>
      <c r="O1081" t="s">
        <v>151</v>
      </c>
      <c r="P1081">
        <v>71</v>
      </c>
      <c r="Q1081" t="s">
        <v>156</v>
      </c>
    </row>
    <row r="1082" spans="1:17" x14ac:dyDescent="0.2">
      <c r="A1082">
        <v>716091</v>
      </c>
      <c r="B1082">
        <v>1691</v>
      </c>
      <c r="C1082" s="1" t="s">
        <v>99</v>
      </c>
      <c r="D1082" s="11">
        <v>45089.061111111114</v>
      </c>
      <c r="E1082" t="s">
        <v>97</v>
      </c>
      <c r="F1082" t="s">
        <v>40</v>
      </c>
      <c r="G1082">
        <v>6454</v>
      </c>
      <c r="H1082" s="5" t="s">
        <v>99</v>
      </c>
      <c r="I1082" s="15">
        <v>45089</v>
      </c>
      <c r="J1082" s="15" t="s">
        <v>233</v>
      </c>
      <c r="K1082" s="6">
        <v>6.1111111111111109E-2</v>
      </c>
      <c r="L1082" t="s">
        <v>142</v>
      </c>
      <c r="M1082">
        <v>150000</v>
      </c>
      <c r="N1082" t="s">
        <v>207</v>
      </c>
      <c r="O1082" t="s">
        <v>151</v>
      </c>
      <c r="P1082">
        <v>43</v>
      </c>
      <c r="Q1082" t="s">
        <v>157</v>
      </c>
    </row>
    <row r="1083" spans="1:17" x14ac:dyDescent="0.2">
      <c r="A1083">
        <v>717493</v>
      </c>
      <c r="B1083">
        <v>180</v>
      </c>
      <c r="C1083" s="1" t="s">
        <v>99</v>
      </c>
      <c r="D1083" s="11">
        <v>44978.036805555559</v>
      </c>
      <c r="E1083" t="s">
        <v>96</v>
      </c>
      <c r="F1083" t="s">
        <v>81</v>
      </c>
      <c r="G1083">
        <v>1788</v>
      </c>
      <c r="H1083" s="5" t="s">
        <v>99</v>
      </c>
      <c r="I1083" s="15">
        <v>44978</v>
      </c>
      <c r="J1083" s="15" t="s">
        <v>232</v>
      </c>
      <c r="K1083" s="6">
        <v>0.53680555555555554</v>
      </c>
      <c r="L1083" t="s">
        <v>143</v>
      </c>
      <c r="M1083">
        <v>250000</v>
      </c>
      <c r="N1083" t="s">
        <v>221</v>
      </c>
      <c r="O1083" t="s">
        <v>152</v>
      </c>
      <c r="P1083">
        <v>81</v>
      </c>
      <c r="Q1083" t="s">
        <v>154</v>
      </c>
    </row>
    <row r="1084" spans="1:17" x14ac:dyDescent="0.2">
      <c r="A1084">
        <v>718344</v>
      </c>
      <c r="B1084">
        <v>375</v>
      </c>
      <c r="C1084" s="1" t="s">
        <v>101</v>
      </c>
      <c r="D1084" s="11">
        <v>45015.972916666666</v>
      </c>
      <c r="E1084" t="s">
        <v>191</v>
      </c>
      <c r="F1084" t="s">
        <v>82</v>
      </c>
      <c r="G1084">
        <v>1580</v>
      </c>
      <c r="H1084" s="5" t="s">
        <v>101</v>
      </c>
      <c r="I1084" s="15">
        <v>45015</v>
      </c>
      <c r="J1084" s="15" t="s">
        <v>232</v>
      </c>
      <c r="K1084" s="6">
        <v>0.47291666666666665</v>
      </c>
      <c r="L1084" t="s">
        <v>142</v>
      </c>
      <c r="M1084">
        <v>100000</v>
      </c>
      <c r="N1084" t="s">
        <v>209</v>
      </c>
      <c r="O1084" t="s">
        <v>152</v>
      </c>
      <c r="P1084">
        <v>45</v>
      </c>
      <c r="Q1084" t="s">
        <v>154</v>
      </c>
    </row>
    <row r="1085" spans="1:17" x14ac:dyDescent="0.2">
      <c r="A1085">
        <v>719496</v>
      </c>
      <c r="B1085">
        <v>958</v>
      </c>
      <c r="C1085" s="1" t="s">
        <v>99</v>
      </c>
      <c r="D1085" s="11">
        <v>45021.968055555553</v>
      </c>
      <c r="E1085" t="s">
        <v>97</v>
      </c>
      <c r="F1085" t="s">
        <v>28</v>
      </c>
      <c r="G1085">
        <v>8062</v>
      </c>
      <c r="H1085" s="5" t="s">
        <v>99</v>
      </c>
      <c r="I1085" s="15">
        <v>45021</v>
      </c>
      <c r="J1085" s="15" t="s">
        <v>233</v>
      </c>
      <c r="K1085" s="6">
        <v>0.46805555555555556</v>
      </c>
      <c r="L1085" t="s">
        <v>143</v>
      </c>
      <c r="M1085">
        <v>100000</v>
      </c>
      <c r="N1085" t="s">
        <v>215</v>
      </c>
      <c r="O1085" t="s">
        <v>151</v>
      </c>
      <c r="P1085">
        <v>89</v>
      </c>
      <c r="Q1085" t="s">
        <v>155</v>
      </c>
    </row>
    <row r="1086" spans="1:17" x14ac:dyDescent="0.2">
      <c r="A1086">
        <v>719899</v>
      </c>
      <c r="B1086">
        <v>748</v>
      </c>
      <c r="C1086" s="1" t="s">
        <v>99</v>
      </c>
      <c r="D1086" s="11">
        <v>44993.978472222225</v>
      </c>
      <c r="E1086" t="s">
        <v>97</v>
      </c>
      <c r="F1086" t="s">
        <v>66</v>
      </c>
      <c r="G1086">
        <v>2445</v>
      </c>
      <c r="H1086" s="5" t="s">
        <v>99</v>
      </c>
      <c r="I1086" s="15">
        <v>44993</v>
      </c>
      <c r="J1086" s="15" t="s">
        <v>232</v>
      </c>
      <c r="K1086" s="6">
        <v>0.47847222222222224</v>
      </c>
      <c r="L1086" t="s">
        <v>144</v>
      </c>
      <c r="M1086">
        <v>150000</v>
      </c>
      <c r="N1086" t="s">
        <v>224</v>
      </c>
      <c r="O1086" t="s">
        <v>152</v>
      </c>
      <c r="P1086">
        <v>40</v>
      </c>
      <c r="Q1086" t="s">
        <v>155</v>
      </c>
    </row>
    <row r="1087" spans="1:17" x14ac:dyDescent="0.2">
      <c r="A1087">
        <v>720311</v>
      </c>
      <c r="B1087">
        <v>425</v>
      </c>
      <c r="C1087" s="1" t="s">
        <v>113</v>
      </c>
      <c r="D1087" s="11">
        <v>44984.015277777777</v>
      </c>
      <c r="E1087" t="s">
        <v>98</v>
      </c>
      <c r="F1087" t="s">
        <v>27</v>
      </c>
      <c r="G1087">
        <v>4868</v>
      </c>
      <c r="H1087" s="5" t="s">
        <v>113</v>
      </c>
      <c r="I1087" s="15">
        <v>44984</v>
      </c>
      <c r="J1087" s="15" t="s">
        <v>232</v>
      </c>
      <c r="K1087" s="6">
        <v>0.51527777777777772</v>
      </c>
      <c r="L1087" t="s">
        <v>142</v>
      </c>
      <c r="M1087">
        <v>1000000</v>
      </c>
      <c r="N1087" t="s">
        <v>209</v>
      </c>
      <c r="O1087" t="s">
        <v>151</v>
      </c>
      <c r="P1087">
        <v>51</v>
      </c>
      <c r="Q1087" t="s">
        <v>154</v>
      </c>
    </row>
    <row r="1088" spans="1:17" x14ac:dyDescent="0.2">
      <c r="A1088">
        <v>721053</v>
      </c>
      <c r="B1088">
        <v>579</v>
      </c>
      <c r="C1088" s="1" t="s">
        <v>99</v>
      </c>
      <c r="D1088" s="11">
        <v>45039.002083333333</v>
      </c>
      <c r="E1088" t="s">
        <v>96</v>
      </c>
      <c r="F1088" t="s">
        <v>39</v>
      </c>
      <c r="G1088">
        <v>5093</v>
      </c>
      <c r="H1088" s="5" t="s">
        <v>99</v>
      </c>
      <c r="I1088" s="15">
        <v>45039</v>
      </c>
      <c r="J1088" s="15" t="s">
        <v>233</v>
      </c>
      <c r="K1088" s="6">
        <v>0.50208333333333333</v>
      </c>
      <c r="L1088" t="s">
        <v>146</v>
      </c>
      <c r="M1088">
        <v>100000</v>
      </c>
      <c r="N1088" t="s">
        <v>212</v>
      </c>
      <c r="O1088" t="s">
        <v>152</v>
      </c>
      <c r="P1088">
        <v>62</v>
      </c>
      <c r="Q1088" t="s">
        <v>155</v>
      </c>
    </row>
    <row r="1089" spans="1:17" x14ac:dyDescent="0.2">
      <c r="A1089">
        <v>721298</v>
      </c>
      <c r="B1089">
        <v>1717</v>
      </c>
      <c r="C1089" s="1" t="s">
        <v>101</v>
      </c>
      <c r="D1089" s="11">
        <v>45013.037499999999</v>
      </c>
      <c r="E1089" t="s">
        <v>191</v>
      </c>
      <c r="F1089" t="s">
        <v>27</v>
      </c>
      <c r="G1089">
        <v>3875</v>
      </c>
      <c r="H1089" s="5" t="s">
        <v>101</v>
      </c>
      <c r="I1089" s="15">
        <v>45013</v>
      </c>
      <c r="J1089" s="15" t="s">
        <v>232</v>
      </c>
      <c r="K1089" s="6">
        <v>0.53749999999999998</v>
      </c>
      <c r="L1089" t="s">
        <v>142</v>
      </c>
      <c r="M1089">
        <v>1000000</v>
      </c>
      <c r="N1089" t="s">
        <v>209</v>
      </c>
      <c r="O1089" t="s">
        <v>151</v>
      </c>
      <c r="P1089">
        <v>33</v>
      </c>
      <c r="Q1089" t="s">
        <v>157</v>
      </c>
    </row>
    <row r="1090" spans="1:17" x14ac:dyDescent="0.2">
      <c r="A1090">
        <v>721384</v>
      </c>
      <c r="B1090">
        <v>922</v>
      </c>
      <c r="C1090" s="1" t="s">
        <v>110</v>
      </c>
      <c r="D1090" s="11">
        <v>45002.00277777778</v>
      </c>
      <c r="E1090" t="s">
        <v>191</v>
      </c>
      <c r="F1090" t="s">
        <v>43</v>
      </c>
      <c r="G1090">
        <v>1833</v>
      </c>
      <c r="H1090" s="5" t="s">
        <v>110</v>
      </c>
      <c r="I1090" s="15">
        <v>45002</v>
      </c>
      <c r="J1090" s="15" t="s">
        <v>232</v>
      </c>
      <c r="K1090" s="6">
        <v>0.50277777777777777</v>
      </c>
      <c r="L1090" t="s">
        <v>145</v>
      </c>
      <c r="M1090">
        <v>1000000</v>
      </c>
      <c r="N1090" t="s">
        <v>203</v>
      </c>
      <c r="O1090" t="s">
        <v>152</v>
      </c>
      <c r="P1090">
        <v>31</v>
      </c>
      <c r="Q1090" t="s">
        <v>155</v>
      </c>
    </row>
    <row r="1091" spans="1:17" x14ac:dyDescent="0.2">
      <c r="A1091">
        <v>722572</v>
      </c>
      <c r="B1091">
        <v>1948</v>
      </c>
      <c r="C1091" s="1" t="s">
        <v>99</v>
      </c>
      <c r="D1091" s="11">
        <v>44954.982638888891</v>
      </c>
      <c r="E1091" t="s">
        <v>96</v>
      </c>
      <c r="F1091" t="s">
        <v>62</v>
      </c>
      <c r="G1091">
        <v>1207</v>
      </c>
      <c r="H1091" s="5" t="s">
        <v>99</v>
      </c>
      <c r="I1091" s="15">
        <v>44954</v>
      </c>
      <c r="J1091" s="15" t="s">
        <v>232</v>
      </c>
      <c r="K1091" s="6">
        <v>0.4826388888888889</v>
      </c>
      <c r="L1091" t="s">
        <v>145</v>
      </c>
      <c r="M1091">
        <v>100000</v>
      </c>
      <c r="N1091" t="s">
        <v>217</v>
      </c>
      <c r="O1091" t="s">
        <v>152</v>
      </c>
      <c r="P1091">
        <v>79</v>
      </c>
      <c r="Q1091" t="s">
        <v>157</v>
      </c>
    </row>
    <row r="1092" spans="1:17" x14ac:dyDescent="0.2">
      <c r="A1092">
        <v>723244</v>
      </c>
      <c r="B1092">
        <v>1347</v>
      </c>
      <c r="C1092" s="1" t="s">
        <v>100</v>
      </c>
      <c r="D1092" s="11">
        <v>45161.007638888892</v>
      </c>
      <c r="E1092" t="s">
        <v>191</v>
      </c>
      <c r="F1092" t="s">
        <v>70</v>
      </c>
      <c r="G1092">
        <v>6759</v>
      </c>
      <c r="H1092" s="5" t="s">
        <v>100</v>
      </c>
      <c r="I1092" s="15">
        <v>45161</v>
      </c>
      <c r="J1092" s="15" t="s">
        <v>234</v>
      </c>
      <c r="K1092" s="6">
        <v>0.50763888888888886</v>
      </c>
      <c r="L1092" t="s">
        <v>143</v>
      </c>
      <c r="M1092">
        <v>100000</v>
      </c>
      <c r="N1092" t="s">
        <v>205</v>
      </c>
      <c r="O1092" t="s">
        <v>151</v>
      </c>
      <c r="P1092">
        <v>55</v>
      </c>
      <c r="Q1092" t="s">
        <v>156</v>
      </c>
    </row>
    <row r="1093" spans="1:17" x14ac:dyDescent="0.2">
      <c r="A1093">
        <v>723357</v>
      </c>
      <c r="B1093">
        <v>1297</v>
      </c>
      <c r="C1093" s="1" t="s">
        <v>99</v>
      </c>
      <c r="D1093" s="11">
        <v>44989.045138888891</v>
      </c>
      <c r="E1093" t="s">
        <v>98</v>
      </c>
      <c r="F1093" t="s">
        <v>71</v>
      </c>
      <c r="G1093">
        <v>4674</v>
      </c>
      <c r="H1093" s="5" t="s">
        <v>99</v>
      </c>
      <c r="I1093" s="15">
        <v>44989</v>
      </c>
      <c r="J1093" s="15" t="s">
        <v>232</v>
      </c>
      <c r="K1093" s="6">
        <v>4.5138888888888888E-2</v>
      </c>
      <c r="L1093" t="s">
        <v>145</v>
      </c>
      <c r="M1093">
        <v>150000</v>
      </c>
      <c r="N1093" t="s">
        <v>226</v>
      </c>
      <c r="O1093" t="s">
        <v>152</v>
      </c>
      <c r="P1093">
        <v>86</v>
      </c>
      <c r="Q1093" t="s">
        <v>156</v>
      </c>
    </row>
    <row r="1094" spans="1:17" x14ac:dyDescent="0.2">
      <c r="A1094">
        <v>723458</v>
      </c>
      <c r="B1094">
        <v>1716</v>
      </c>
      <c r="C1094" s="1" t="s">
        <v>99</v>
      </c>
      <c r="D1094" s="11">
        <v>45029.004861111112</v>
      </c>
      <c r="E1094" t="s">
        <v>191</v>
      </c>
      <c r="F1094" t="s">
        <v>43</v>
      </c>
      <c r="G1094">
        <v>946</v>
      </c>
      <c r="H1094" s="5" t="s">
        <v>99</v>
      </c>
      <c r="I1094" s="15">
        <v>45029</v>
      </c>
      <c r="J1094" s="15" t="s">
        <v>233</v>
      </c>
      <c r="K1094" s="6">
        <v>0.50486111111111109</v>
      </c>
      <c r="L1094" t="s">
        <v>145</v>
      </c>
      <c r="M1094">
        <v>1000000</v>
      </c>
      <c r="N1094" t="s">
        <v>203</v>
      </c>
      <c r="O1094" t="s">
        <v>152</v>
      </c>
      <c r="P1094">
        <v>18</v>
      </c>
      <c r="Q1094" t="s">
        <v>157</v>
      </c>
    </row>
    <row r="1095" spans="1:17" x14ac:dyDescent="0.2">
      <c r="A1095">
        <v>723480</v>
      </c>
      <c r="B1095">
        <v>1961</v>
      </c>
      <c r="C1095" s="1" t="s">
        <v>109</v>
      </c>
      <c r="D1095" s="11">
        <v>44981.032638888886</v>
      </c>
      <c r="E1095" t="s">
        <v>97</v>
      </c>
      <c r="F1095" t="s">
        <v>45</v>
      </c>
      <c r="G1095">
        <v>8332</v>
      </c>
      <c r="H1095" s="5" t="s">
        <v>109</v>
      </c>
      <c r="I1095" s="15">
        <v>44981</v>
      </c>
      <c r="J1095" s="15" t="s">
        <v>232</v>
      </c>
      <c r="K1095" s="6">
        <v>0.53263888888888888</v>
      </c>
      <c r="L1095" t="s">
        <v>142</v>
      </c>
      <c r="M1095">
        <v>100000</v>
      </c>
      <c r="N1095" t="s">
        <v>197</v>
      </c>
      <c r="O1095" t="s">
        <v>151</v>
      </c>
      <c r="P1095">
        <v>87</v>
      </c>
      <c r="Q1095" t="s">
        <v>157</v>
      </c>
    </row>
    <row r="1096" spans="1:17" x14ac:dyDescent="0.2">
      <c r="A1096">
        <v>723551</v>
      </c>
      <c r="B1096">
        <v>1849</v>
      </c>
      <c r="C1096" s="1" t="s">
        <v>108</v>
      </c>
      <c r="D1096" s="11">
        <v>45039.069444444445</v>
      </c>
      <c r="E1096" t="s">
        <v>97</v>
      </c>
      <c r="F1096" t="s">
        <v>8</v>
      </c>
      <c r="G1096">
        <v>6416</v>
      </c>
      <c r="H1096" s="5" t="s">
        <v>108</v>
      </c>
      <c r="I1096" s="15">
        <v>45039</v>
      </c>
      <c r="J1096" s="15" t="s">
        <v>233</v>
      </c>
      <c r="K1096" s="6">
        <v>6.9444444444444448E-2</v>
      </c>
      <c r="L1096" t="s">
        <v>142</v>
      </c>
      <c r="M1096">
        <v>200000</v>
      </c>
      <c r="N1096" t="s">
        <v>201</v>
      </c>
      <c r="O1096" t="s">
        <v>151</v>
      </c>
      <c r="P1096">
        <v>35</v>
      </c>
      <c r="Q1096" t="s">
        <v>157</v>
      </c>
    </row>
    <row r="1097" spans="1:17" x14ac:dyDescent="0.2">
      <c r="A1097">
        <v>723623</v>
      </c>
      <c r="B1097">
        <v>1818</v>
      </c>
      <c r="C1097" s="1" t="s">
        <v>99</v>
      </c>
      <c r="D1097" s="11">
        <v>45110.031944444447</v>
      </c>
      <c r="E1097" t="s">
        <v>191</v>
      </c>
      <c r="F1097" t="s">
        <v>46</v>
      </c>
      <c r="G1097">
        <v>9468</v>
      </c>
      <c r="H1097" s="5" t="s">
        <v>99</v>
      </c>
      <c r="I1097" s="15">
        <v>45110</v>
      </c>
      <c r="J1097" s="15" t="s">
        <v>234</v>
      </c>
      <c r="K1097" s="6">
        <v>0.53194444444444444</v>
      </c>
      <c r="L1097" t="s">
        <v>142</v>
      </c>
      <c r="M1097">
        <v>200000</v>
      </c>
      <c r="N1097" t="s">
        <v>211</v>
      </c>
      <c r="O1097" t="s">
        <v>151</v>
      </c>
      <c r="P1097">
        <v>20</v>
      </c>
      <c r="Q1097" t="s">
        <v>157</v>
      </c>
    </row>
    <row r="1098" spans="1:17" x14ac:dyDescent="0.2">
      <c r="A1098">
        <v>725071</v>
      </c>
      <c r="B1098">
        <v>1825</v>
      </c>
      <c r="C1098" s="1" t="s">
        <v>101</v>
      </c>
      <c r="D1098" s="11">
        <v>44972.022222222222</v>
      </c>
      <c r="E1098" t="s">
        <v>191</v>
      </c>
      <c r="F1098" t="s">
        <v>11</v>
      </c>
      <c r="G1098">
        <v>8859</v>
      </c>
      <c r="H1098" s="5" t="s">
        <v>101</v>
      </c>
      <c r="I1098" s="15">
        <v>44972</v>
      </c>
      <c r="J1098" s="15" t="s">
        <v>232</v>
      </c>
      <c r="K1098" s="6">
        <v>0.52222222222222225</v>
      </c>
      <c r="L1098" t="s">
        <v>143</v>
      </c>
      <c r="M1098">
        <v>150000</v>
      </c>
      <c r="N1098" t="s">
        <v>204</v>
      </c>
      <c r="O1098" t="s">
        <v>152</v>
      </c>
      <c r="P1098">
        <v>22</v>
      </c>
      <c r="Q1098" t="s">
        <v>157</v>
      </c>
    </row>
    <row r="1099" spans="1:17" x14ac:dyDescent="0.2">
      <c r="A1099">
        <v>725371</v>
      </c>
      <c r="B1099">
        <v>634</v>
      </c>
      <c r="C1099" s="1" t="s">
        <v>99</v>
      </c>
      <c r="D1099" s="11">
        <v>44928.984027777777</v>
      </c>
      <c r="E1099" t="s">
        <v>98</v>
      </c>
      <c r="F1099" t="s">
        <v>72</v>
      </c>
      <c r="G1099">
        <v>7071</v>
      </c>
      <c r="H1099" s="5" t="s">
        <v>99</v>
      </c>
      <c r="I1099" s="15">
        <v>44928</v>
      </c>
      <c r="J1099" s="15" t="s">
        <v>232</v>
      </c>
      <c r="K1099" s="6">
        <v>0.48402777777777778</v>
      </c>
      <c r="L1099" t="s">
        <v>143</v>
      </c>
      <c r="M1099">
        <v>150000</v>
      </c>
      <c r="N1099" t="s">
        <v>223</v>
      </c>
      <c r="O1099" t="s">
        <v>151</v>
      </c>
      <c r="P1099">
        <v>62</v>
      </c>
      <c r="Q1099" t="s">
        <v>155</v>
      </c>
    </row>
    <row r="1100" spans="1:17" x14ac:dyDescent="0.2">
      <c r="A1100">
        <v>725482</v>
      </c>
      <c r="B1100">
        <v>1874</v>
      </c>
      <c r="C1100" s="1" t="s">
        <v>99</v>
      </c>
      <c r="D1100" s="11">
        <v>45118.977083333331</v>
      </c>
      <c r="E1100" t="s">
        <v>98</v>
      </c>
      <c r="F1100" t="s">
        <v>27</v>
      </c>
      <c r="G1100">
        <v>6488</v>
      </c>
      <c r="H1100" s="5" t="s">
        <v>99</v>
      </c>
      <c r="I1100" s="15">
        <v>45118</v>
      </c>
      <c r="J1100" s="15" t="s">
        <v>234</v>
      </c>
      <c r="K1100" s="6">
        <v>0.47708333333333336</v>
      </c>
      <c r="L1100" t="s">
        <v>142</v>
      </c>
      <c r="M1100">
        <v>1000000</v>
      </c>
      <c r="N1100" t="s">
        <v>209</v>
      </c>
      <c r="O1100" t="s">
        <v>151</v>
      </c>
      <c r="P1100">
        <v>51</v>
      </c>
      <c r="Q1100" t="s">
        <v>157</v>
      </c>
    </row>
    <row r="1101" spans="1:17" x14ac:dyDescent="0.2">
      <c r="A1101">
        <v>726616</v>
      </c>
      <c r="B1101">
        <v>1290</v>
      </c>
      <c r="C1101" s="1" t="s">
        <v>99</v>
      </c>
      <c r="D1101" s="11">
        <v>45144.984722222223</v>
      </c>
      <c r="E1101" t="s">
        <v>191</v>
      </c>
      <c r="F1101" t="s">
        <v>13</v>
      </c>
      <c r="G1101">
        <v>6697</v>
      </c>
      <c r="H1101" s="5" t="s">
        <v>99</v>
      </c>
      <c r="I1101" s="15">
        <v>45144</v>
      </c>
      <c r="J1101" s="15" t="s">
        <v>234</v>
      </c>
      <c r="K1101" s="6">
        <v>0.48472222222222222</v>
      </c>
      <c r="L1101" t="s">
        <v>143</v>
      </c>
      <c r="M1101">
        <v>150000</v>
      </c>
      <c r="N1101" t="s">
        <v>206</v>
      </c>
      <c r="O1101" t="s">
        <v>151</v>
      </c>
      <c r="P1101">
        <v>31</v>
      </c>
      <c r="Q1101" t="s">
        <v>156</v>
      </c>
    </row>
    <row r="1102" spans="1:17" x14ac:dyDescent="0.2">
      <c r="A1102">
        <v>728697</v>
      </c>
      <c r="B1102">
        <v>1913</v>
      </c>
      <c r="C1102" s="1" t="s">
        <v>107</v>
      </c>
      <c r="D1102" s="11">
        <v>45163.007638888892</v>
      </c>
      <c r="E1102" t="s">
        <v>97</v>
      </c>
      <c r="F1102" t="s">
        <v>73</v>
      </c>
      <c r="G1102">
        <v>6226</v>
      </c>
      <c r="H1102" s="5" t="s">
        <v>107</v>
      </c>
      <c r="I1102" s="15">
        <v>45163</v>
      </c>
      <c r="J1102" s="15" t="s">
        <v>234</v>
      </c>
      <c r="K1102" s="6">
        <v>0.50763888888888886</v>
      </c>
      <c r="L1102" t="s">
        <v>146</v>
      </c>
      <c r="M1102">
        <v>150000</v>
      </c>
      <c r="N1102" t="s">
        <v>222</v>
      </c>
      <c r="O1102" t="s">
        <v>152</v>
      </c>
      <c r="P1102">
        <v>51</v>
      </c>
      <c r="Q1102" t="s">
        <v>157</v>
      </c>
    </row>
    <row r="1103" spans="1:17" x14ac:dyDescent="0.2">
      <c r="A1103">
        <v>730295</v>
      </c>
      <c r="B1103">
        <v>134</v>
      </c>
      <c r="C1103" s="1" t="s">
        <v>101</v>
      </c>
      <c r="D1103" s="11">
        <v>45144.00277777778</v>
      </c>
      <c r="E1103" t="s">
        <v>191</v>
      </c>
      <c r="F1103" t="s">
        <v>52</v>
      </c>
      <c r="G1103">
        <v>4721</v>
      </c>
      <c r="H1103" s="5" t="s">
        <v>101</v>
      </c>
      <c r="I1103" s="15">
        <v>45144</v>
      </c>
      <c r="J1103" s="15" t="s">
        <v>234</v>
      </c>
      <c r="K1103" s="6">
        <v>0.50277777777777777</v>
      </c>
      <c r="L1103" t="s">
        <v>143</v>
      </c>
      <c r="M1103">
        <v>100000</v>
      </c>
      <c r="N1103" t="s">
        <v>206</v>
      </c>
      <c r="O1103" t="s">
        <v>151</v>
      </c>
      <c r="P1103">
        <v>82</v>
      </c>
      <c r="Q1103" t="s">
        <v>154</v>
      </c>
    </row>
    <row r="1104" spans="1:17" x14ac:dyDescent="0.2">
      <c r="A1104">
        <v>730976</v>
      </c>
      <c r="B1104">
        <v>1908</v>
      </c>
      <c r="C1104" s="1" t="s">
        <v>99</v>
      </c>
      <c r="D1104" s="11">
        <v>45231.040277777778</v>
      </c>
      <c r="E1104" t="s">
        <v>97</v>
      </c>
      <c r="F1104" t="s">
        <v>13</v>
      </c>
      <c r="G1104">
        <v>4073</v>
      </c>
      <c r="H1104" s="5" t="s">
        <v>99</v>
      </c>
      <c r="I1104" s="15">
        <v>45231</v>
      </c>
      <c r="J1104" s="15" t="s">
        <v>295</v>
      </c>
      <c r="K1104" s="6">
        <v>0.54027777777777775</v>
      </c>
      <c r="L1104" t="s">
        <v>143</v>
      </c>
      <c r="M1104">
        <v>150000</v>
      </c>
      <c r="N1104" t="s">
        <v>206</v>
      </c>
      <c r="O1104" t="s">
        <v>151</v>
      </c>
      <c r="P1104">
        <v>20</v>
      </c>
      <c r="Q1104" t="s">
        <v>157</v>
      </c>
    </row>
    <row r="1105" spans="1:17" x14ac:dyDescent="0.2">
      <c r="A1105">
        <v>731161</v>
      </c>
      <c r="B1105">
        <v>1367</v>
      </c>
      <c r="C1105" s="1" t="s">
        <v>107</v>
      </c>
      <c r="D1105" s="11">
        <v>45079.006249999999</v>
      </c>
      <c r="E1105" t="s">
        <v>96</v>
      </c>
      <c r="F1105" t="s">
        <v>91</v>
      </c>
      <c r="G1105">
        <v>3548</v>
      </c>
      <c r="H1105" s="5" t="s">
        <v>107</v>
      </c>
      <c r="I1105" s="15">
        <v>45079</v>
      </c>
      <c r="J1105" s="15" t="s">
        <v>233</v>
      </c>
      <c r="K1105" s="6">
        <v>0.50624999999999998</v>
      </c>
      <c r="L1105" t="s">
        <v>142</v>
      </c>
      <c r="M1105">
        <v>100000</v>
      </c>
      <c r="N1105" t="s">
        <v>213</v>
      </c>
      <c r="O1105" t="s">
        <v>152</v>
      </c>
      <c r="P1105">
        <v>25</v>
      </c>
      <c r="Q1105" t="s">
        <v>156</v>
      </c>
    </row>
    <row r="1106" spans="1:17" x14ac:dyDescent="0.2">
      <c r="A1106">
        <v>731345</v>
      </c>
      <c r="B1106">
        <v>1365</v>
      </c>
      <c r="C1106" s="1" t="s">
        <v>99</v>
      </c>
      <c r="D1106" s="11">
        <v>45013.957638888889</v>
      </c>
      <c r="E1106" t="s">
        <v>98</v>
      </c>
      <c r="F1106" t="s">
        <v>75</v>
      </c>
      <c r="G1106">
        <v>5198</v>
      </c>
      <c r="H1106" s="5" t="s">
        <v>99</v>
      </c>
      <c r="I1106" s="15">
        <v>45013</v>
      </c>
      <c r="J1106" s="15" t="s">
        <v>232</v>
      </c>
      <c r="K1106" s="6">
        <v>0.45763888888888887</v>
      </c>
      <c r="L1106" t="s">
        <v>143</v>
      </c>
      <c r="M1106">
        <v>50000</v>
      </c>
      <c r="N1106" t="s">
        <v>205</v>
      </c>
      <c r="O1106" t="s">
        <v>152</v>
      </c>
      <c r="P1106">
        <v>53</v>
      </c>
      <c r="Q1106" t="s">
        <v>156</v>
      </c>
    </row>
    <row r="1107" spans="1:17" x14ac:dyDescent="0.2">
      <c r="A1107">
        <v>732301</v>
      </c>
      <c r="B1107">
        <v>250</v>
      </c>
      <c r="C1107" s="1" t="s">
        <v>113</v>
      </c>
      <c r="D1107" s="11">
        <v>45231.003472222219</v>
      </c>
      <c r="E1107" t="s">
        <v>191</v>
      </c>
      <c r="F1107" t="s">
        <v>73</v>
      </c>
      <c r="G1107">
        <v>4048</v>
      </c>
      <c r="H1107" s="5" t="s">
        <v>113</v>
      </c>
      <c r="I1107" s="15">
        <v>45231</v>
      </c>
      <c r="J1107" s="15" t="s">
        <v>295</v>
      </c>
      <c r="K1107" s="6">
        <v>0.50347222222222221</v>
      </c>
      <c r="L1107" t="s">
        <v>146</v>
      </c>
      <c r="M1107">
        <v>150000</v>
      </c>
      <c r="N1107" t="s">
        <v>222</v>
      </c>
      <c r="O1107" t="s">
        <v>152</v>
      </c>
      <c r="P1107">
        <v>51</v>
      </c>
      <c r="Q1107" t="s">
        <v>154</v>
      </c>
    </row>
    <row r="1108" spans="1:17" x14ac:dyDescent="0.2">
      <c r="A1108">
        <v>732319</v>
      </c>
      <c r="B1108">
        <v>1802</v>
      </c>
      <c r="C1108" s="1" t="s">
        <v>100</v>
      </c>
      <c r="D1108" s="11">
        <v>45040.004861111112</v>
      </c>
      <c r="E1108" t="s">
        <v>96</v>
      </c>
      <c r="F1108" t="s">
        <v>76</v>
      </c>
      <c r="G1108">
        <v>3911</v>
      </c>
      <c r="H1108" s="5" t="s">
        <v>100</v>
      </c>
      <c r="I1108" s="15">
        <v>45040</v>
      </c>
      <c r="J1108" s="15" t="s">
        <v>233</v>
      </c>
      <c r="K1108" s="6">
        <v>0.50486111111111109</v>
      </c>
      <c r="L1108" t="s">
        <v>142</v>
      </c>
      <c r="M1108">
        <v>80000</v>
      </c>
      <c r="N1108" t="s">
        <v>201</v>
      </c>
      <c r="O1108" t="s">
        <v>152</v>
      </c>
      <c r="P1108">
        <v>61</v>
      </c>
      <c r="Q1108" t="s">
        <v>157</v>
      </c>
    </row>
    <row r="1109" spans="1:17" x14ac:dyDescent="0.2">
      <c r="A1109">
        <v>733263</v>
      </c>
      <c r="B1109">
        <v>881</v>
      </c>
      <c r="C1109" s="1" t="s">
        <v>100</v>
      </c>
      <c r="D1109" s="11">
        <v>45224.023611111108</v>
      </c>
      <c r="E1109" t="s">
        <v>191</v>
      </c>
      <c r="F1109" t="s">
        <v>72</v>
      </c>
      <c r="G1109">
        <v>9697</v>
      </c>
      <c r="H1109" s="5" t="s">
        <v>100</v>
      </c>
      <c r="I1109" s="15">
        <v>45224</v>
      </c>
      <c r="J1109" s="15" t="s">
        <v>295</v>
      </c>
      <c r="K1109" s="6">
        <v>0.52361111111111114</v>
      </c>
      <c r="L1109" t="s">
        <v>143</v>
      </c>
      <c r="M1109">
        <v>150000</v>
      </c>
      <c r="N1109" t="s">
        <v>223</v>
      </c>
      <c r="O1109" t="s">
        <v>151</v>
      </c>
      <c r="P1109">
        <v>67</v>
      </c>
      <c r="Q1109" t="s">
        <v>155</v>
      </c>
    </row>
    <row r="1110" spans="1:17" x14ac:dyDescent="0.2">
      <c r="A1110">
        <v>734449</v>
      </c>
      <c r="B1110">
        <v>1061</v>
      </c>
      <c r="C1110" s="1" t="s">
        <v>102</v>
      </c>
      <c r="D1110" s="11">
        <v>45225.091666666667</v>
      </c>
      <c r="E1110" t="s">
        <v>191</v>
      </c>
      <c r="F1110" t="s">
        <v>83</v>
      </c>
      <c r="G1110">
        <v>8005</v>
      </c>
      <c r="H1110" s="5" t="s">
        <v>102</v>
      </c>
      <c r="I1110" s="15">
        <v>45225</v>
      </c>
      <c r="J1110" s="15" t="s">
        <v>295</v>
      </c>
      <c r="K1110" s="6">
        <v>9.166666666666666E-2</v>
      </c>
      <c r="L1110" t="s">
        <v>143</v>
      </c>
      <c r="M1110">
        <v>200000</v>
      </c>
      <c r="N1110" t="s">
        <v>206</v>
      </c>
      <c r="O1110" t="s">
        <v>152</v>
      </c>
      <c r="P1110">
        <v>61</v>
      </c>
      <c r="Q1110" t="s">
        <v>156</v>
      </c>
    </row>
    <row r="1111" spans="1:17" x14ac:dyDescent="0.2">
      <c r="A1111">
        <v>734468</v>
      </c>
      <c r="B1111">
        <v>83</v>
      </c>
      <c r="C1111" s="1" t="s">
        <v>107</v>
      </c>
      <c r="D1111" s="11">
        <v>44972.038194444445</v>
      </c>
      <c r="E1111" t="s">
        <v>98</v>
      </c>
      <c r="F1111" t="s">
        <v>4</v>
      </c>
      <c r="G1111">
        <v>5705</v>
      </c>
      <c r="H1111" s="5" t="s">
        <v>107</v>
      </c>
      <c r="I1111" s="15">
        <v>44972</v>
      </c>
      <c r="J1111" s="15" t="s">
        <v>232</v>
      </c>
      <c r="K1111" s="6">
        <v>0.53819444444444442</v>
      </c>
      <c r="L1111" t="s">
        <v>142</v>
      </c>
      <c r="M1111">
        <v>200000</v>
      </c>
      <c r="N1111" t="s">
        <v>197</v>
      </c>
      <c r="O1111" t="s">
        <v>152</v>
      </c>
      <c r="P1111">
        <v>31</v>
      </c>
      <c r="Q1111" t="s">
        <v>154</v>
      </c>
    </row>
    <row r="1112" spans="1:17" x14ac:dyDescent="0.2">
      <c r="A1112">
        <v>734939</v>
      </c>
      <c r="B1112">
        <v>1797</v>
      </c>
      <c r="C1112" s="1" t="s">
        <v>99</v>
      </c>
      <c r="D1112" s="11">
        <v>44984.057638888888</v>
      </c>
      <c r="E1112" t="s">
        <v>98</v>
      </c>
      <c r="F1112" t="s">
        <v>14</v>
      </c>
      <c r="G1112">
        <v>5602</v>
      </c>
      <c r="H1112" s="5" t="s">
        <v>99</v>
      </c>
      <c r="I1112" s="15">
        <v>44984</v>
      </c>
      <c r="J1112" s="15" t="s">
        <v>232</v>
      </c>
      <c r="K1112" s="6">
        <v>5.7638888888888892E-2</v>
      </c>
      <c r="L1112" t="s">
        <v>142</v>
      </c>
      <c r="M1112">
        <v>250000</v>
      </c>
      <c r="N1112" t="s">
        <v>207</v>
      </c>
      <c r="O1112" t="s">
        <v>151</v>
      </c>
      <c r="P1112">
        <v>45</v>
      </c>
      <c r="Q1112" t="s">
        <v>157</v>
      </c>
    </row>
    <row r="1113" spans="1:17" x14ac:dyDescent="0.2">
      <c r="A1113">
        <v>735675</v>
      </c>
      <c r="B1113">
        <v>412</v>
      </c>
      <c r="C1113" s="1" t="s">
        <v>113</v>
      </c>
      <c r="D1113" s="11">
        <v>45251.052777777775</v>
      </c>
      <c r="E1113" t="s">
        <v>96</v>
      </c>
      <c r="F1113" t="s">
        <v>77</v>
      </c>
      <c r="G1113">
        <v>2472</v>
      </c>
      <c r="H1113" s="5" t="s">
        <v>113</v>
      </c>
      <c r="I1113" s="15">
        <v>45251</v>
      </c>
      <c r="J1113" s="15" t="s">
        <v>295</v>
      </c>
      <c r="K1113" s="6">
        <v>5.2777777777777778E-2</v>
      </c>
      <c r="L1113" t="s">
        <v>146</v>
      </c>
      <c r="M1113">
        <v>100000</v>
      </c>
      <c r="N1113" t="s">
        <v>222</v>
      </c>
      <c r="O1113" t="s">
        <v>152</v>
      </c>
      <c r="P1113">
        <v>41</v>
      </c>
      <c r="Q1113" t="s">
        <v>154</v>
      </c>
    </row>
    <row r="1114" spans="1:17" x14ac:dyDescent="0.2">
      <c r="A1114">
        <v>737059</v>
      </c>
      <c r="B1114">
        <v>849</v>
      </c>
      <c r="C1114" s="1" t="s">
        <v>100</v>
      </c>
      <c r="D1114" s="11">
        <v>45207.030555555553</v>
      </c>
      <c r="E1114" t="s">
        <v>97</v>
      </c>
      <c r="F1114" t="s">
        <v>27</v>
      </c>
      <c r="G1114">
        <v>8652</v>
      </c>
      <c r="H1114" s="5" t="s">
        <v>100</v>
      </c>
      <c r="I1114" s="15">
        <v>45207</v>
      </c>
      <c r="J1114" s="15" t="s">
        <v>295</v>
      </c>
      <c r="K1114" s="6">
        <v>0.53055555555555556</v>
      </c>
      <c r="L1114" t="s">
        <v>142</v>
      </c>
      <c r="M1114">
        <v>1000000</v>
      </c>
      <c r="N1114" t="s">
        <v>209</v>
      </c>
      <c r="O1114" t="s">
        <v>151</v>
      </c>
      <c r="P1114">
        <v>19</v>
      </c>
      <c r="Q1114" t="s">
        <v>155</v>
      </c>
    </row>
    <row r="1115" spans="1:17" x14ac:dyDescent="0.2">
      <c r="A1115">
        <v>737066</v>
      </c>
      <c r="B1115">
        <v>744</v>
      </c>
      <c r="C1115" s="1" t="s">
        <v>102</v>
      </c>
      <c r="D1115" s="11">
        <v>44978.013888888891</v>
      </c>
      <c r="E1115" t="s">
        <v>96</v>
      </c>
      <c r="F1115" t="s">
        <v>43</v>
      </c>
      <c r="G1115">
        <v>9597</v>
      </c>
      <c r="H1115" s="5" t="s">
        <v>102</v>
      </c>
      <c r="I1115" s="15">
        <v>44978</v>
      </c>
      <c r="J1115" s="15" t="s">
        <v>232</v>
      </c>
      <c r="K1115" s="6">
        <v>0.51388888888888884</v>
      </c>
      <c r="L1115" t="s">
        <v>145</v>
      </c>
      <c r="M1115">
        <v>1000000</v>
      </c>
      <c r="N1115" t="s">
        <v>203</v>
      </c>
      <c r="O1115" t="s">
        <v>151</v>
      </c>
      <c r="P1115">
        <v>33</v>
      </c>
      <c r="Q1115" t="s">
        <v>155</v>
      </c>
    </row>
    <row r="1116" spans="1:17" x14ac:dyDescent="0.2">
      <c r="A1116">
        <v>737790</v>
      </c>
      <c r="B1116">
        <v>1646</v>
      </c>
      <c r="C1116" s="1" t="s">
        <v>105</v>
      </c>
      <c r="D1116" s="11">
        <v>45087.070138888892</v>
      </c>
      <c r="E1116" t="s">
        <v>97</v>
      </c>
      <c r="F1116" t="s">
        <v>21</v>
      </c>
      <c r="G1116">
        <v>7589</v>
      </c>
      <c r="H1116" s="5" t="s">
        <v>105</v>
      </c>
      <c r="I1116" s="15">
        <v>45087</v>
      </c>
      <c r="J1116" s="15" t="s">
        <v>233</v>
      </c>
      <c r="K1116" s="6">
        <v>7.013888888888889E-2</v>
      </c>
      <c r="L1116" t="s">
        <v>142</v>
      </c>
      <c r="M1116">
        <v>150000</v>
      </c>
      <c r="N1116" t="s">
        <v>211</v>
      </c>
      <c r="O1116" t="s">
        <v>152</v>
      </c>
      <c r="P1116">
        <v>51</v>
      </c>
      <c r="Q1116" t="s">
        <v>157</v>
      </c>
    </row>
    <row r="1117" spans="1:17" x14ac:dyDescent="0.2">
      <c r="A1117">
        <v>739012</v>
      </c>
      <c r="B1117">
        <v>1708</v>
      </c>
      <c r="C1117" s="1" t="s">
        <v>100</v>
      </c>
      <c r="D1117" s="11">
        <v>45278.032638888886</v>
      </c>
      <c r="E1117" t="s">
        <v>96</v>
      </c>
      <c r="F1117" t="s">
        <v>12</v>
      </c>
      <c r="G1117">
        <v>265</v>
      </c>
      <c r="H1117" s="5" t="s">
        <v>100</v>
      </c>
      <c r="I1117" s="15">
        <v>45278</v>
      </c>
      <c r="J1117" s="15" t="s">
        <v>295</v>
      </c>
      <c r="K1117" s="6">
        <v>0.53263888888888888</v>
      </c>
      <c r="L1117" t="s">
        <v>143</v>
      </c>
      <c r="M1117">
        <v>150000</v>
      </c>
      <c r="N1117" t="s">
        <v>205</v>
      </c>
      <c r="O1117" t="s">
        <v>151</v>
      </c>
      <c r="P1117">
        <v>87</v>
      </c>
      <c r="Q1117" t="s">
        <v>157</v>
      </c>
    </row>
    <row r="1118" spans="1:17" x14ac:dyDescent="0.2">
      <c r="A1118">
        <v>740082</v>
      </c>
      <c r="B1118">
        <v>736</v>
      </c>
      <c r="C1118" s="1" t="s">
        <v>99</v>
      </c>
      <c r="D1118" s="11">
        <v>45026.993750000001</v>
      </c>
      <c r="E1118" t="s">
        <v>97</v>
      </c>
      <c r="F1118" t="s">
        <v>29</v>
      </c>
      <c r="G1118">
        <v>2994</v>
      </c>
      <c r="H1118" s="5" t="s">
        <v>99</v>
      </c>
      <c r="I1118" s="15">
        <v>45026</v>
      </c>
      <c r="J1118" s="15" t="s">
        <v>233</v>
      </c>
      <c r="K1118" s="6">
        <v>0.49375000000000002</v>
      </c>
      <c r="L1118" t="s">
        <v>143</v>
      </c>
      <c r="M1118">
        <v>150000</v>
      </c>
      <c r="N1118" t="s">
        <v>214</v>
      </c>
      <c r="O1118" t="s">
        <v>151</v>
      </c>
      <c r="P1118">
        <v>50</v>
      </c>
      <c r="Q1118" t="s">
        <v>155</v>
      </c>
    </row>
    <row r="1119" spans="1:17" x14ac:dyDescent="0.2">
      <c r="A1119">
        <v>740564</v>
      </c>
      <c r="B1119">
        <v>569</v>
      </c>
      <c r="C1119" s="1" t="s">
        <v>99</v>
      </c>
      <c r="D1119" s="11">
        <v>44970.033333333333</v>
      </c>
      <c r="E1119" t="s">
        <v>191</v>
      </c>
      <c r="F1119" t="s">
        <v>24</v>
      </c>
      <c r="G1119">
        <v>1398</v>
      </c>
      <c r="H1119" s="5" t="s">
        <v>99</v>
      </c>
      <c r="I1119" s="15">
        <v>44970</v>
      </c>
      <c r="J1119" s="15" t="s">
        <v>232</v>
      </c>
      <c r="K1119" s="6">
        <v>0.53333333333333333</v>
      </c>
      <c r="L1119" t="s">
        <v>143</v>
      </c>
      <c r="M1119">
        <v>200000</v>
      </c>
      <c r="N1119" t="s">
        <v>214</v>
      </c>
      <c r="O1119" t="s">
        <v>151</v>
      </c>
      <c r="P1119">
        <v>62</v>
      </c>
      <c r="Q1119" t="s">
        <v>155</v>
      </c>
    </row>
    <row r="1120" spans="1:17" x14ac:dyDescent="0.2">
      <c r="A1120">
        <v>741193</v>
      </c>
      <c r="B1120">
        <v>879</v>
      </c>
      <c r="C1120" s="1" t="s">
        <v>99</v>
      </c>
      <c r="D1120" s="11">
        <v>45097.001388888886</v>
      </c>
      <c r="E1120" t="s">
        <v>97</v>
      </c>
      <c r="F1120" t="s">
        <v>86</v>
      </c>
      <c r="G1120">
        <v>4307</v>
      </c>
      <c r="H1120" s="5" t="s">
        <v>99</v>
      </c>
      <c r="I1120" s="15">
        <v>45097</v>
      </c>
      <c r="J1120" s="15" t="s">
        <v>233</v>
      </c>
      <c r="K1120" s="6">
        <v>0.50138888888888888</v>
      </c>
      <c r="L1120" t="s">
        <v>144</v>
      </c>
      <c r="M1120">
        <v>100000</v>
      </c>
      <c r="N1120" t="s">
        <v>216</v>
      </c>
      <c r="O1120" t="s">
        <v>152</v>
      </c>
      <c r="P1120">
        <v>70</v>
      </c>
      <c r="Q1120" t="s">
        <v>155</v>
      </c>
    </row>
    <row r="1121" spans="1:17" x14ac:dyDescent="0.2">
      <c r="A1121">
        <v>742561</v>
      </c>
      <c r="B1121">
        <v>1509</v>
      </c>
      <c r="C1121" s="1" t="s">
        <v>99</v>
      </c>
      <c r="D1121" s="11">
        <v>44946.943749999999</v>
      </c>
      <c r="E1121" t="s">
        <v>191</v>
      </c>
      <c r="F1121" t="s">
        <v>31</v>
      </c>
      <c r="G1121">
        <v>1879</v>
      </c>
      <c r="H1121" s="5" t="s">
        <v>99</v>
      </c>
      <c r="I1121" s="15">
        <v>44946</v>
      </c>
      <c r="J1121" s="15" t="s">
        <v>232</v>
      </c>
      <c r="K1121" s="6">
        <v>0.44374999999999998</v>
      </c>
      <c r="L1121" t="s">
        <v>143</v>
      </c>
      <c r="M1121">
        <v>80000</v>
      </c>
      <c r="N1121" t="s">
        <v>204</v>
      </c>
      <c r="O1121" t="s">
        <v>151</v>
      </c>
      <c r="P1121">
        <v>31</v>
      </c>
      <c r="Q1121" t="s">
        <v>157</v>
      </c>
    </row>
    <row r="1122" spans="1:17" x14ac:dyDescent="0.2">
      <c r="A1122">
        <v>742778</v>
      </c>
      <c r="B1122">
        <v>982</v>
      </c>
      <c r="C1122" s="1" t="s">
        <v>99</v>
      </c>
      <c r="D1122" s="11">
        <v>45121.980555555558</v>
      </c>
      <c r="E1122" t="s">
        <v>191</v>
      </c>
      <c r="F1122" t="s">
        <v>90</v>
      </c>
      <c r="G1122">
        <v>8688</v>
      </c>
      <c r="H1122" s="5" t="s">
        <v>99</v>
      </c>
      <c r="I1122" s="15">
        <v>45121</v>
      </c>
      <c r="J1122" s="15" t="s">
        <v>234</v>
      </c>
      <c r="K1122" s="6">
        <v>0.48055555555555557</v>
      </c>
      <c r="L1122" t="s">
        <v>142</v>
      </c>
      <c r="M1122">
        <v>150000</v>
      </c>
      <c r="N1122" t="s">
        <v>208</v>
      </c>
      <c r="O1122" t="s">
        <v>152</v>
      </c>
      <c r="P1122">
        <v>35</v>
      </c>
      <c r="Q1122" t="s">
        <v>155</v>
      </c>
    </row>
    <row r="1123" spans="1:17" x14ac:dyDescent="0.2">
      <c r="A1123">
        <v>743589</v>
      </c>
      <c r="B1123">
        <v>1559</v>
      </c>
      <c r="C1123" s="1" t="s">
        <v>105</v>
      </c>
      <c r="D1123" s="11">
        <v>45286.04791666667</v>
      </c>
      <c r="E1123" t="s">
        <v>191</v>
      </c>
      <c r="F1123" t="s">
        <v>43</v>
      </c>
      <c r="G1123">
        <v>2636</v>
      </c>
      <c r="H1123" s="5" t="s">
        <v>105</v>
      </c>
      <c r="I1123" s="15">
        <v>45286</v>
      </c>
      <c r="J1123" s="15" t="s">
        <v>295</v>
      </c>
      <c r="K1123" s="6">
        <v>4.791666666666667E-2</v>
      </c>
      <c r="L1123" t="s">
        <v>145</v>
      </c>
      <c r="M1123">
        <v>1000000</v>
      </c>
      <c r="N1123" t="s">
        <v>203</v>
      </c>
      <c r="O1123" t="s">
        <v>152</v>
      </c>
      <c r="P1123">
        <v>68</v>
      </c>
      <c r="Q1123" t="s">
        <v>157</v>
      </c>
    </row>
    <row r="1124" spans="1:17" x14ac:dyDescent="0.2">
      <c r="A1124">
        <v>743932</v>
      </c>
      <c r="B1124">
        <v>543</v>
      </c>
      <c r="C1124" s="1" t="s">
        <v>100</v>
      </c>
      <c r="D1124" s="11">
        <v>45164.019444444442</v>
      </c>
      <c r="E1124" t="s">
        <v>96</v>
      </c>
      <c r="F1124" t="s">
        <v>91</v>
      </c>
      <c r="G1124">
        <v>5966</v>
      </c>
      <c r="H1124" s="5" t="s">
        <v>100</v>
      </c>
      <c r="I1124" s="15">
        <v>45164</v>
      </c>
      <c r="J1124" s="15" t="s">
        <v>234</v>
      </c>
      <c r="K1124" s="6">
        <v>0.51944444444444449</v>
      </c>
      <c r="L1124" t="s">
        <v>142</v>
      </c>
      <c r="M1124">
        <v>100000</v>
      </c>
      <c r="N1124" t="s">
        <v>213</v>
      </c>
      <c r="O1124" t="s">
        <v>152</v>
      </c>
      <c r="P1124">
        <v>80</v>
      </c>
      <c r="Q1124" t="s">
        <v>155</v>
      </c>
    </row>
    <row r="1125" spans="1:17" x14ac:dyDescent="0.2">
      <c r="A1125">
        <v>743961</v>
      </c>
      <c r="B1125">
        <v>98</v>
      </c>
      <c r="C1125" s="1" t="s">
        <v>108</v>
      </c>
      <c r="D1125" s="11">
        <v>45176.027083333334</v>
      </c>
      <c r="E1125" t="s">
        <v>96</v>
      </c>
      <c r="F1125" t="s">
        <v>35</v>
      </c>
      <c r="G1125">
        <v>2467</v>
      </c>
      <c r="H1125" s="5" t="s">
        <v>108</v>
      </c>
      <c r="I1125" s="15">
        <v>45176</v>
      </c>
      <c r="J1125" s="15" t="s">
        <v>234</v>
      </c>
      <c r="K1125" s="6">
        <v>0.52708333333333335</v>
      </c>
      <c r="L1125" t="s">
        <v>144</v>
      </c>
      <c r="M1125">
        <v>100000</v>
      </c>
      <c r="N1125" t="s">
        <v>219</v>
      </c>
      <c r="O1125" t="s">
        <v>151</v>
      </c>
      <c r="P1125">
        <v>35</v>
      </c>
      <c r="Q1125" t="s">
        <v>154</v>
      </c>
    </row>
    <row r="1126" spans="1:17" x14ac:dyDescent="0.2">
      <c r="A1126">
        <v>745795</v>
      </c>
      <c r="B1126">
        <v>919</v>
      </c>
      <c r="C1126" s="1" t="s">
        <v>108</v>
      </c>
      <c r="D1126" s="11">
        <v>44986.035416666666</v>
      </c>
      <c r="E1126" t="s">
        <v>96</v>
      </c>
      <c r="F1126" t="s">
        <v>36</v>
      </c>
      <c r="G1126">
        <v>8983</v>
      </c>
      <c r="H1126" s="5" t="s">
        <v>108</v>
      </c>
      <c r="I1126" s="15">
        <v>44986</v>
      </c>
      <c r="J1126" s="15" t="s">
        <v>232</v>
      </c>
      <c r="K1126" s="6">
        <v>0.53541666666666665</v>
      </c>
      <c r="L1126" t="s">
        <v>146</v>
      </c>
      <c r="M1126">
        <v>100000</v>
      </c>
      <c r="N1126" t="s">
        <v>220</v>
      </c>
      <c r="O1126" t="s">
        <v>151</v>
      </c>
      <c r="P1126">
        <v>27</v>
      </c>
      <c r="Q1126" t="s">
        <v>155</v>
      </c>
    </row>
    <row r="1127" spans="1:17" x14ac:dyDescent="0.2">
      <c r="A1127">
        <v>746060</v>
      </c>
      <c r="B1127">
        <v>1477</v>
      </c>
      <c r="C1127" s="1" t="s">
        <v>105</v>
      </c>
      <c r="D1127" s="11">
        <v>45016.994444444441</v>
      </c>
      <c r="E1127" t="s">
        <v>97</v>
      </c>
      <c r="F1127" t="s">
        <v>34</v>
      </c>
      <c r="G1127">
        <v>1387</v>
      </c>
      <c r="H1127" s="5" t="s">
        <v>105</v>
      </c>
      <c r="I1127" s="15">
        <v>45016</v>
      </c>
      <c r="J1127" s="15" t="s">
        <v>232</v>
      </c>
      <c r="K1127" s="6">
        <v>0.49444444444444446</v>
      </c>
      <c r="L1127" t="s">
        <v>144</v>
      </c>
      <c r="M1127">
        <v>150000</v>
      </c>
      <c r="N1127" t="s">
        <v>218</v>
      </c>
      <c r="O1127" t="s">
        <v>152</v>
      </c>
      <c r="P1127">
        <v>73</v>
      </c>
      <c r="Q1127" t="s">
        <v>156</v>
      </c>
    </row>
    <row r="1128" spans="1:17" x14ac:dyDescent="0.2">
      <c r="A1128">
        <v>746275</v>
      </c>
      <c r="B1128">
        <v>1020</v>
      </c>
      <c r="C1128" s="1" t="s">
        <v>101</v>
      </c>
      <c r="D1128" s="11">
        <v>45059.054861111108</v>
      </c>
      <c r="E1128" t="s">
        <v>97</v>
      </c>
      <c r="F1128" t="s">
        <v>27</v>
      </c>
      <c r="G1128">
        <v>3551</v>
      </c>
      <c r="H1128" s="5" t="s">
        <v>101</v>
      </c>
      <c r="I1128" s="15">
        <v>45059</v>
      </c>
      <c r="J1128" s="15" t="s">
        <v>233</v>
      </c>
      <c r="K1128" s="6">
        <v>5.486111111111111E-2</v>
      </c>
      <c r="L1128" t="s">
        <v>142</v>
      </c>
      <c r="M1128">
        <v>1000000</v>
      </c>
      <c r="N1128" t="s">
        <v>209</v>
      </c>
      <c r="O1128" t="s">
        <v>152</v>
      </c>
      <c r="P1128">
        <v>86</v>
      </c>
      <c r="Q1128" t="s">
        <v>156</v>
      </c>
    </row>
    <row r="1129" spans="1:17" x14ac:dyDescent="0.2">
      <c r="A1129">
        <v>748106</v>
      </c>
      <c r="B1129">
        <v>1295</v>
      </c>
      <c r="C1129" s="1" t="s">
        <v>102</v>
      </c>
      <c r="D1129" s="11">
        <v>45226.998611111114</v>
      </c>
      <c r="E1129" t="s">
        <v>98</v>
      </c>
      <c r="F1129" t="s">
        <v>65</v>
      </c>
      <c r="G1129">
        <v>5025</v>
      </c>
      <c r="H1129" s="5" t="s">
        <v>102</v>
      </c>
      <c r="I1129" s="15">
        <v>45226</v>
      </c>
      <c r="J1129" s="15" t="s">
        <v>295</v>
      </c>
      <c r="K1129" s="6">
        <v>0.49861111111111112</v>
      </c>
      <c r="L1129" t="s">
        <v>146</v>
      </c>
      <c r="M1129">
        <v>200000</v>
      </c>
      <c r="N1129" t="s">
        <v>225</v>
      </c>
      <c r="O1129" t="s">
        <v>152</v>
      </c>
      <c r="P1129">
        <v>86</v>
      </c>
      <c r="Q1129" t="s">
        <v>156</v>
      </c>
    </row>
    <row r="1130" spans="1:17" x14ac:dyDescent="0.2">
      <c r="A1130">
        <v>748762</v>
      </c>
      <c r="B1130">
        <v>946</v>
      </c>
      <c r="C1130" s="1" t="s">
        <v>113</v>
      </c>
      <c r="D1130" s="11">
        <v>45180.027777777781</v>
      </c>
      <c r="E1130" t="s">
        <v>98</v>
      </c>
      <c r="F1130" t="s">
        <v>40</v>
      </c>
      <c r="G1130">
        <v>9843</v>
      </c>
      <c r="H1130" s="5" t="s">
        <v>113</v>
      </c>
      <c r="I1130" s="15">
        <v>45180</v>
      </c>
      <c r="J1130" s="15" t="s">
        <v>234</v>
      </c>
      <c r="K1130" s="6">
        <v>0.52777777777777779</v>
      </c>
      <c r="L1130" t="s">
        <v>142</v>
      </c>
      <c r="M1130">
        <v>150000</v>
      </c>
      <c r="N1130" t="s">
        <v>207</v>
      </c>
      <c r="O1130" t="s">
        <v>151</v>
      </c>
      <c r="P1130">
        <v>27</v>
      </c>
      <c r="Q1130" t="s">
        <v>155</v>
      </c>
    </row>
    <row r="1131" spans="1:17" x14ac:dyDescent="0.2">
      <c r="A1131">
        <v>748997</v>
      </c>
      <c r="B1131">
        <v>1277</v>
      </c>
      <c r="C1131" s="1" t="s">
        <v>110</v>
      </c>
      <c r="D1131" s="11">
        <v>45091.009027777778</v>
      </c>
      <c r="E1131" t="s">
        <v>96</v>
      </c>
      <c r="F1131" t="s">
        <v>95</v>
      </c>
      <c r="G1131">
        <v>9873</v>
      </c>
      <c r="H1131" s="5" t="s">
        <v>110</v>
      </c>
      <c r="I1131" s="15">
        <v>45091</v>
      </c>
      <c r="J1131" s="15" t="s">
        <v>233</v>
      </c>
      <c r="K1131" s="6">
        <v>0.50902777777777775</v>
      </c>
      <c r="L1131" t="s">
        <v>143</v>
      </c>
      <c r="M1131">
        <v>30000</v>
      </c>
      <c r="N1131" t="s">
        <v>221</v>
      </c>
      <c r="O1131" t="s">
        <v>152</v>
      </c>
      <c r="P1131">
        <v>73</v>
      </c>
      <c r="Q1131" t="s">
        <v>156</v>
      </c>
    </row>
    <row r="1132" spans="1:17" x14ac:dyDescent="0.2">
      <c r="A1132">
        <v>749692</v>
      </c>
      <c r="B1132">
        <v>184</v>
      </c>
      <c r="C1132" s="1" t="s">
        <v>106</v>
      </c>
      <c r="D1132" s="11">
        <v>45012.047222222223</v>
      </c>
      <c r="E1132" t="s">
        <v>98</v>
      </c>
      <c r="F1132" t="s">
        <v>42</v>
      </c>
      <c r="G1132">
        <v>6601</v>
      </c>
      <c r="H1132" s="5" t="s">
        <v>106</v>
      </c>
      <c r="I1132" s="15">
        <v>45012</v>
      </c>
      <c r="J1132" s="15" t="s">
        <v>232</v>
      </c>
      <c r="K1132" s="6">
        <v>4.7222222222222221E-2</v>
      </c>
      <c r="L1132" t="s">
        <v>144</v>
      </c>
      <c r="M1132">
        <v>100000</v>
      </c>
      <c r="N1132" t="s">
        <v>219</v>
      </c>
      <c r="O1132" t="s">
        <v>151</v>
      </c>
      <c r="P1132">
        <v>79</v>
      </c>
      <c r="Q1132" t="s">
        <v>154</v>
      </c>
    </row>
    <row r="1133" spans="1:17" x14ac:dyDescent="0.2">
      <c r="A1133">
        <v>749782</v>
      </c>
      <c r="B1133">
        <v>1506</v>
      </c>
      <c r="C1133" s="1" t="s">
        <v>99</v>
      </c>
      <c r="D1133" s="11">
        <v>45095.094444444447</v>
      </c>
      <c r="E1133" t="s">
        <v>97</v>
      </c>
      <c r="F1133" t="s">
        <v>43</v>
      </c>
      <c r="G1133">
        <v>8021</v>
      </c>
      <c r="H1133" s="5" t="s">
        <v>99</v>
      </c>
      <c r="I1133" s="15">
        <v>45095</v>
      </c>
      <c r="J1133" s="15" t="s">
        <v>233</v>
      </c>
      <c r="K1133" s="6">
        <v>9.4444444444444442E-2</v>
      </c>
      <c r="L1133" t="s">
        <v>145</v>
      </c>
      <c r="M1133">
        <v>1000000</v>
      </c>
      <c r="N1133" t="s">
        <v>203</v>
      </c>
      <c r="O1133" t="s">
        <v>151</v>
      </c>
      <c r="P1133">
        <v>18</v>
      </c>
      <c r="Q1133" t="s">
        <v>157</v>
      </c>
    </row>
    <row r="1134" spans="1:17" x14ac:dyDescent="0.2">
      <c r="A1134">
        <v>750732</v>
      </c>
      <c r="B1134">
        <v>194</v>
      </c>
      <c r="C1134" s="1" t="s">
        <v>113</v>
      </c>
      <c r="D1134" s="11">
        <v>45247.981944444444</v>
      </c>
      <c r="E1134" t="s">
        <v>97</v>
      </c>
      <c r="F1134" t="s">
        <v>76</v>
      </c>
      <c r="G1134">
        <v>8355</v>
      </c>
      <c r="H1134" s="5" t="s">
        <v>113</v>
      </c>
      <c r="I1134" s="15">
        <v>45247</v>
      </c>
      <c r="J1134" s="15" t="s">
        <v>295</v>
      </c>
      <c r="K1134" s="6">
        <v>0.48194444444444445</v>
      </c>
      <c r="L1134" t="s">
        <v>142</v>
      </c>
      <c r="M1134">
        <v>80000</v>
      </c>
      <c r="N1134" t="s">
        <v>201</v>
      </c>
      <c r="O1134" t="s">
        <v>152</v>
      </c>
      <c r="P1134">
        <v>64</v>
      </c>
      <c r="Q1134" t="s">
        <v>154</v>
      </c>
    </row>
    <row r="1135" spans="1:17" x14ac:dyDescent="0.2">
      <c r="A1135">
        <v>750814</v>
      </c>
      <c r="B1135">
        <v>862</v>
      </c>
      <c r="C1135" s="1" t="s">
        <v>99</v>
      </c>
      <c r="D1135" s="11">
        <v>45039.990972222222</v>
      </c>
      <c r="E1135" t="s">
        <v>96</v>
      </c>
      <c r="F1135" t="s">
        <v>12</v>
      </c>
      <c r="G1135">
        <v>1843</v>
      </c>
      <c r="H1135" s="5" t="s">
        <v>99</v>
      </c>
      <c r="I1135" s="15">
        <v>45039</v>
      </c>
      <c r="J1135" s="15" t="s">
        <v>233</v>
      </c>
      <c r="K1135" s="6">
        <v>0.4909722222222222</v>
      </c>
      <c r="L1135" t="s">
        <v>143</v>
      </c>
      <c r="M1135">
        <v>150000</v>
      </c>
      <c r="N1135" t="s">
        <v>205</v>
      </c>
      <c r="O1135" t="s">
        <v>152</v>
      </c>
      <c r="P1135">
        <v>68</v>
      </c>
      <c r="Q1135" t="s">
        <v>155</v>
      </c>
    </row>
    <row r="1136" spans="1:17" x14ac:dyDescent="0.2">
      <c r="A1136">
        <v>750826</v>
      </c>
      <c r="B1136">
        <v>451</v>
      </c>
      <c r="C1136" s="1" t="s">
        <v>103</v>
      </c>
      <c r="D1136" s="11">
        <v>45029.98541666667</v>
      </c>
      <c r="E1136" t="s">
        <v>98</v>
      </c>
      <c r="F1136" t="s">
        <v>14</v>
      </c>
      <c r="G1136">
        <v>9467</v>
      </c>
      <c r="H1136" s="5" t="s">
        <v>103</v>
      </c>
      <c r="I1136" s="15">
        <v>45029</v>
      </c>
      <c r="J1136" s="15" t="s">
        <v>233</v>
      </c>
      <c r="K1136" s="6">
        <v>0.48541666666666666</v>
      </c>
      <c r="L1136" t="s">
        <v>142</v>
      </c>
      <c r="M1136">
        <v>250000</v>
      </c>
      <c r="N1136" t="s">
        <v>207</v>
      </c>
      <c r="O1136" t="s">
        <v>151</v>
      </c>
      <c r="P1136">
        <v>74</v>
      </c>
      <c r="Q1136" t="s">
        <v>154</v>
      </c>
    </row>
    <row r="1137" spans="1:17" x14ac:dyDescent="0.2">
      <c r="A1137">
        <v>751811</v>
      </c>
      <c r="B1137">
        <v>1745</v>
      </c>
      <c r="C1137" s="1" t="s">
        <v>99</v>
      </c>
      <c r="D1137" s="11">
        <v>45257.078472222223</v>
      </c>
      <c r="E1137" t="s">
        <v>191</v>
      </c>
      <c r="F1137" t="s">
        <v>43</v>
      </c>
      <c r="G1137">
        <v>2348</v>
      </c>
      <c r="H1137" s="5" t="s">
        <v>99</v>
      </c>
      <c r="I1137" s="15">
        <v>45257</v>
      </c>
      <c r="J1137" s="15" t="s">
        <v>295</v>
      </c>
      <c r="K1137" s="6">
        <v>7.8472222222222221E-2</v>
      </c>
      <c r="L1137" t="s">
        <v>145</v>
      </c>
      <c r="M1137">
        <v>1000000</v>
      </c>
      <c r="N1137" t="s">
        <v>203</v>
      </c>
      <c r="O1137" t="s">
        <v>152</v>
      </c>
      <c r="P1137">
        <v>54</v>
      </c>
      <c r="Q1137" t="s">
        <v>157</v>
      </c>
    </row>
    <row r="1138" spans="1:17" x14ac:dyDescent="0.2">
      <c r="A1138">
        <v>751921</v>
      </c>
      <c r="B1138">
        <v>928</v>
      </c>
      <c r="C1138" s="1" t="s">
        <v>104</v>
      </c>
      <c r="D1138" s="11">
        <v>45099.061805555553</v>
      </c>
      <c r="E1138" t="s">
        <v>98</v>
      </c>
      <c r="F1138" t="s">
        <v>45</v>
      </c>
      <c r="G1138">
        <v>9633</v>
      </c>
      <c r="H1138" s="5" t="s">
        <v>104</v>
      </c>
      <c r="I1138" s="15">
        <v>45099</v>
      </c>
      <c r="J1138" s="15" t="s">
        <v>233</v>
      </c>
      <c r="K1138" s="6">
        <v>6.1805555555555558E-2</v>
      </c>
      <c r="L1138" t="s">
        <v>142</v>
      </c>
      <c r="M1138">
        <v>100000</v>
      </c>
      <c r="N1138" t="s">
        <v>197</v>
      </c>
      <c r="O1138" t="s">
        <v>152</v>
      </c>
      <c r="P1138">
        <v>56</v>
      </c>
      <c r="Q1138" t="s">
        <v>155</v>
      </c>
    </row>
    <row r="1139" spans="1:17" x14ac:dyDescent="0.2">
      <c r="A1139">
        <v>752092</v>
      </c>
      <c r="B1139">
        <v>62</v>
      </c>
      <c r="C1139" s="1" t="s">
        <v>99</v>
      </c>
      <c r="D1139" s="11">
        <v>44949.046527777777</v>
      </c>
      <c r="E1139" t="s">
        <v>97</v>
      </c>
      <c r="F1139" t="s">
        <v>43</v>
      </c>
      <c r="G1139">
        <v>9268</v>
      </c>
      <c r="H1139" s="5" t="s">
        <v>99</v>
      </c>
      <c r="I1139" s="15">
        <v>44949</v>
      </c>
      <c r="J1139" s="15" t="s">
        <v>232</v>
      </c>
      <c r="K1139" s="6">
        <v>4.6527777777777779E-2</v>
      </c>
      <c r="L1139" t="s">
        <v>145</v>
      </c>
      <c r="M1139">
        <v>1000000</v>
      </c>
      <c r="N1139" t="s">
        <v>203</v>
      </c>
      <c r="O1139" t="s">
        <v>152</v>
      </c>
      <c r="P1139">
        <v>42</v>
      </c>
      <c r="Q1139" t="s">
        <v>154</v>
      </c>
    </row>
    <row r="1140" spans="1:17" x14ac:dyDescent="0.2">
      <c r="A1140">
        <v>752814</v>
      </c>
      <c r="B1140">
        <v>1661</v>
      </c>
      <c r="C1140" s="1" t="s">
        <v>100</v>
      </c>
      <c r="D1140" s="11">
        <v>45253.986111111109</v>
      </c>
      <c r="E1140" t="s">
        <v>191</v>
      </c>
      <c r="F1140" t="s">
        <v>67</v>
      </c>
      <c r="G1140">
        <v>7540</v>
      </c>
      <c r="H1140" s="5" t="s">
        <v>100</v>
      </c>
      <c r="I1140" s="15">
        <v>45253</v>
      </c>
      <c r="J1140" s="15" t="s">
        <v>295</v>
      </c>
      <c r="K1140" s="6">
        <v>0.4861111111111111</v>
      </c>
      <c r="L1140" t="s">
        <v>142</v>
      </c>
      <c r="M1140">
        <v>100000</v>
      </c>
      <c r="N1140" t="s">
        <v>213</v>
      </c>
      <c r="O1140" t="s">
        <v>152</v>
      </c>
      <c r="P1140">
        <v>33</v>
      </c>
      <c r="Q1140" t="s">
        <v>157</v>
      </c>
    </row>
    <row r="1141" spans="1:17" x14ac:dyDescent="0.2">
      <c r="A1141">
        <v>754290</v>
      </c>
      <c r="B1141">
        <v>977</v>
      </c>
      <c r="C1141" s="1" t="s">
        <v>113</v>
      </c>
      <c r="D1141" s="11">
        <v>44990.07708333333</v>
      </c>
      <c r="E1141" t="s">
        <v>97</v>
      </c>
      <c r="F1141" t="s">
        <v>60</v>
      </c>
      <c r="G1141">
        <v>7063</v>
      </c>
      <c r="H1141" s="5" t="s">
        <v>113</v>
      </c>
      <c r="I1141" s="15">
        <v>44990</v>
      </c>
      <c r="J1141" s="15" t="s">
        <v>232</v>
      </c>
      <c r="K1141" s="6">
        <v>7.7083333333333337E-2</v>
      </c>
      <c r="L1141" t="s">
        <v>146</v>
      </c>
      <c r="M1141">
        <v>100000</v>
      </c>
      <c r="N1141" t="s">
        <v>225</v>
      </c>
      <c r="O1141" t="s">
        <v>151</v>
      </c>
      <c r="P1141">
        <v>31</v>
      </c>
      <c r="Q1141" t="s">
        <v>155</v>
      </c>
    </row>
    <row r="1142" spans="1:17" x14ac:dyDescent="0.2">
      <c r="A1142">
        <v>754402</v>
      </c>
      <c r="B1142">
        <v>164</v>
      </c>
      <c r="C1142" s="1" t="s">
        <v>99</v>
      </c>
      <c r="D1142" s="11">
        <v>45103.05972222222</v>
      </c>
      <c r="E1142" t="s">
        <v>191</v>
      </c>
      <c r="F1142" t="s">
        <v>70</v>
      </c>
      <c r="G1142">
        <v>136</v>
      </c>
      <c r="H1142" s="5" t="s">
        <v>99</v>
      </c>
      <c r="I1142" s="15">
        <v>45103</v>
      </c>
      <c r="J1142" s="15" t="s">
        <v>233</v>
      </c>
      <c r="K1142" s="6">
        <v>5.9722222222222225E-2</v>
      </c>
      <c r="L1142" t="s">
        <v>143</v>
      </c>
      <c r="M1142">
        <v>100000</v>
      </c>
      <c r="N1142" t="s">
        <v>205</v>
      </c>
      <c r="O1142" t="s">
        <v>151</v>
      </c>
      <c r="P1142">
        <v>36</v>
      </c>
      <c r="Q1142" t="s">
        <v>154</v>
      </c>
    </row>
    <row r="1143" spans="1:17" x14ac:dyDescent="0.2">
      <c r="A1143">
        <v>754474</v>
      </c>
      <c r="B1143">
        <v>48</v>
      </c>
      <c r="C1143" s="1" t="s">
        <v>99</v>
      </c>
      <c r="D1143" s="11">
        <v>45004.95416666667</v>
      </c>
      <c r="E1143" t="s">
        <v>191</v>
      </c>
      <c r="F1143" t="s">
        <v>71</v>
      </c>
      <c r="G1143">
        <v>5288</v>
      </c>
      <c r="H1143" s="5" t="s">
        <v>99</v>
      </c>
      <c r="I1143" s="15">
        <v>45004</v>
      </c>
      <c r="J1143" s="15" t="s">
        <v>232</v>
      </c>
      <c r="K1143" s="6">
        <v>0.45416666666666666</v>
      </c>
      <c r="L1143" t="s">
        <v>145</v>
      </c>
      <c r="M1143">
        <v>150000</v>
      </c>
      <c r="N1143" t="s">
        <v>226</v>
      </c>
      <c r="O1143" t="s">
        <v>152</v>
      </c>
      <c r="P1143">
        <v>66</v>
      </c>
      <c r="Q1143" t="s">
        <v>154</v>
      </c>
    </row>
    <row r="1144" spans="1:17" x14ac:dyDescent="0.2">
      <c r="A1144">
        <v>756887</v>
      </c>
      <c r="B1144">
        <v>1676</v>
      </c>
      <c r="C1144" s="1" t="s">
        <v>104</v>
      </c>
      <c r="D1144" s="11">
        <v>45036.03402777778</v>
      </c>
      <c r="E1144" t="s">
        <v>191</v>
      </c>
      <c r="F1144" t="s">
        <v>43</v>
      </c>
      <c r="G1144">
        <v>5656</v>
      </c>
      <c r="H1144" s="5" t="s">
        <v>104</v>
      </c>
      <c r="I1144" s="15">
        <v>45036</v>
      </c>
      <c r="J1144" s="15" t="s">
        <v>233</v>
      </c>
      <c r="K1144" s="6">
        <v>0.53402777777777777</v>
      </c>
      <c r="L1144" t="s">
        <v>145</v>
      </c>
      <c r="M1144">
        <v>1000000</v>
      </c>
      <c r="N1144" t="s">
        <v>203</v>
      </c>
      <c r="O1144" t="s">
        <v>151</v>
      </c>
      <c r="P1144">
        <v>25</v>
      </c>
      <c r="Q1144" t="s">
        <v>157</v>
      </c>
    </row>
    <row r="1145" spans="1:17" x14ac:dyDescent="0.2">
      <c r="A1145">
        <v>757855</v>
      </c>
      <c r="B1145">
        <v>1479</v>
      </c>
      <c r="C1145" s="1" t="s">
        <v>99</v>
      </c>
      <c r="D1145" s="11">
        <v>45242.941666666666</v>
      </c>
      <c r="E1145" t="s">
        <v>96</v>
      </c>
      <c r="F1145" t="s">
        <v>45</v>
      </c>
      <c r="G1145">
        <v>5528</v>
      </c>
      <c r="H1145" s="5" t="s">
        <v>99</v>
      </c>
      <c r="I1145" s="15">
        <v>45242</v>
      </c>
      <c r="J1145" s="15" t="s">
        <v>295</v>
      </c>
      <c r="K1145" s="6">
        <v>0.44166666666666665</v>
      </c>
      <c r="L1145" t="s">
        <v>142</v>
      </c>
      <c r="M1145">
        <v>100000</v>
      </c>
      <c r="N1145" t="s">
        <v>197</v>
      </c>
      <c r="O1145" t="s">
        <v>152</v>
      </c>
      <c r="P1145">
        <v>87</v>
      </c>
      <c r="Q1145" t="s">
        <v>156</v>
      </c>
    </row>
    <row r="1146" spans="1:17" x14ac:dyDescent="0.2">
      <c r="A1146">
        <v>758496</v>
      </c>
      <c r="B1146">
        <v>1974</v>
      </c>
      <c r="C1146" s="1" t="s">
        <v>99</v>
      </c>
      <c r="D1146" s="11">
        <v>45208.027777777781</v>
      </c>
      <c r="E1146" t="s">
        <v>98</v>
      </c>
      <c r="F1146" t="s">
        <v>8</v>
      </c>
      <c r="G1146">
        <v>2202</v>
      </c>
      <c r="H1146" s="5" t="s">
        <v>99</v>
      </c>
      <c r="I1146" s="15">
        <v>45208</v>
      </c>
      <c r="J1146" s="15" t="s">
        <v>295</v>
      </c>
      <c r="K1146" s="6">
        <v>0.52777777777777779</v>
      </c>
      <c r="L1146" t="s">
        <v>142</v>
      </c>
      <c r="M1146">
        <v>200000</v>
      </c>
      <c r="N1146" t="s">
        <v>201</v>
      </c>
      <c r="O1146" t="s">
        <v>152</v>
      </c>
      <c r="P1146">
        <v>74</v>
      </c>
      <c r="Q1146" t="s">
        <v>157</v>
      </c>
    </row>
    <row r="1147" spans="1:17" x14ac:dyDescent="0.2">
      <c r="A1147">
        <v>758962</v>
      </c>
      <c r="B1147">
        <v>1988</v>
      </c>
      <c r="C1147" s="1" t="s">
        <v>99</v>
      </c>
      <c r="D1147" s="11">
        <v>45058.035416666666</v>
      </c>
      <c r="E1147" t="s">
        <v>98</v>
      </c>
      <c r="F1147" t="s">
        <v>46</v>
      </c>
      <c r="G1147">
        <v>6385</v>
      </c>
      <c r="H1147" s="5" t="s">
        <v>99</v>
      </c>
      <c r="I1147" s="15">
        <v>45058</v>
      </c>
      <c r="J1147" s="15" t="s">
        <v>233</v>
      </c>
      <c r="K1147" s="6">
        <v>0.53541666666666665</v>
      </c>
      <c r="L1147" t="s">
        <v>142</v>
      </c>
      <c r="M1147">
        <v>200000</v>
      </c>
      <c r="N1147" t="s">
        <v>211</v>
      </c>
      <c r="O1147" t="s">
        <v>151</v>
      </c>
      <c r="P1147">
        <v>66</v>
      </c>
      <c r="Q1147" t="s">
        <v>157</v>
      </c>
    </row>
    <row r="1148" spans="1:17" x14ac:dyDescent="0.2">
      <c r="A1148">
        <v>759664</v>
      </c>
      <c r="B1148">
        <v>494</v>
      </c>
      <c r="C1148" s="1" t="s">
        <v>100</v>
      </c>
      <c r="D1148" s="11">
        <v>45125.986111111109</v>
      </c>
      <c r="E1148" t="s">
        <v>191</v>
      </c>
      <c r="F1148" t="s">
        <v>11</v>
      </c>
      <c r="G1148">
        <v>8605</v>
      </c>
      <c r="H1148" s="5" t="s">
        <v>100</v>
      </c>
      <c r="I1148" s="15">
        <v>45125</v>
      </c>
      <c r="J1148" s="15" t="s">
        <v>234</v>
      </c>
      <c r="K1148" s="6">
        <v>0.4861111111111111</v>
      </c>
      <c r="L1148" t="s">
        <v>143</v>
      </c>
      <c r="M1148">
        <v>150000</v>
      </c>
      <c r="N1148" t="s">
        <v>204</v>
      </c>
      <c r="O1148" t="s">
        <v>151</v>
      </c>
      <c r="P1148">
        <v>19</v>
      </c>
      <c r="Q1148" t="s">
        <v>154</v>
      </c>
    </row>
    <row r="1149" spans="1:17" x14ac:dyDescent="0.2">
      <c r="A1149">
        <v>759796</v>
      </c>
      <c r="B1149">
        <v>92</v>
      </c>
      <c r="C1149" s="1" t="s">
        <v>108</v>
      </c>
      <c r="D1149" s="11">
        <v>45227.006944444445</v>
      </c>
      <c r="E1149" t="s">
        <v>96</v>
      </c>
      <c r="F1149" t="s">
        <v>72</v>
      </c>
      <c r="G1149">
        <v>545</v>
      </c>
      <c r="H1149" s="5" t="s">
        <v>108</v>
      </c>
      <c r="I1149" s="15">
        <v>45227</v>
      </c>
      <c r="J1149" s="15" t="s">
        <v>295</v>
      </c>
      <c r="K1149" s="6">
        <v>0.50694444444444442</v>
      </c>
      <c r="L1149" t="s">
        <v>143</v>
      </c>
      <c r="M1149">
        <v>150000</v>
      </c>
      <c r="N1149" t="s">
        <v>223</v>
      </c>
      <c r="O1149" t="s">
        <v>151</v>
      </c>
      <c r="P1149">
        <v>75</v>
      </c>
      <c r="Q1149" t="s">
        <v>154</v>
      </c>
    </row>
    <row r="1150" spans="1:17" x14ac:dyDescent="0.2">
      <c r="A1150">
        <v>760774</v>
      </c>
      <c r="B1150">
        <v>63</v>
      </c>
      <c r="C1150" s="1" t="s">
        <v>103</v>
      </c>
      <c r="D1150" s="11">
        <v>45019.006944444445</v>
      </c>
      <c r="E1150" t="s">
        <v>98</v>
      </c>
      <c r="F1150" t="s">
        <v>27</v>
      </c>
      <c r="G1150">
        <v>2846</v>
      </c>
      <c r="H1150" s="5" t="s">
        <v>103</v>
      </c>
      <c r="I1150" s="15">
        <v>45019</v>
      </c>
      <c r="J1150" s="15" t="s">
        <v>233</v>
      </c>
      <c r="K1150" s="6">
        <v>0.50694444444444442</v>
      </c>
      <c r="L1150" t="s">
        <v>142</v>
      </c>
      <c r="M1150">
        <v>1000000</v>
      </c>
      <c r="N1150" t="s">
        <v>209</v>
      </c>
      <c r="O1150" t="s">
        <v>151</v>
      </c>
      <c r="P1150">
        <v>23</v>
      </c>
      <c r="Q1150" t="s">
        <v>154</v>
      </c>
    </row>
    <row r="1151" spans="1:17" x14ac:dyDescent="0.2">
      <c r="A1151">
        <v>761079</v>
      </c>
      <c r="B1151">
        <v>1813</v>
      </c>
      <c r="C1151" s="1" t="s">
        <v>99</v>
      </c>
      <c r="D1151" s="11">
        <v>45149.009027777778</v>
      </c>
      <c r="E1151" t="s">
        <v>98</v>
      </c>
      <c r="F1151" t="s">
        <v>13</v>
      </c>
      <c r="G1151">
        <v>8446</v>
      </c>
      <c r="H1151" s="5" t="s">
        <v>99</v>
      </c>
      <c r="I1151" s="15">
        <v>45149</v>
      </c>
      <c r="J1151" s="15" t="s">
        <v>234</v>
      </c>
      <c r="K1151" s="6">
        <v>0.50902777777777775</v>
      </c>
      <c r="L1151" t="s">
        <v>143</v>
      </c>
      <c r="M1151">
        <v>150000</v>
      </c>
      <c r="N1151" t="s">
        <v>206</v>
      </c>
      <c r="O1151" t="s">
        <v>151</v>
      </c>
      <c r="P1151">
        <v>21</v>
      </c>
      <c r="Q1151" t="s">
        <v>157</v>
      </c>
    </row>
    <row r="1152" spans="1:17" x14ac:dyDescent="0.2">
      <c r="A1152">
        <v>761261</v>
      </c>
      <c r="B1152">
        <v>930</v>
      </c>
      <c r="C1152" s="1" t="s">
        <v>101</v>
      </c>
      <c r="D1152" s="11">
        <v>45095.979861111111</v>
      </c>
      <c r="E1152" t="s">
        <v>96</v>
      </c>
      <c r="F1152" t="s">
        <v>73</v>
      </c>
      <c r="G1152">
        <v>2321</v>
      </c>
      <c r="H1152" s="5" t="s">
        <v>101</v>
      </c>
      <c r="I1152" s="15">
        <v>45095</v>
      </c>
      <c r="J1152" s="15" t="s">
        <v>233</v>
      </c>
      <c r="K1152" s="6">
        <v>0.47986111111111113</v>
      </c>
      <c r="L1152" t="s">
        <v>146</v>
      </c>
      <c r="M1152">
        <v>150000</v>
      </c>
      <c r="N1152" t="s">
        <v>222</v>
      </c>
      <c r="O1152" t="s">
        <v>151</v>
      </c>
      <c r="P1152">
        <v>21</v>
      </c>
      <c r="Q1152" t="s">
        <v>155</v>
      </c>
    </row>
    <row r="1153" spans="1:17" x14ac:dyDescent="0.2">
      <c r="A1153">
        <v>762584</v>
      </c>
      <c r="B1153">
        <v>226</v>
      </c>
      <c r="C1153" s="1" t="s">
        <v>99</v>
      </c>
      <c r="D1153" s="11">
        <v>45018.05</v>
      </c>
      <c r="E1153" t="s">
        <v>191</v>
      </c>
      <c r="F1153" t="s">
        <v>52</v>
      </c>
      <c r="G1153">
        <v>6342</v>
      </c>
      <c r="H1153" s="5" t="s">
        <v>99</v>
      </c>
      <c r="I1153" s="15">
        <v>45018</v>
      </c>
      <c r="J1153" s="15" t="s">
        <v>233</v>
      </c>
      <c r="K1153" s="6">
        <v>0.05</v>
      </c>
      <c r="L1153" t="s">
        <v>143</v>
      </c>
      <c r="M1153">
        <v>100000</v>
      </c>
      <c r="N1153" t="s">
        <v>206</v>
      </c>
      <c r="O1153" t="s">
        <v>151</v>
      </c>
      <c r="P1153">
        <v>31</v>
      </c>
      <c r="Q1153" t="s">
        <v>154</v>
      </c>
    </row>
    <row r="1154" spans="1:17" x14ac:dyDescent="0.2">
      <c r="A1154">
        <v>763962</v>
      </c>
      <c r="B1154">
        <v>1590</v>
      </c>
      <c r="C1154" s="1" t="s">
        <v>106</v>
      </c>
      <c r="D1154" s="11">
        <v>44942.018750000003</v>
      </c>
      <c r="E1154" t="s">
        <v>98</v>
      </c>
      <c r="F1154" t="s">
        <v>13</v>
      </c>
      <c r="G1154">
        <v>4623</v>
      </c>
      <c r="H1154" s="5" t="s">
        <v>106</v>
      </c>
      <c r="I1154" s="15">
        <v>44942</v>
      </c>
      <c r="J1154" s="15" t="s">
        <v>232</v>
      </c>
      <c r="K1154" s="6">
        <v>0.51875000000000004</v>
      </c>
      <c r="L1154" t="s">
        <v>143</v>
      </c>
      <c r="M1154">
        <v>150000</v>
      </c>
      <c r="N1154" t="s">
        <v>206</v>
      </c>
      <c r="O1154" t="s">
        <v>151</v>
      </c>
      <c r="P1154">
        <v>69</v>
      </c>
      <c r="Q1154" t="s">
        <v>157</v>
      </c>
    </row>
    <row r="1155" spans="1:17" x14ac:dyDescent="0.2">
      <c r="A1155">
        <v>764467</v>
      </c>
      <c r="B1155">
        <v>1998</v>
      </c>
      <c r="C1155" s="1" t="s">
        <v>101</v>
      </c>
      <c r="D1155" s="11">
        <v>45001.067361111112</v>
      </c>
      <c r="E1155" t="s">
        <v>191</v>
      </c>
      <c r="F1155" t="s">
        <v>91</v>
      </c>
      <c r="G1155">
        <v>7362</v>
      </c>
      <c r="H1155" s="5" t="s">
        <v>101</v>
      </c>
      <c r="I1155" s="15">
        <v>45001</v>
      </c>
      <c r="J1155" s="15" t="s">
        <v>232</v>
      </c>
      <c r="K1155" s="6">
        <v>6.7361111111111108E-2</v>
      </c>
      <c r="L1155" t="s">
        <v>142</v>
      </c>
      <c r="M1155">
        <v>100000</v>
      </c>
      <c r="N1155" t="s">
        <v>213</v>
      </c>
      <c r="O1155" t="s">
        <v>151</v>
      </c>
      <c r="P1155">
        <v>82</v>
      </c>
      <c r="Q1155" t="s">
        <v>157</v>
      </c>
    </row>
    <row r="1156" spans="1:17" x14ac:dyDescent="0.2">
      <c r="A1156">
        <v>765043</v>
      </c>
      <c r="B1156">
        <v>273</v>
      </c>
      <c r="C1156" s="1" t="s">
        <v>99</v>
      </c>
      <c r="D1156" s="11">
        <v>45222.97152777778</v>
      </c>
      <c r="E1156" t="s">
        <v>191</v>
      </c>
      <c r="F1156" t="s">
        <v>75</v>
      </c>
      <c r="G1156">
        <v>7579</v>
      </c>
      <c r="H1156" s="5" t="s">
        <v>99</v>
      </c>
      <c r="I1156" s="15">
        <v>45222</v>
      </c>
      <c r="J1156" s="15" t="s">
        <v>295</v>
      </c>
      <c r="K1156" s="6">
        <v>0.47152777777777777</v>
      </c>
      <c r="L1156" t="s">
        <v>143</v>
      </c>
      <c r="M1156">
        <v>50000</v>
      </c>
      <c r="N1156" t="s">
        <v>205</v>
      </c>
      <c r="O1156" t="s">
        <v>151</v>
      </c>
      <c r="P1156">
        <v>34</v>
      </c>
      <c r="Q1156" t="s">
        <v>154</v>
      </c>
    </row>
    <row r="1157" spans="1:17" x14ac:dyDescent="0.2">
      <c r="A1157">
        <v>765994</v>
      </c>
      <c r="B1157">
        <v>220</v>
      </c>
      <c r="C1157" s="1" t="s">
        <v>101</v>
      </c>
      <c r="D1157" s="11">
        <v>45056.015972222223</v>
      </c>
      <c r="E1157" t="s">
        <v>98</v>
      </c>
      <c r="F1157" t="s">
        <v>73</v>
      </c>
      <c r="G1157">
        <v>5250</v>
      </c>
      <c r="H1157" s="5" t="s">
        <v>101</v>
      </c>
      <c r="I1157" s="15">
        <v>45056</v>
      </c>
      <c r="J1157" s="15" t="s">
        <v>233</v>
      </c>
      <c r="K1157" s="6">
        <v>0.51597222222222228</v>
      </c>
      <c r="L1157" t="s">
        <v>146</v>
      </c>
      <c r="M1157">
        <v>150000</v>
      </c>
      <c r="N1157" t="s">
        <v>222</v>
      </c>
      <c r="O1157" t="s">
        <v>151</v>
      </c>
      <c r="P1157">
        <v>71</v>
      </c>
      <c r="Q1157" t="s">
        <v>154</v>
      </c>
    </row>
    <row r="1158" spans="1:17" x14ac:dyDescent="0.2">
      <c r="A1158">
        <v>767130</v>
      </c>
      <c r="B1158">
        <v>1627</v>
      </c>
      <c r="C1158" s="1" t="s">
        <v>101</v>
      </c>
      <c r="D1158" s="11">
        <v>45096.956250000003</v>
      </c>
      <c r="E1158" t="s">
        <v>191</v>
      </c>
      <c r="F1158" t="s">
        <v>76</v>
      </c>
      <c r="G1158">
        <v>4936</v>
      </c>
      <c r="H1158" s="5" t="s">
        <v>101</v>
      </c>
      <c r="I1158" s="15">
        <v>45096</v>
      </c>
      <c r="J1158" s="15" t="s">
        <v>233</v>
      </c>
      <c r="K1158" s="6">
        <v>0.45624999999999999</v>
      </c>
      <c r="L1158" t="s">
        <v>142</v>
      </c>
      <c r="M1158">
        <v>80000</v>
      </c>
      <c r="N1158" t="s">
        <v>201</v>
      </c>
      <c r="O1158" t="s">
        <v>152</v>
      </c>
      <c r="P1158">
        <v>61</v>
      </c>
      <c r="Q1158" t="s">
        <v>157</v>
      </c>
    </row>
    <row r="1159" spans="1:17" x14ac:dyDescent="0.2">
      <c r="A1159">
        <v>767512</v>
      </c>
      <c r="B1159">
        <v>1219</v>
      </c>
      <c r="C1159" s="1" t="s">
        <v>99</v>
      </c>
      <c r="D1159" s="11">
        <v>45290.024305555555</v>
      </c>
      <c r="E1159" t="s">
        <v>97</v>
      </c>
      <c r="F1159" t="s">
        <v>72</v>
      </c>
      <c r="G1159">
        <v>4002</v>
      </c>
      <c r="H1159" s="5" t="s">
        <v>99</v>
      </c>
      <c r="I1159" s="15">
        <v>45290</v>
      </c>
      <c r="J1159" s="15" t="s">
        <v>295</v>
      </c>
      <c r="K1159" s="6">
        <v>0.52430555555555558</v>
      </c>
      <c r="L1159" t="s">
        <v>143</v>
      </c>
      <c r="M1159">
        <v>150000</v>
      </c>
      <c r="N1159" t="s">
        <v>223</v>
      </c>
      <c r="O1159" t="s">
        <v>151</v>
      </c>
      <c r="P1159">
        <v>19</v>
      </c>
      <c r="Q1159" t="s">
        <v>156</v>
      </c>
    </row>
    <row r="1160" spans="1:17" x14ac:dyDescent="0.2">
      <c r="A1160">
        <v>767976</v>
      </c>
      <c r="B1160">
        <v>1079</v>
      </c>
      <c r="C1160" s="1" t="s">
        <v>113</v>
      </c>
      <c r="D1160" s="11">
        <v>45213.03125</v>
      </c>
      <c r="E1160" t="s">
        <v>97</v>
      </c>
      <c r="F1160" t="s">
        <v>28</v>
      </c>
      <c r="G1160">
        <v>4080</v>
      </c>
      <c r="H1160" s="5" t="s">
        <v>113</v>
      </c>
      <c r="I1160" s="15">
        <v>45213</v>
      </c>
      <c r="J1160" s="15" t="s">
        <v>295</v>
      </c>
      <c r="K1160" s="6">
        <v>0.53125</v>
      </c>
      <c r="L1160" t="s">
        <v>143</v>
      </c>
      <c r="M1160">
        <v>100000</v>
      </c>
      <c r="N1160" t="s">
        <v>215</v>
      </c>
      <c r="O1160" t="s">
        <v>152</v>
      </c>
      <c r="P1160">
        <v>29</v>
      </c>
      <c r="Q1160" t="s">
        <v>156</v>
      </c>
    </row>
    <row r="1161" spans="1:17" x14ac:dyDescent="0.2">
      <c r="A1161">
        <v>768093</v>
      </c>
      <c r="B1161">
        <v>680</v>
      </c>
      <c r="C1161" s="1" t="s">
        <v>99</v>
      </c>
      <c r="D1161" s="11">
        <v>44986.020833333336</v>
      </c>
      <c r="E1161" t="s">
        <v>96</v>
      </c>
      <c r="F1161" t="s">
        <v>70</v>
      </c>
      <c r="G1161">
        <v>8126</v>
      </c>
      <c r="H1161" s="5" t="s">
        <v>99</v>
      </c>
      <c r="I1161" s="15">
        <v>44986</v>
      </c>
      <c r="J1161" s="15" t="s">
        <v>232</v>
      </c>
      <c r="K1161" s="6">
        <v>0.52083333333333337</v>
      </c>
      <c r="L1161" t="s">
        <v>143</v>
      </c>
      <c r="M1161">
        <v>100000</v>
      </c>
      <c r="N1161" t="s">
        <v>205</v>
      </c>
      <c r="O1161" t="s">
        <v>151</v>
      </c>
      <c r="P1161">
        <v>81</v>
      </c>
      <c r="Q1161" t="s">
        <v>155</v>
      </c>
    </row>
    <row r="1162" spans="1:17" x14ac:dyDescent="0.2">
      <c r="A1162">
        <v>768435</v>
      </c>
      <c r="B1162">
        <v>1878</v>
      </c>
      <c r="C1162" s="1" t="s">
        <v>105</v>
      </c>
      <c r="D1162" s="11">
        <v>45092.029861111114</v>
      </c>
      <c r="E1162" t="s">
        <v>98</v>
      </c>
      <c r="F1162" t="s">
        <v>14</v>
      </c>
      <c r="G1162">
        <v>1281</v>
      </c>
      <c r="H1162" s="5" t="s">
        <v>105</v>
      </c>
      <c r="I1162" s="15">
        <v>45092</v>
      </c>
      <c r="J1162" s="15" t="s">
        <v>233</v>
      </c>
      <c r="K1162" s="6">
        <v>0.52986111111111112</v>
      </c>
      <c r="L1162" t="s">
        <v>142</v>
      </c>
      <c r="M1162">
        <v>250000</v>
      </c>
      <c r="N1162" t="s">
        <v>207</v>
      </c>
      <c r="O1162" t="s">
        <v>151</v>
      </c>
      <c r="P1162">
        <v>24</v>
      </c>
      <c r="Q1162" t="s">
        <v>157</v>
      </c>
    </row>
    <row r="1163" spans="1:17" x14ac:dyDescent="0.2">
      <c r="A1163">
        <v>769005</v>
      </c>
      <c r="B1163">
        <v>1308</v>
      </c>
      <c r="C1163" s="1" t="s">
        <v>105</v>
      </c>
      <c r="D1163" s="11">
        <v>45291.07708333333</v>
      </c>
      <c r="E1163" t="s">
        <v>96</v>
      </c>
      <c r="F1163" t="s">
        <v>27</v>
      </c>
      <c r="G1163">
        <v>6183</v>
      </c>
      <c r="H1163" s="5" t="s">
        <v>105</v>
      </c>
      <c r="I1163" s="15">
        <v>45291</v>
      </c>
      <c r="J1163" s="15" t="s">
        <v>295</v>
      </c>
      <c r="K1163" s="6">
        <v>7.7083333333333337E-2</v>
      </c>
      <c r="L1163" t="s">
        <v>142</v>
      </c>
      <c r="M1163">
        <v>1000000</v>
      </c>
      <c r="N1163" t="s">
        <v>209</v>
      </c>
      <c r="O1163" t="s">
        <v>152</v>
      </c>
      <c r="P1163">
        <v>56</v>
      </c>
      <c r="Q1163" t="s">
        <v>156</v>
      </c>
    </row>
    <row r="1164" spans="1:17" x14ac:dyDescent="0.2">
      <c r="A1164">
        <v>769009</v>
      </c>
      <c r="B1164">
        <v>541</v>
      </c>
      <c r="C1164" s="1" t="s">
        <v>99</v>
      </c>
      <c r="D1164" s="11">
        <v>45206.957638888889</v>
      </c>
      <c r="E1164" t="s">
        <v>191</v>
      </c>
      <c r="F1164" t="s">
        <v>77</v>
      </c>
      <c r="G1164">
        <v>2143</v>
      </c>
      <c r="H1164" s="5" t="s">
        <v>99</v>
      </c>
      <c r="I1164" s="15">
        <v>45206</v>
      </c>
      <c r="J1164" s="15" t="s">
        <v>295</v>
      </c>
      <c r="K1164" s="6">
        <v>0.45763888888888887</v>
      </c>
      <c r="L1164" t="s">
        <v>146</v>
      </c>
      <c r="M1164">
        <v>100000</v>
      </c>
      <c r="N1164" t="s">
        <v>222</v>
      </c>
      <c r="O1164" t="s">
        <v>151</v>
      </c>
      <c r="P1164">
        <v>85</v>
      </c>
      <c r="Q1164" t="s">
        <v>155</v>
      </c>
    </row>
    <row r="1165" spans="1:17" x14ac:dyDescent="0.2">
      <c r="A1165">
        <v>769050</v>
      </c>
      <c r="B1165">
        <v>1934</v>
      </c>
      <c r="C1165" s="1" t="s">
        <v>105</v>
      </c>
      <c r="D1165" s="11">
        <v>45010.000694444447</v>
      </c>
      <c r="E1165" t="s">
        <v>97</v>
      </c>
      <c r="F1165" t="s">
        <v>27</v>
      </c>
      <c r="G1165">
        <v>1290</v>
      </c>
      <c r="H1165" s="5" t="s">
        <v>105</v>
      </c>
      <c r="I1165" s="15">
        <v>45010</v>
      </c>
      <c r="J1165" s="15" t="s">
        <v>232</v>
      </c>
      <c r="K1165" s="6">
        <v>0.50069444444444444</v>
      </c>
      <c r="L1165" t="s">
        <v>142</v>
      </c>
      <c r="M1165">
        <v>1000000</v>
      </c>
      <c r="N1165" t="s">
        <v>209</v>
      </c>
      <c r="O1165" t="s">
        <v>151</v>
      </c>
      <c r="P1165">
        <v>25</v>
      </c>
      <c r="Q1165" t="s">
        <v>157</v>
      </c>
    </row>
    <row r="1166" spans="1:17" x14ac:dyDescent="0.2">
      <c r="A1166">
        <v>770892</v>
      </c>
      <c r="B1166">
        <v>824</v>
      </c>
      <c r="C1166" s="1" t="s">
        <v>99</v>
      </c>
      <c r="D1166" s="11">
        <v>45140.101388888892</v>
      </c>
      <c r="E1166" t="s">
        <v>98</v>
      </c>
      <c r="F1166" t="s">
        <v>43</v>
      </c>
      <c r="G1166">
        <v>8032</v>
      </c>
      <c r="H1166" s="5" t="s">
        <v>99</v>
      </c>
      <c r="I1166" s="15">
        <v>45140</v>
      </c>
      <c r="J1166" s="15" t="s">
        <v>234</v>
      </c>
      <c r="K1166" s="6">
        <v>0.10138888888888889</v>
      </c>
      <c r="L1166" t="s">
        <v>145</v>
      </c>
      <c r="M1166">
        <v>1000000</v>
      </c>
      <c r="N1166" t="s">
        <v>203</v>
      </c>
      <c r="O1166" t="s">
        <v>152</v>
      </c>
      <c r="P1166">
        <v>35</v>
      </c>
      <c r="Q1166" t="s">
        <v>155</v>
      </c>
    </row>
    <row r="1167" spans="1:17" x14ac:dyDescent="0.2">
      <c r="A1167">
        <v>772693</v>
      </c>
      <c r="B1167">
        <v>1191</v>
      </c>
      <c r="C1167" s="1" t="s">
        <v>101</v>
      </c>
      <c r="D1167" s="11">
        <v>45047.978472222225</v>
      </c>
      <c r="E1167" t="s">
        <v>97</v>
      </c>
      <c r="F1167" t="s">
        <v>49</v>
      </c>
      <c r="G1167">
        <v>8999</v>
      </c>
      <c r="H1167" s="5" t="s">
        <v>101</v>
      </c>
      <c r="I1167" s="15">
        <v>45047</v>
      </c>
      <c r="J1167" s="15" t="s">
        <v>233</v>
      </c>
      <c r="K1167" s="6">
        <v>0.47847222222222224</v>
      </c>
      <c r="L1167" t="s">
        <v>146</v>
      </c>
      <c r="M1167">
        <v>100000</v>
      </c>
      <c r="N1167" t="s">
        <v>222</v>
      </c>
      <c r="O1167" t="s">
        <v>151</v>
      </c>
      <c r="P1167">
        <v>48</v>
      </c>
      <c r="Q1167" t="s">
        <v>156</v>
      </c>
    </row>
    <row r="1168" spans="1:17" x14ac:dyDescent="0.2">
      <c r="A1168">
        <v>772763</v>
      </c>
      <c r="B1168">
        <v>452</v>
      </c>
      <c r="C1168" s="1" t="s">
        <v>105</v>
      </c>
      <c r="D1168" s="11">
        <v>45007.006944444445</v>
      </c>
      <c r="E1168" t="s">
        <v>191</v>
      </c>
      <c r="F1168" t="s">
        <v>50</v>
      </c>
      <c r="G1168">
        <v>5141</v>
      </c>
      <c r="H1168" s="5" t="s">
        <v>105</v>
      </c>
      <c r="I1168" s="15">
        <v>45007</v>
      </c>
      <c r="J1168" s="15" t="s">
        <v>232</v>
      </c>
      <c r="K1168" s="6">
        <v>0.50694444444444442</v>
      </c>
      <c r="L1168" t="s">
        <v>143</v>
      </c>
      <c r="M1168">
        <v>30000</v>
      </c>
      <c r="N1168" t="s">
        <v>223</v>
      </c>
      <c r="O1168" t="s">
        <v>151</v>
      </c>
      <c r="P1168">
        <v>75</v>
      </c>
      <c r="Q1168" t="s">
        <v>154</v>
      </c>
    </row>
    <row r="1169" spans="1:17" x14ac:dyDescent="0.2">
      <c r="A1169">
        <v>774603</v>
      </c>
      <c r="B1169">
        <v>101</v>
      </c>
      <c r="C1169" s="1" t="s">
        <v>99</v>
      </c>
      <c r="D1169" s="11">
        <v>45049.038194444445</v>
      </c>
      <c r="E1169" t="s">
        <v>96</v>
      </c>
      <c r="F1169" t="s">
        <v>5</v>
      </c>
      <c r="G1169">
        <v>1913</v>
      </c>
      <c r="H1169" s="5" t="s">
        <v>99</v>
      </c>
      <c r="I1169" s="15">
        <v>45049</v>
      </c>
      <c r="J1169" s="15" t="s">
        <v>233</v>
      </c>
      <c r="K1169" s="6">
        <v>0.53819444444444442</v>
      </c>
      <c r="L1169" t="s">
        <v>143</v>
      </c>
      <c r="M1169">
        <v>200000</v>
      </c>
      <c r="N1169" t="s">
        <v>198</v>
      </c>
      <c r="O1169" t="s">
        <v>152</v>
      </c>
      <c r="P1169">
        <v>63</v>
      </c>
      <c r="Q1169" t="s">
        <v>154</v>
      </c>
    </row>
    <row r="1170" spans="1:17" x14ac:dyDescent="0.2">
      <c r="A1170">
        <v>775306</v>
      </c>
      <c r="B1170">
        <v>655</v>
      </c>
      <c r="C1170" s="1" t="s">
        <v>99</v>
      </c>
      <c r="D1170" s="11">
        <v>45101.959722222222</v>
      </c>
      <c r="E1170" t="s">
        <v>98</v>
      </c>
      <c r="F1170" t="s">
        <v>46</v>
      </c>
      <c r="G1170">
        <v>7346</v>
      </c>
      <c r="H1170" s="5" t="s">
        <v>99</v>
      </c>
      <c r="I1170" s="15">
        <v>45101</v>
      </c>
      <c r="J1170" s="15" t="s">
        <v>233</v>
      </c>
      <c r="K1170" s="6">
        <v>0.4597222222222222</v>
      </c>
      <c r="L1170" t="s">
        <v>142</v>
      </c>
      <c r="M1170">
        <v>200000</v>
      </c>
      <c r="N1170" t="s">
        <v>211</v>
      </c>
      <c r="O1170" t="s">
        <v>151</v>
      </c>
      <c r="P1170">
        <v>22</v>
      </c>
      <c r="Q1170" t="s">
        <v>155</v>
      </c>
    </row>
    <row r="1171" spans="1:17" x14ac:dyDescent="0.2">
      <c r="A1171">
        <v>775387</v>
      </c>
      <c r="B1171">
        <v>945</v>
      </c>
      <c r="C1171" s="1" t="s">
        <v>100</v>
      </c>
      <c r="D1171" s="11">
        <v>45185.963194444441</v>
      </c>
      <c r="E1171" t="s">
        <v>191</v>
      </c>
      <c r="F1171" t="s">
        <v>82</v>
      </c>
      <c r="G1171">
        <v>8620</v>
      </c>
      <c r="H1171" s="5" t="s">
        <v>100</v>
      </c>
      <c r="I1171" s="15">
        <v>45185</v>
      </c>
      <c r="J1171" s="15" t="s">
        <v>234</v>
      </c>
      <c r="K1171" s="6">
        <v>0.46319444444444446</v>
      </c>
      <c r="L1171" t="s">
        <v>142</v>
      </c>
      <c r="M1171">
        <v>100000</v>
      </c>
      <c r="N1171" t="s">
        <v>209</v>
      </c>
      <c r="O1171" t="s">
        <v>151</v>
      </c>
      <c r="P1171">
        <v>34</v>
      </c>
      <c r="Q1171" t="s">
        <v>155</v>
      </c>
    </row>
    <row r="1172" spans="1:17" x14ac:dyDescent="0.2">
      <c r="A1172">
        <v>775856</v>
      </c>
      <c r="B1172">
        <v>146</v>
      </c>
      <c r="C1172" s="1" t="s">
        <v>103</v>
      </c>
      <c r="D1172" s="11">
        <v>45214.01666666667</v>
      </c>
      <c r="E1172" t="s">
        <v>97</v>
      </c>
      <c r="F1172" t="s">
        <v>17</v>
      </c>
      <c r="G1172">
        <v>5780</v>
      </c>
      <c r="H1172" s="5" t="s">
        <v>103</v>
      </c>
      <c r="I1172" s="15">
        <v>45214</v>
      </c>
      <c r="J1172" s="15" t="s">
        <v>295</v>
      </c>
      <c r="K1172" s="6">
        <v>0.51666666666666672</v>
      </c>
      <c r="L1172" t="s">
        <v>142</v>
      </c>
      <c r="M1172">
        <v>100000</v>
      </c>
      <c r="N1172" t="s">
        <v>209</v>
      </c>
      <c r="O1172" t="s">
        <v>151</v>
      </c>
      <c r="P1172">
        <v>85</v>
      </c>
      <c r="Q1172" t="s">
        <v>154</v>
      </c>
    </row>
    <row r="1173" spans="1:17" x14ac:dyDescent="0.2">
      <c r="A1173">
        <v>778907</v>
      </c>
      <c r="B1173">
        <v>915</v>
      </c>
      <c r="C1173" s="1" t="s">
        <v>100</v>
      </c>
      <c r="D1173" s="11">
        <v>45238.006249999999</v>
      </c>
      <c r="E1173" t="s">
        <v>96</v>
      </c>
      <c r="F1173" t="s">
        <v>11</v>
      </c>
      <c r="G1173">
        <v>8273</v>
      </c>
      <c r="H1173" s="5" t="s">
        <v>100</v>
      </c>
      <c r="I1173" s="15">
        <v>45238</v>
      </c>
      <c r="J1173" s="15" t="s">
        <v>295</v>
      </c>
      <c r="K1173" s="6">
        <v>0.50624999999999998</v>
      </c>
      <c r="L1173" t="s">
        <v>143</v>
      </c>
      <c r="M1173">
        <v>150000</v>
      </c>
      <c r="N1173" t="s">
        <v>204</v>
      </c>
      <c r="O1173" t="s">
        <v>151</v>
      </c>
      <c r="P1173">
        <v>39</v>
      </c>
      <c r="Q1173" t="s">
        <v>155</v>
      </c>
    </row>
    <row r="1174" spans="1:17" x14ac:dyDescent="0.2">
      <c r="A1174">
        <v>779276</v>
      </c>
      <c r="B1174">
        <v>1162</v>
      </c>
      <c r="C1174" s="1" t="s">
        <v>99</v>
      </c>
      <c r="D1174" s="11">
        <v>45087.997916666667</v>
      </c>
      <c r="E1174" t="s">
        <v>98</v>
      </c>
      <c r="F1174" t="s">
        <v>44</v>
      </c>
      <c r="G1174">
        <v>4738</v>
      </c>
      <c r="H1174" s="5" t="s">
        <v>99</v>
      </c>
      <c r="I1174" s="15">
        <v>45087</v>
      </c>
      <c r="J1174" s="15" t="s">
        <v>233</v>
      </c>
      <c r="K1174" s="6">
        <v>0.49791666666666667</v>
      </c>
      <c r="L1174" t="s">
        <v>144</v>
      </c>
      <c r="M1174">
        <v>150000</v>
      </c>
      <c r="N1174" t="s">
        <v>199</v>
      </c>
      <c r="O1174" t="s">
        <v>152</v>
      </c>
      <c r="P1174">
        <v>87</v>
      </c>
      <c r="Q1174" t="s">
        <v>156</v>
      </c>
    </row>
    <row r="1175" spans="1:17" x14ac:dyDescent="0.2">
      <c r="A1175">
        <v>780193</v>
      </c>
      <c r="B1175">
        <v>1979</v>
      </c>
      <c r="C1175" s="1" t="s">
        <v>102</v>
      </c>
      <c r="D1175" s="11">
        <v>45143.074999999997</v>
      </c>
      <c r="E1175" t="s">
        <v>96</v>
      </c>
      <c r="F1175" t="s">
        <v>78</v>
      </c>
      <c r="G1175">
        <v>1562</v>
      </c>
      <c r="H1175" s="5" t="s">
        <v>102</v>
      </c>
      <c r="I1175" s="15">
        <v>45143</v>
      </c>
      <c r="J1175" s="15" t="s">
        <v>234</v>
      </c>
      <c r="K1175" s="6">
        <v>7.4999999999999997E-2</v>
      </c>
      <c r="L1175" t="s">
        <v>143</v>
      </c>
      <c r="M1175">
        <v>200000</v>
      </c>
      <c r="N1175" t="s">
        <v>215</v>
      </c>
      <c r="O1175" t="s">
        <v>152</v>
      </c>
      <c r="P1175">
        <v>21</v>
      </c>
      <c r="Q1175" t="s">
        <v>157</v>
      </c>
    </row>
    <row r="1176" spans="1:17" x14ac:dyDescent="0.2">
      <c r="A1176">
        <v>780651</v>
      </c>
      <c r="B1176">
        <v>1630</v>
      </c>
      <c r="C1176" s="1" t="s">
        <v>100</v>
      </c>
      <c r="D1176" s="11">
        <v>45130.070833333331</v>
      </c>
      <c r="E1176" t="s">
        <v>96</v>
      </c>
      <c r="F1176" t="s">
        <v>27</v>
      </c>
      <c r="G1176">
        <v>2596</v>
      </c>
      <c r="H1176" s="5" t="s">
        <v>100</v>
      </c>
      <c r="I1176" s="15">
        <v>45130</v>
      </c>
      <c r="J1176" s="15" t="s">
        <v>234</v>
      </c>
      <c r="K1176" s="6">
        <v>7.0833333333333331E-2</v>
      </c>
      <c r="L1176" t="s">
        <v>142</v>
      </c>
      <c r="M1176">
        <v>1000000</v>
      </c>
      <c r="N1176" t="s">
        <v>209</v>
      </c>
      <c r="O1176" t="s">
        <v>152</v>
      </c>
      <c r="P1176">
        <v>21</v>
      </c>
      <c r="Q1176" t="s">
        <v>157</v>
      </c>
    </row>
    <row r="1177" spans="1:17" x14ac:dyDescent="0.2">
      <c r="A1177">
        <v>780700</v>
      </c>
      <c r="B1177">
        <v>1677</v>
      </c>
      <c r="C1177" s="1" t="s">
        <v>107</v>
      </c>
      <c r="D1177" s="11">
        <v>45055.993750000001</v>
      </c>
      <c r="E1177" t="s">
        <v>96</v>
      </c>
      <c r="F1177" t="s">
        <v>59</v>
      </c>
      <c r="G1177">
        <v>9948</v>
      </c>
      <c r="H1177" s="5" t="s">
        <v>107</v>
      </c>
      <c r="I1177" s="15">
        <v>45055</v>
      </c>
      <c r="J1177" s="15" t="s">
        <v>233</v>
      </c>
      <c r="K1177" s="6">
        <v>0.49375000000000002</v>
      </c>
      <c r="L1177" t="s">
        <v>144</v>
      </c>
      <c r="M1177">
        <v>80000</v>
      </c>
      <c r="N1177" t="s">
        <v>224</v>
      </c>
      <c r="O1177" t="s">
        <v>152</v>
      </c>
      <c r="P1177">
        <v>51</v>
      </c>
      <c r="Q1177" t="s">
        <v>157</v>
      </c>
    </row>
    <row r="1178" spans="1:17" x14ac:dyDescent="0.2">
      <c r="A1178">
        <v>780895</v>
      </c>
      <c r="B1178">
        <v>1569</v>
      </c>
      <c r="C1178" s="1" t="s">
        <v>105</v>
      </c>
      <c r="D1178" s="11">
        <v>45046.994444444441</v>
      </c>
      <c r="E1178" t="s">
        <v>98</v>
      </c>
      <c r="F1178" t="s">
        <v>48</v>
      </c>
      <c r="G1178">
        <v>5917</v>
      </c>
      <c r="H1178" s="5" t="s">
        <v>105</v>
      </c>
      <c r="I1178" s="15">
        <v>45046</v>
      </c>
      <c r="J1178" s="15" t="s">
        <v>233</v>
      </c>
      <c r="K1178" s="6">
        <v>0.49444444444444446</v>
      </c>
      <c r="L1178" t="s">
        <v>142</v>
      </c>
      <c r="M1178">
        <v>100000</v>
      </c>
      <c r="N1178" t="s">
        <v>209</v>
      </c>
      <c r="O1178" t="s">
        <v>152</v>
      </c>
      <c r="P1178">
        <v>20</v>
      </c>
      <c r="Q1178" t="s">
        <v>157</v>
      </c>
    </row>
    <row r="1179" spans="1:17" x14ac:dyDescent="0.2">
      <c r="A1179">
        <v>781125</v>
      </c>
      <c r="B1179">
        <v>1723</v>
      </c>
      <c r="C1179" s="1" t="s">
        <v>105</v>
      </c>
      <c r="D1179" s="11">
        <v>44950.040277777778</v>
      </c>
      <c r="E1179" t="s">
        <v>96</v>
      </c>
      <c r="F1179" t="s">
        <v>26</v>
      </c>
      <c r="G1179">
        <v>3855</v>
      </c>
      <c r="H1179" s="5" t="s">
        <v>105</v>
      </c>
      <c r="I1179" s="15">
        <v>44950</v>
      </c>
      <c r="J1179" s="15" t="s">
        <v>232</v>
      </c>
      <c r="K1179" s="6">
        <v>0.54027777777777775</v>
      </c>
      <c r="L1179" t="s">
        <v>145</v>
      </c>
      <c r="M1179">
        <v>100000</v>
      </c>
      <c r="N1179" t="s">
        <v>210</v>
      </c>
      <c r="O1179" t="s">
        <v>151</v>
      </c>
      <c r="P1179">
        <v>82</v>
      </c>
      <c r="Q1179" t="s">
        <v>157</v>
      </c>
    </row>
    <row r="1180" spans="1:17" x14ac:dyDescent="0.2">
      <c r="A1180">
        <v>781195</v>
      </c>
      <c r="B1180">
        <v>184</v>
      </c>
      <c r="C1180" s="1" t="s">
        <v>106</v>
      </c>
      <c r="D1180" s="11">
        <v>45232.007638888892</v>
      </c>
      <c r="E1180" t="s">
        <v>97</v>
      </c>
      <c r="F1180" t="s">
        <v>74</v>
      </c>
      <c r="G1180">
        <v>5349</v>
      </c>
      <c r="H1180" s="5" t="s">
        <v>106</v>
      </c>
      <c r="I1180" s="15">
        <v>45232</v>
      </c>
      <c r="J1180" s="15" t="s">
        <v>295</v>
      </c>
      <c r="K1180" s="6">
        <v>0.50763888888888886</v>
      </c>
      <c r="L1180" t="s">
        <v>145</v>
      </c>
      <c r="M1180">
        <v>150000</v>
      </c>
      <c r="N1180" t="s">
        <v>226</v>
      </c>
      <c r="O1180" t="s">
        <v>151</v>
      </c>
      <c r="P1180">
        <v>79</v>
      </c>
      <c r="Q1180" t="s">
        <v>154</v>
      </c>
    </row>
    <row r="1181" spans="1:17" x14ac:dyDescent="0.2">
      <c r="A1181">
        <v>781771</v>
      </c>
      <c r="B1181">
        <v>1377</v>
      </c>
      <c r="C1181" s="1" t="s">
        <v>109</v>
      </c>
      <c r="D1181" s="11">
        <v>44969.006944444445</v>
      </c>
      <c r="E1181" t="s">
        <v>96</v>
      </c>
      <c r="F1181" t="s">
        <v>88</v>
      </c>
      <c r="G1181">
        <v>9605</v>
      </c>
      <c r="H1181" s="5" t="s">
        <v>109</v>
      </c>
      <c r="I1181" s="15">
        <v>44969</v>
      </c>
      <c r="J1181" s="15" t="s">
        <v>232</v>
      </c>
      <c r="K1181" s="6">
        <v>0.50694444444444442</v>
      </c>
      <c r="L1181" t="s">
        <v>144</v>
      </c>
      <c r="M1181">
        <v>100000</v>
      </c>
      <c r="N1181" t="s">
        <v>200</v>
      </c>
      <c r="O1181" t="s">
        <v>151</v>
      </c>
      <c r="P1181">
        <v>33</v>
      </c>
      <c r="Q1181" t="s">
        <v>156</v>
      </c>
    </row>
    <row r="1182" spans="1:17" x14ac:dyDescent="0.2">
      <c r="A1182">
        <v>782836</v>
      </c>
      <c r="B1182">
        <v>1896</v>
      </c>
      <c r="C1182" s="1" t="s">
        <v>100</v>
      </c>
      <c r="D1182" s="11">
        <v>45141.018750000003</v>
      </c>
      <c r="E1182" t="s">
        <v>191</v>
      </c>
      <c r="F1182" t="s">
        <v>73</v>
      </c>
      <c r="G1182">
        <v>8153</v>
      </c>
      <c r="H1182" s="5" t="s">
        <v>100</v>
      </c>
      <c r="I1182" s="15">
        <v>45141</v>
      </c>
      <c r="J1182" s="15" t="s">
        <v>234</v>
      </c>
      <c r="K1182" s="6">
        <v>0.51875000000000004</v>
      </c>
      <c r="L1182" t="s">
        <v>146</v>
      </c>
      <c r="M1182">
        <v>150000</v>
      </c>
      <c r="N1182" t="s">
        <v>222</v>
      </c>
      <c r="O1182" t="s">
        <v>152</v>
      </c>
      <c r="P1182">
        <v>22</v>
      </c>
      <c r="Q1182" t="s">
        <v>157</v>
      </c>
    </row>
    <row r="1183" spans="1:17" x14ac:dyDescent="0.2">
      <c r="A1183">
        <v>783763</v>
      </c>
      <c r="B1183">
        <v>447</v>
      </c>
      <c r="C1183" s="1" t="s">
        <v>99</v>
      </c>
      <c r="D1183" s="11">
        <v>45127.063888888886</v>
      </c>
      <c r="E1183" t="s">
        <v>97</v>
      </c>
      <c r="F1183" t="s">
        <v>89</v>
      </c>
      <c r="G1183">
        <v>3794</v>
      </c>
      <c r="H1183" s="5" t="s">
        <v>99</v>
      </c>
      <c r="I1183" s="15">
        <v>45127</v>
      </c>
      <c r="J1183" s="15" t="s">
        <v>234</v>
      </c>
      <c r="K1183" s="6">
        <v>6.3888888888888884E-2</v>
      </c>
      <c r="L1183" t="s">
        <v>144</v>
      </c>
      <c r="M1183">
        <v>150000</v>
      </c>
      <c r="N1183" t="s">
        <v>218</v>
      </c>
      <c r="O1183" t="s">
        <v>152</v>
      </c>
      <c r="P1183">
        <v>77</v>
      </c>
      <c r="Q1183" t="s">
        <v>154</v>
      </c>
    </row>
    <row r="1184" spans="1:17" x14ac:dyDescent="0.2">
      <c r="A1184">
        <v>783822</v>
      </c>
      <c r="B1184">
        <v>221</v>
      </c>
      <c r="C1184" s="1" t="s">
        <v>101</v>
      </c>
      <c r="D1184" s="11">
        <v>45253.981249999997</v>
      </c>
      <c r="E1184" t="s">
        <v>97</v>
      </c>
      <c r="F1184" t="s">
        <v>27</v>
      </c>
      <c r="G1184">
        <v>5404</v>
      </c>
      <c r="H1184" s="5" t="s">
        <v>101</v>
      </c>
      <c r="I1184" s="15">
        <v>45253</v>
      </c>
      <c r="J1184" s="15" t="s">
        <v>295</v>
      </c>
      <c r="K1184" s="6">
        <v>0.48125000000000001</v>
      </c>
      <c r="L1184" t="s">
        <v>142</v>
      </c>
      <c r="M1184">
        <v>1000000</v>
      </c>
      <c r="N1184" t="s">
        <v>209</v>
      </c>
      <c r="O1184" t="s">
        <v>151</v>
      </c>
      <c r="P1184">
        <v>64</v>
      </c>
      <c r="Q1184" t="s">
        <v>154</v>
      </c>
    </row>
    <row r="1185" spans="1:17" x14ac:dyDescent="0.2">
      <c r="A1185">
        <v>784475</v>
      </c>
      <c r="B1185">
        <v>109</v>
      </c>
      <c r="C1185" s="1" t="s">
        <v>99</v>
      </c>
      <c r="D1185" s="11">
        <v>45284.071527777778</v>
      </c>
      <c r="E1185" t="s">
        <v>97</v>
      </c>
      <c r="F1185" t="s">
        <v>25</v>
      </c>
      <c r="G1185">
        <v>505</v>
      </c>
      <c r="H1185" s="5" t="s">
        <v>99</v>
      </c>
      <c r="I1185" s="15">
        <v>45284</v>
      </c>
      <c r="J1185" s="15" t="s">
        <v>295</v>
      </c>
      <c r="K1185" s="6">
        <v>7.1527777777777773E-2</v>
      </c>
      <c r="L1185" t="s">
        <v>142</v>
      </c>
      <c r="M1185">
        <v>100000</v>
      </c>
      <c r="N1185" t="s">
        <v>201</v>
      </c>
      <c r="O1185" t="s">
        <v>152</v>
      </c>
      <c r="P1185">
        <v>32</v>
      </c>
      <c r="Q1185" t="s">
        <v>154</v>
      </c>
    </row>
    <row r="1186" spans="1:17" x14ac:dyDescent="0.2">
      <c r="A1186">
        <v>784839</v>
      </c>
      <c r="B1186">
        <v>222</v>
      </c>
      <c r="C1186" s="1" t="s">
        <v>103</v>
      </c>
      <c r="D1186" s="11">
        <v>45226.945138888892</v>
      </c>
      <c r="E1186" t="s">
        <v>191</v>
      </c>
      <c r="F1186" t="s">
        <v>49</v>
      </c>
      <c r="G1186">
        <v>6391</v>
      </c>
      <c r="H1186" s="5" t="s">
        <v>103</v>
      </c>
      <c r="I1186" s="15">
        <v>45226</v>
      </c>
      <c r="J1186" s="15" t="s">
        <v>295</v>
      </c>
      <c r="K1186" s="6">
        <v>0.44513888888888886</v>
      </c>
      <c r="L1186" t="s">
        <v>146</v>
      </c>
      <c r="M1186">
        <v>100000</v>
      </c>
      <c r="N1186" t="s">
        <v>222</v>
      </c>
      <c r="O1186" t="s">
        <v>151</v>
      </c>
      <c r="P1186">
        <v>37</v>
      </c>
      <c r="Q1186" t="s">
        <v>154</v>
      </c>
    </row>
    <row r="1187" spans="1:17" x14ac:dyDescent="0.2">
      <c r="A1187">
        <v>786170</v>
      </c>
      <c r="B1187">
        <v>1676</v>
      </c>
      <c r="C1187" s="1" t="s">
        <v>104</v>
      </c>
      <c r="D1187" s="11">
        <v>45182.030555555553</v>
      </c>
      <c r="E1187" t="s">
        <v>98</v>
      </c>
      <c r="F1187" t="s">
        <v>5</v>
      </c>
      <c r="G1187">
        <v>5008</v>
      </c>
      <c r="H1187" s="5" t="s">
        <v>104</v>
      </c>
      <c r="I1187" s="15">
        <v>45182</v>
      </c>
      <c r="J1187" s="15" t="s">
        <v>234</v>
      </c>
      <c r="K1187" s="6">
        <v>0.53055555555555556</v>
      </c>
      <c r="L1187" t="s">
        <v>143</v>
      </c>
      <c r="M1187">
        <v>200000</v>
      </c>
      <c r="N1187" t="s">
        <v>198</v>
      </c>
      <c r="O1187" t="s">
        <v>151</v>
      </c>
      <c r="P1187">
        <v>25</v>
      </c>
      <c r="Q1187" t="s">
        <v>157</v>
      </c>
    </row>
    <row r="1188" spans="1:17" x14ac:dyDescent="0.2">
      <c r="A1188">
        <v>787058</v>
      </c>
      <c r="B1188">
        <v>1587</v>
      </c>
      <c r="C1188" s="1" t="s">
        <v>99</v>
      </c>
      <c r="D1188" s="11">
        <v>45063.036805555559</v>
      </c>
      <c r="E1188" t="s">
        <v>97</v>
      </c>
      <c r="F1188" t="s">
        <v>7</v>
      </c>
      <c r="G1188">
        <v>7663</v>
      </c>
      <c r="H1188" s="5" t="s">
        <v>99</v>
      </c>
      <c r="I1188" s="15">
        <v>45063</v>
      </c>
      <c r="J1188" s="15" t="s">
        <v>233</v>
      </c>
      <c r="K1188" s="6">
        <v>0.53680555555555554</v>
      </c>
      <c r="L1188" t="s">
        <v>144</v>
      </c>
      <c r="M1188">
        <v>150000</v>
      </c>
      <c r="N1188" t="s">
        <v>200</v>
      </c>
      <c r="O1188" t="s">
        <v>151</v>
      </c>
      <c r="P1188">
        <v>41</v>
      </c>
      <c r="Q1188" t="s">
        <v>157</v>
      </c>
    </row>
    <row r="1189" spans="1:17" x14ac:dyDescent="0.2">
      <c r="A1189">
        <v>787848</v>
      </c>
      <c r="B1189">
        <v>1855</v>
      </c>
      <c r="C1189" s="1" t="s">
        <v>108</v>
      </c>
      <c r="D1189" s="11">
        <v>45091.997916666667</v>
      </c>
      <c r="E1189" t="s">
        <v>191</v>
      </c>
      <c r="F1189" t="s">
        <v>27</v>
      </c>
      <c r="G1189">
        <v>7298</v>
      </c>
      <c r="H1189" s="5" t="s">
        <v>108</v>
      </c>
      <c r="I1189" s="15">
        <v>45091</v>
      </c>
      <c r="J1189" s="15" t="s">
        <v>233</v>
      </c>
      <c r="K1189" s="6">
        <v>0.49791666666666667</v>
      </c>
      <c r="L1189" t="s">
        <v>142</v>
      </c>
      <c r="M1189">
        <v>1000000</v>
      </c>
      <c r="N1189" t="s">
        <v>209</v>
      </c>
      <c r="O1189" t="s">
        <v>152</v>
      </c>
      <c r="P1189">
        <v>44</v>
      </c>
      <c r="Q1189" t="s">
        <v>157</v>
      </c>
    </row>
    <row r="1190" spans="1:17" x14ac:dyDescent="0.2">
      <c r="A1190">
        <v>788037</v>
      </c>
      <c r="B1190">
        <v>284</v>
      </c>
      <c r="C1190" s="1" t="s">
        <v>99</v>
      </c>
      <c r="D1190" s="11">
        <v>45066.025000000001</v>
      </c>
      <c r="E1190" t="s">
        <v>191</v>
      </c>
      <c r="F1190" t="s">
        <v>52</v>
      </c>
      <c r="G1190">
        <v>4007</v>
      </c>
      <c r="H1190" s="5" t="s">
        <v>99</v>
      </c>
      <c r="I1190" s="15">
        <v>45066</v>
      </c>
      <c r="J1190" s="15" t="s">
        <v>233</v>
      </c>
      <c r="K1190" s="6">
        <v>0.52500000000000002</v>
      </c>
      <c r="L1190" t="s">
        <v>143</v>
      </c>
      <c r="M1190">
        <v>100000</v>
      </c>
      <c r="N1190" t="s">
        <v>206</v>
      </c>
      <c r="O1190" t="s">
        <v>151</v>
      </c>
      <c r="P1190">
        <v>82</v>
      </c>
      <c r="Q1190" t="s">
        <v>154</v>
      </c>
    </row>
    <row r="1191" spans="1:17" x14ac:dyDescent="0.2">
      <c r="A1191">
        <v>788243</v>
      </c>
      <c r="B1191">
        <v>1856</v>
      </c>
      <c r="C1191" s="1" t="s">
        <v>99</v>
      </c>
      <c r="D1191" s="11">
        <v>45218.008333333331</v>
      </c>
      <c r="E1191" t="s">
        <v>97</v>
      </c>
      <c r="F1191" t="s">
        <v>23</v>
      </c>
      <c r="G1191">
        <v>1117</v>
      </c>
      <c r="H1191" s="5" t="s">
        <v>99</v>
      </c>
      <c r="I1191" s="15">
        <v>45218</v>
      </c>
      <c r="J1191" s="15" t="s">
        <v>295</v>
      </c>
      <c r="K1191" s="6">
        <v>0.5083333333333333</v>
      </c>
      <c r="L1191" t="s">
        <v>142</v>
      </c>
      <c r="M1191">
        <v>150000</v>
      </c>
      <c r="N1191" t="s">
        <v>213</v>
      </c>
      <c r="O1191" t="s">
        <v>152</v>
      </c>
      <c r="P1191">
        <v>78</v>
      </c>
      <c r="Q1191" t="s">
        <v>157</v>
      </c>
    </row>
    <row r="1192" spans="1:17" x14ac:dyDescent="0.2">
      <c r="A1192">
        <v>788263</v>
      </c>
      <c r="B1192">
        <v>759</v>
      </c>
      <c r="C1192" s="1" t="s">
        <v>99</v>
      </c>
      <c r="D1192" s="11">
        <v>44934.044444444444</v>
      </c>
      <c r="E1192" t="s">
        <v>97</v>
      </c>
      <c r="F1192" t="s">
        <v>70</v>
      </c>
      <c r="G1192">
        <v>8883</v>
      </c>
      <c r="H1192" s="5" t="s">
        <v>99</v>
      </c>
      <c r="I1192" s="15">
        <v>44934</v>
      </c>
      <c r="J1192" s="15" t="s">
        <v>232</v>
      </c>
      <c r="K1192" s="6">
        <v>4.4444444444444446E-2</v>
      </c>
      <c r="L1192" t="s">
        <v>143</v>
      </c>
      <c r="M1192">
        <v>100000</v>
      </c>
      <c r="N1192" t="s">
        <v>205</v>
      </c>
      <c r="O1192" t="s">
        <v>151</v>
      </c>
      <c r="P1192">
        <v>19</v>
      </c>
      <c r="Q1192" t="s">
        <v>155</v>
      </c>
    </row>
    <row r="1193" spans="1:17" x14ac:dyDescent="0.2">
      <c r="A1193">
        <v>788290</v>
      </c>
      <c r="B1193">
        <v>29</v>
      </c>
      <c r="C1193" s="1" t="s">
        <v>105</v>
      </c>
      <c r="D1193" s="11">
        <v>45167.049305555556</v>
      </c>
      <c r="E1193" t="s">
        <v>97</v>
      </c>
      <c r="F1193" t="s">
        <v>71</v>
      </c>
      <c r="G1193">
        <v>9872</v>
      </c>
      <c r="H1193" s="5" t="s">
        <v>105</v>
      </c>
      <c r="I1193" s="15">
        <v>45167</v>
      </c>
      <c r="J1193" s="15" t="s">
        <v>234</v>
      </c>
      <c r="K1193" s="6">
        <v>4.9305555555555554E-2</v>
      </c>
      <c r="L1193" t="s">
        <v>145</v>
      </c>
      <c r="M1193">
        <v>150000</v>
      </c>
      <c r="N1193" t="s">
        <v>226</v>
      </c>
      <c r="O1193" t="s">
        <v>152</v>
      </c>
      <c r="P1193">
        <v>19</v>
      </c>
      <c r="Q1193" t="s">
        <v>154</v>
      </c>
    </row>
    <row r="1194" spans="1:17" x14ac:dyDescent="0.2">
      <c r="A1194">
        <v>789675</v>
      </c>
      <c r="B1194">
        <v>817</v>
      </c>
      <c r="C1194" s="1" t="s">
        <v>99</v>
      </c>
      <c r="D1194" s="11">
        <v>45211.010416666664</v>
      </c>
      <c r="E1194" t="s">
        <v>98</v>
      </c>
      <c r="F1194" t="s">
        <v>43</v>
      </c>
      <c r="G1194">
        <v>627</v>
      </c>
      <c r="H1194" s="5" t="s">
        <v>99</v>
      </c>
      <c r="I1194" s="15">
        <v>45211</v>
      </c>
      <c r="J1194" s="15" t="s">
        <v>295</v>
      </c>
      <c r="K1194" s="6">
        <v>0.51041666666666663</v>
      </c>
      <c r="L1194" t="s">
        <v>145</v>
      </c>
      <c r="M1194">
        <v>1000000</v>
      </c>
      <c r="N1194" t="s">
        <v>203</v>
      </c>
      <c r="O1194" t="s">
        <v>151</v>
      </c>
      <c r="P1194">
        <v>39</v>
      </c>
      <c r="Q1194" t="s">
        <v>155</v>
      </c>
    </row>
    <row r="1195" spans="1:17" x14ac:dyDescent="0.2">
      <c r="A1195">
        <v>794197</v>
      </c>
      <c r="B1195">
        <v>313</v>
      </c>
      <c r="C1195" s="1" t="s">
        <v>113</v>
      </c>
      <c r="D1195" s="11">
        <v>45170.990972222222</v>
      </c>
      <c r="E1195" t="s">
        <v>96</v>
      </c>
      <c r="F1195" t="s">
        <v>92</v>
      </c>
      <c r="G1195">
        <v>4130</v>
      </c>
      <c r="H1195" s="5" t="s">
        <v>113</v>
      </c>
      <c r="I1195" s="15">
        <v>45170</v>
      </c>
      <c r="J1195" s="15" t="s">
        <v>234</v>
      </c>
      <c r="K1195" s="6">
        <v>0.4909722222222222</v>
      </c>
      <c r="L1195" t="s">
        <v>145</v>
      </c>
      <c r="M1195">
        <v>30000</v>
      </c>
      <c r="N1195" t="s">
        <v>226</v>
      </c>
      <c r="O1195" t="s">
        <v>152</v>
      </c>
      <c r="P1195">
        <v>61</v>
      </c>
      <c r="Q1195" t="s">
        <v>154</v>
      </c>
    </row>
    <row r="1196" spans="1:17" x14ac:dyDescent="0.2">
      <c r="A1196">
        <v>794297</v>
      </c>
      <c r="B1196">
        <v>221</v>
      </c>
      <c r="C1196" s="1" t="s">
        <v>101</v>
      </c>
      <c r="D1196" s="11">
        <v>45111.034722222219</v>
      </c>
      <c r="E1196" t="s">
        <v>96</v>
      </c>
      <c r="F1196" t="s">
        <v>8</v>
      </c>
      <c r="G1196">
        <v>7199</v>
      </c>
      <c r="H1196" s="5" t="s">
        <v>101</v>
      </c>
      <c r="I1196" s="15">
        <v>45111</v>
      </c>
      <c r="J1196" s="15" t="s">
        <v>234</v>
      </c>
      <c r="K1196" s="6">
        <v>0.53472222222222221</v>
      </c>
      <c r="L1196" t="s">
        <v>142</v>
      </c>
      <c r="M1196">
        <v>200000</v>
      </c>
      <c r="N1196" t="s">
        <v>201</v>
      </c>
      <c r="O1196" t="s">
        <v>151</v>
      </c>
      <c r="P1196">
        <v>64</v>
      </c>
      <c r="Q1196" t="s">
        <v>154</v>
      </c>
    </row>
    <row r="1197" spans="1:17" x14ac:dyDescent="0.2">
      <c r="A1197">
        <v>794975</v>
      </c>
      <c r="B1197">
        <v>738</v>
      </c>
      <c r="C1197" s="1" t="s">
        <v>100</v>
      </c>
      <c r="D1197" s="11">
        <v>44979.058333333334</v>
      </c>
      <c r="E1197" t="s">
        <v>97</v>
      </c>
      <c r="F1197" t="s">
        <v>46</v>
      </c>
      <c r="G1197">
        <v>1230</v>
      </c>
      <c r="H1197" s="5" t="s">
        <v>100</v>
      </c>
      <c r="I1197" s="15">
        <v>44979</v>
      </c>
      <c r="J1197" s="15" t="s">
        <v>232</v>
      </c>
      <c r="K1197" s="6">
        <v>5.8333333333333334E-2</v>
      </c>
      <c r="L1197" t="s">
        <v>142</v>
      </c>
      <c r="M1197">
        <v>200000</v>
      </c>
      <c r="N1197" t="s">
        <v>211</v>
      </c>
      <c r="O1197" t="s">
        <v>151</v>
      </c>
      <c r="P1197">
        <v>25</v>
      </c>
      <c r="Q1197" t="s">
        <v>155</v>
      </c>
    </row>
    <row r="1198" spans="1:17" x14ac:dyDescent="0.2">
      <c r="A1198">
        <v>795216</v>
      </c>
      <c r="B1198">
        <v>1588</v>
      </c>
      <c r="C1198" s="1" t="s">
        <v>100</v>
      </c>
      <c r="D1198" s="11">
        <v>45268.006249999999</v>
      </c>
      <c r="E1198" t="s">
        <v>191</v>
      </c>
      <c r="F1198" t="s">
        <v>10</v>
      </c>
      <c r="G1198">
        <v>1033</v>
      </c>
      <c r="H1198" s="5" t="s">
        <v>100</v>
      </c>
      <c r="I1198" s="15">
        <v>45268</v>
      </c>
      <c r="J1198" s="15" t="s">
        <v>295</v>
      </c>
      <c r="K1198" s="6">
        <v>0.50624999999999998</v>
      </c>
      <c r="L1198" t="s">
        <v>145</v>
      </c>
      <c r="M1198">
        <v>150000</v>
      </c>
      <c r="N1198" t="s">
        <v>203</v>
      </c>
      <c r="O1198" t="s">
        <v>151</v>
      </c>
      <c r="P1198">
        <v>74</v>
      </c>
      <c r="Q1198" t="s">
        <v>157</v>
      </c>
    </row>
    <row r="1199" spans="1:17" x14ac:dyDescent="0.2">
      <c r="A1199">
        <v>795276</v>
      </c>
      <c r="B1199">
        <v>836</v>
      </c>
      <c r="C1199" s="1" t="s">
        <v>113</v>
      </c>
      <c r="D1199" s="11">
        <v>45034.954861111109</v>
      </c>
      <c r="E1199" t="s">
        <v>191</v>
      </c>
      <c r="F1199" t="s">
        <v>72</v>
      </c>
      <c r="G1199">
        <v>1032</v>
      </c>
      <c r="H1199" s="5" t="s">
        <v>113</v>
      </c>
      <c r="I1199" s="15">
        <v>45034</v>
      </c>
      <c r="J1199" s="15" t="s">
        <v>233</v>
      </c>
      <c r="K1199" s="6">
        <v>0.4548611111111111</v>
      </c>
      <c r="L1199" t="s">
        <v>143</v>
      </c>
      <c r="M1199">
        <v>150000</v>
      </c>
      <c r="N1199" t="s">
        <v>223</v>
      </c>
      <c r="O1199" t="s">
        <v>151</v>
      </c>
      <c r="P1199">
        <v>70</v>
      </c>
      <c r="Q1199" t="s">
        <v>155</v>
      </c>
    </row>
    <row r="1200" spans="1:17" x14ac:dyDescent="0.2">
      <c r="A1200">
        <v>797415</v>
      </c>
      <c r="B1200">
        <v>842</v>
      </c>
      <c r="C1200" s="1" t="s">
        <v>100</v>
      </c>
      <c r="D1200" s="11">
        <v>45269</v>
      </c>
      <c r="E1200" t="s">
        <v>98</v>
      </c>
      <c r="F1200" t="s">
        <v>13</v>
      </c>
      <c r="G1200">
        <v>7700</v>
      </c>
      <c r="H1200" s="5" t="s">
        <v>100</v>
      </c>
      <c r="I1200" s="15">
        <v>45269</v>
      </c>
      <c r="J1200" s="15" t="s">
        <v>295</v>
      </c>
      <c r="K1200" s="6">
        <v>0.5</v>
      </c>
      <c r="L1200" t="s">
        <v>143</v>
      </c>
      <c r="M1200">
        <v>150000</v>
      </c>
      <c r="N1200" t="s">
        <v>206</v>
      </c>
      <c r="O1200" t="s">
        <v>151</v>
      </c>
      <c r="P1200">
        <v>41</v>
      </c>
      <c r="Q1200" t="s">
        <v>155</v>
      </c>
    </row>
    <row r="1201" spans="1:17" x14ac:dyDescent="0.2">
      <c r="A1201">
        <v>797735</v>
      </c>
      <c r="B1201">
        <v>1192</v>
      </c>
      <c r="C1201" s="1" t="s">
        <v>99</v>
      </c>
      <c r="D1201" s="11">
        <v>45276.048611111109</v>
      </c>
      <c r="E1201" t="s">
        <v>98</v>
      </c>
      <c r="F1201" t="s">
        <v>10</v>
      </c>
      <c r="G1201">
        <v>322</v>
      </c>
      <c r="H1201" s="5" t="s">
        <v>99</v>
      </c>
      <c r="I1201" s="15">
        <v>45276</v>
      </c>
      <c r="J1201" s="15" t="s">
        <v>295</v>
      </c>
      <c r="K1201" s="6">
        <v>4.8611111111111112E-2</v>
      </c>
      <c r="L1201" t="s">
        <v>145</v>
      </c>
      <c r="M1201">
        <v>150000</v>
      </c>
      <c r="N1201" t="s">
        <v>203</v>
      </c>
      <c r="O1201" t="s">
        <v>152</v>
      </c>
      <c r="P1201">
        <v>87</v>
      </c>
      <c r="Q1201" t="s">
        <v>156</v>
      </c>
    </row>
    <row r="1202" spans="1:17" x14ac:dyDescent="0.2">
      <c r="A1202">
        <v>797824</v>
      </c>
      <c r="B1202">
        <v>931</v>
      </c>
      <c r="C1202" s="1" t="s">
        <v>99</v>
      </c>
      <c r="D1202" s="11">
        <v>45164.984722222223</v>
      </c>
      <c r="E1202" t="s">
        <v>96</v>
      </c>
      <c r="F1202" t="s">
        <v>15</v>
      </c>
      <c r="G1202">
        <v>7354</v>
      </c>
      <c r="H1202" s="5" t="s">
        <v>99</v>
      </c>
      <c r="I1202" s="15">
        <v>45164</v>
      </c>
      <c r="J1202" s="15" t="s">
        <v>234</v>
      </c>
      <c r="K1202" s="6">
        <v>0.48472222222222222</v>
      </c>
      <c r="L1202" t="s">
        <v>143</v>
      </c>
      <c r="M1202">
        <v>150000</v>
      </c>
      <c r="N1202" t="s">
        <v>198</v>
      </c>
      <c r="O1202" t="s">
        <v>152</v>
      </c>
      <c r="P1202">
        <v>58</v>
      </c>
      <c r="Q1202" t="s">
        <v>155</v>
      </c>
    </row>
    <row r="1203" spans="1:17" x14ac:dyDescent="0.2">
      <c r="A1203">
        <v>798176</v>
      </c>
      <c r="B1203">
        <v>1070</v>
      </c>
      <c r="C1203" s="1" t="s">
        <v>106</v>
      </c>
      <c r="D1203" s="11">
        <v>45283.052083333336</v>
      </c>
      <c r="E1203" t="s">
        <v>191</v>
      </c>
      <c r="F1203" t="s">
        <v>13</v>
      </c>
      <c r="G1203">
        <v>311</v>
      </c>
      <c r="H1203" s="5" t="s">
        <v>106</v>
      </c>
      <c r="I1203" s="15">
        <v>45283</v>
      </c>
      <c r="J1203" s="15" t="s">
        <v>295</v>
      </c>
      <c r="K1203" s="6">
        <v>5.2083333333333336E-2</v>
      </c>
      <c r="L1203" t="s">
        <v>143</v>
      </c>
      <c r="M1203">
        <v>150000</v>
      </c>
      <c r="N1203" t="s">
        <v>206</v>
      </c>
      <c r="O1203" t="s">
        <v>152</v>
      </c>
      <c r="P1203">
        <v>60</v>
      </c>
      <c r="Q1203" t="s">
        <v>156</v>
      </c>
    </row>
    <row r="1204" spans="1:17" x14ac:dyDescent="0.2">
      <c r="A1204">
        <v>799277</v>
      </c>
      <c r="B1204">
        <v>1432</v>
      </c>
      <c r="C1204" s="1" t="s">
        <v>99</v>
      </c>
      <c r="D1204" s="11">
        <v>45258.979861111111</v>
      </c>
      <c r="E1204" t="s">
        <v>97</v>
      </c>
      <c r="F1204" t="s">
        <v>62</v>
      </c>
      <c r="G1204">
        <v>9518</v>
      </c>
      <c r="H1204" s="5" t="s">
        <v>99</v>
      </c>
      <c r="I1204" s="15">
        <v>45258</v>
      </c>
      <c r="J1204" s="15" t="s">
        <v>295</v>
      </c>
      <c r="K1204" s="6">
        <v>0.47986111111111113</v>
      </c>
      <c r="L1204" t="s">
        <v>145</v>
      </c>
      <c r="M1204">
        <v>100000</v>
      </c>
      <c r="N1204" t="s">
        <v>217</v>
      </c>
      <c r="O1204" t="s">
        <v>152</v>
      </c>
      <c r="P1204">
        <v>30</v>
      </c>
      <c r="Q1204" t="s">
        <v>156</v>
      </c>
    </row>
    <row r="1205" spans="1:17" x14ac:dyDescent="0.2">
      <c r="A1205">
        <v>800145</v>
      </c>
      <c r="B1205">
        <v>653</v>
      </c>
      <c r="C1205" s="1" t="s">
        <v>100</v>
      </c>
      <c r="D1205" s="11">
        <v>45017.03402777778</v>
      </c>
      <c r="E1205" t="s">
        <v>192</v>
      </c>
      <c r="F1205" t="s">
        <v>75</v>
      </c>
      <c r="G1205">
        <v>2086</v>
      </c>
      <c r="H1205" s="5" t="s">
        <v>100</v>
      </c>
      <c r="I1205" s="15">
        <v>45017</v>
      </c>
      <c r="J1205" s="15" t="s">
        <v>233</v>
      </c>
      <c r="K1205" s="6">
        <v>0.53402777777777777</v>
      </c>
      <c r="L1205" t="s">
        <v>143</v>
      </c>
      <c r="M1205">
        <v>50000</v>
      </c>
      <c r="N1205" t="s">
        <v>205</v>
      </c>
      <c r="O1205" t="s">
        <v>152</v>
      </c>
      <c r="P1205">
        <v>68</v>
      </c>
      <c r="Q1205" t="s">
        <v>155</v>
      </c>
    </row>
    <row r="1206" spans="1:17" x14ac:dyDescent="0.2">
      <c r="A1206">
        <v>800248</v>
      </c>
      <c r="B1206">
        <v>1360</v>
      </c>
      <c r="C1206" s="1" t="s">
        <v>105</v>
      </c>
      <c r="D1206" s="11">
        <v>45130.056250000001</v>
      </c>
      <c r="E1206" t="s">
        <v>98</v>
      </c>
      <c r="F1206" t="s">
        <v>66</v>
      </c>
      <c r="G1206">
        <v>4265</v>
      </c>
      <c r="H1206" s="5" t="s">
        <v>105</v>
      </c>
      <c r="I1206" s="15">
        <v>45130</v>
      </c>
      <c r="J1206" s="15" t="s">
        <v>234</v>
      </c>
      <c r="K1206" s="6">
        <v>5.6250000000000001E-2</v>
      </c>
      <c r="L1206" t="s">
        <v>144</v>
      </c>
      <c r="M1206">
        <v>150000</v>
      </c>
      <c r="N1206" t="s">
        <v>224</v>
      </c>
      <c r="O1206" t="s">
        <v>152</v>
      </c>
      <c r="P1206">
        <v>40</v>
      </c>
      <c r="Q1206" t="s">
        <v>156</v>
      </c>
    </row>
    <row r="1207" spans="1:17" x14ac:dyDescent="0.2">
      <c r="A1207">
        <v>800421</v>
      </c>
      <c r="B1207">
        <v>736</v>
      </c>
      <c r="C1207" s="1" t="s">
        <v>99</v>
      </c>
      <c r="D1207" s="11">
        <v>45133.083333333336</v>
      </c>
      <c r="E1207" t="s">
        <v>97</v>
      </c>
      <c r="F1207" t="s">
        <v>20</v>
      </c>
      <c r="G1207">
        <v>3687</v>
      </c>
      <c r="H1207" s="5" t="s">
        <v>99</v>
      </c>
      <c r="I1207" s="15">
        <v>45133</v>
      </c>
      <c r="J1207" s="15" t="s">
        <v>234</v>
      </c>
      <c r="K1207" s="6">
        <v>8.3333333333333329E-2</v>
      </c>
      <c r="L1207" t="s">
        <v>146</v>
      </c>
      <c r="M1207">
        <v>150000</v>
      </c>
      <c r="N1207" t="s">
        <v>212</v>
      </c>
      <c r="O1207" t="s">
        <v>151</v>
      </c>
      <c r="P1207">
        <v>50</v>
      </c>
      <c r="Q1207" t="s">
        <v>155</v>
      </c>
    </row>
    <row r="1208" spans="1:17" x14ac:dyDescent="0.2">
      <c r="A1208">
        <v>801394</v>
      </c>
      <c r="B1208">
        <v>1922</v>
      </c>
      <c r="C1208" s="1" t="s">
        <v>105</v>
      </c>
      <c r="D1208" s="11">
        <v>45017.073611111111</v>
      </c>
      <c r="E1208" t="s">
        <v>192</v>
      </c>
      <c r="F1208" t="s">
        <v>72</v>
      </c>
      <c r="G1208">
        <v>5526</v>
      </c>
      <c r="H1208" s="5" t="s">
        <v>105</v>
      </c>
      <c r="I1208" s="15">
        <v>45017</v>
      </c>
      <c r="J1208" s="15" t="s">
        <v>233</v>
      </c>
      <c r="K1208" s="6">
        <v>7.3611111111111113E-2</v>
      </c>
      <c r="L1208" t="s">
        <v>143</v>
      </c>
      <c r="M1208">
        <v>150000</v>
      </c>
      <c r="N1208" t="s">
        <v>223</v>
      </c>
      <c r="O1208" t="s">
        <v>152</v>
      </c>
      <c r="P1208">
        <v>59</v>
      </c>
      <c r="Q1208" t="s">
        <v>157</v>
      </c>
    </row>
    <row r="1209" spans="1:17" x14ac:dyDescent="0.2">
      <c r="A1209">
        <v>802352</v>
      </c>
      <c r="B1209">
        <v>1838</v>
      </c>
      <c r="C1209" s="1" t="s">
        <v>99</v>
      </c>
      <c r="D1209" s="11">
        <v>45086.043749999997</v>
      </c>
      <c r="E1209" t="s">
        <v>98</v>
      </c>
      <c r="F1209" t="s">
        <v>83</v>
      </c>
      <c r="G1209">
        <v>7995</v>
      </c>
      <c r="H1209" s="5" t="s">
        <v>99</v>
      </c>
      <c r="I1209" s="15">
        <v>45086</v>
      </c>
      <c r="J1209" s="15" t="s">
        <v>233</v>
      </c>
      <c r="K1209" s="6">
        <v>4.3749999999999997E-2</v>
      </c>
      <c r="L1209" t="s">
        <v>143</v>
      </c>
      <c r="M1209">
        <v>200000</v>
      </c>
      <c r="N1209" t="s">
        <v>206</v>
      </c>
      <c r="O1209" t="s">
        <v>152</v>
      </c>
      <c r="P1209">
        <v>48</v>
      </c>
      <c r="Q1209" t="s">
        <v>157</v>
      </c>
    </row>
    <row r="1210" spans="1:17" x14ac:dyDescent="0.2">
      <c r="A1210">
        <v>804031</v>
      </c>
      <c r="B1210">
        <v>1267</v>
      </c>
      <c r="C1210" s="1" t="s">
        <v>107</v>
      </c>
      <c r="D1210" s="11">
        <v>44928.054861111108</v>
      </c>
      <c r="E1210" t="s">
        <v>96</v>
      </c>
      <c r="F1210" t="s">
        <v>70</v>
      </c>
      <c r="G1210">
        <v>9935</v>
      </c>
      <c r="H1210" s="5" t="s">
        <v>107</v>
      </c>
      <c r="I1210" s="15">
        <v>44928</v>
      </c>
      <c r="J1210" s="15" t="s">
        <v>232</v>
      </c>
      <c r="K1210" s="6">
        <v>5.486111111111111E-2</v>
      </c>
      <c r="L1210" t="s">
        <v>143</v>
      </c>
      <c r="M1210">
        <v>100000</v>
      </c>
      <c r="N1210" t="s">
        <v>205</v>
      </c>
      <c r="O1210" t="s">
        <v>151</v>
      </c>
      <c r="P1210">
        <v>62</v>
      </c>
      <c r="Q1210" t="s">
        <v>156</v>
      </c>
    </row>
    <row r="1211" spans="1:17" x14ac:dyDescent="0.2">
      <c r="A1211">
        <v>804076</v>
      </c>
      <c r="B1211">
        <v>279</v>
      </c>
      <c r="C1211" s="1" t="s">
        <v>113</v>
      </c>
      <c r="D1211" s="11">
        <v>45151.009027777778</v>
      </c>
      <c r="E1211" t="s">
        <v>96</v>
      </c>
      <c r="F1211" t="s">
        <v>14</v>
      </c>
      <c r="G1211">
        <v>4684</v>
      </c>
      <c r="H1211" s="5" t="s">
        <v>113</v>
      </c>
      <c r="I1211" s="15">
        <v>45151</v>
      </c>
      <c r="J1211" s="15" t="s">
        <v>234</v>
      </c>
      <c r="K1211" s="6">
        <v>0.50902777777777775</v>
      </c>
      <c r="L1211" t="s">
        <v>142</v>
      </c>
      <c r="M1211">
        <v>250000</v>
      </c>
      <c r="N1211" t="s">
        <v>207</v>
      </c>
      <c r="O1211" t="s">
        <v>151</v>
      </c>
      <c r="P1211">
        <v>80</v>
      </c>
      <c r="Q1211" t="s">
        <v>154</v>
      </c>
    </row>
    <row r="1212" spans="1:17" x14ac:dyDescent="0.2">
      <c r="A1212">
        <v>804356</v>
      </c>
      <c r="B1212">
        <v>1586</v>
      </c>
      <c r="C1212" s="1" t="s">
        <v>100</v>
      </c>
      <c r="D1212" s="11">
        <v>45174.088194444441</v>
      </c>
      <c r="E1212" t="s">
        <v>191</v>
      </c>
      <c r="F1212" t="s">
        <v>27</v>
      </c>
      <c r="G1212">
        <v>9054</v>
      </c>
      <c r="H1212" s="5" t="s">
        <v>100</v>
      </c>
      <c r="I1212" s="15">
        <v>45174</v>
      </c>
      <c r="J1212" s="15" t="s">
        <v>234</v>
      </c>
      <c r="K1212" s="6">
        <v>8.819444444444445E-2</v>
      </c>
      <c r="L1212" t="s">
        <v>142</v>
      </c>
      <c r="M1212">
        <v>1000000</v>
      </c>
      <c r="N1212" t="s">
        <v>209</v>
      </c>
      <c r="O1212" t="s">
        <v>152</v>
      </c>
      <c r="P1212">
        <v>42</v>
      </c>
      <c r="Q1212" t="s">
        <v>157</v>
      </c>
    </row>
    <row r="1213" spans="1:17" x14ac:dyDescent="0.2">
      <c r="A1213">
        <v>805121</v>
      </c>
      <c r="B1213">
        <v>704</v>
      </c>
      <c r="C1213" s="1" t="s">
        <v>99</v>
      </c>
      <c r="D1213" s="11">
        <v>45174.073611111111</v>
      </c>
      <c r="E1213" t="s">
        <v>98</v>
      </c>
      <c r="F1213" t="s">
        <v>77</v>
      </c>
      <c r="G1213">
        <v>6764</v>
      </c>
      <c r="H1213" s="5" t="s">
        <v>99</v>
      </c>
      <c r="I1213" s="15">
        <v>45174</v>
      </c>
      <c r="J1213" s="15" t="s">
        <v>234</v>
      </c>
      <c r="K1213" s="6">
        <v>7.3611111111111113E-2</v>
      </c>
      <c r="L1213" t="s">
        <v>146</v>
      </c>
      <c r="M1213">
        <v>100000</v>
      </c>
      <c r="N1213" t="s">
        <v>222</v>
      </c>
      <c r="O1213" t="s">
        <v>152</v>
      </c>
      <c r="P1213">
        <v>76</v>
      </c>
      <c r="Q1213" t="s">
        <v>155</v>
      </c>
    </row>
    <row r="1214" spans="1:17" x14ac:dyDescent="0.2">
      <c r="A1214">
        <v>805282</v>
      </c>
      <c r="B1214">
        <v>935</v>
      </c>
      <c r="C1214" s="1" t="s">
        <v>100</v>
      </c>
      <c r="D1214" s="11">
        <v>45148.015277777777</v>
      </c>
      <c r="E1214" t="s">
        <v>191</v>
      </c>
      <c r="F1214" t="s">
        <v>27</v>
      </c>
      <c r="G1214">
        <v>7748</v>
      </c>
      <c r="H1214" s="5" t="s">
        <v>100</v>
      </c>
      <c r="I1214" s="15">
        <v>45148</v>
      </c>
      <c r="J1214" s="15" t="s">
        <v>234</v>
      </c>
      <c r="K1214" s="6">
        <v>0.51527777777777772</v>
      </c>
      <c r="L1214" t="s">
        <v>142</v>
      </c>
      <c r="M1214">
        <v>1000000</v>
      </c>
      <c r="N1214" t="s">
        <v>209</v>
      </c>
      <c r="O1214" t="s">
        <v>151</v>
      </c>
      <c r="P1214">
        <v>38</v>
      </c>
      <c r="Q1214" t="s">
        <v>155</v>
      </c>
    </row>
    <row r="1215" spans="1:17" x14ac:dyDescent="0.2">
      <c r="A1215">
        <v>806906</v>
      </c>
      <c r="B1215">
        <v>1603</v>
      </c>
      <c r="C1215" s="1" t="s">
        <v>99</v>
      </c>
      <c r="D1215" s="11">
        <v>45058.972222222219</v>
      </c>
      <c r="E1215" t="s">
        <v>98</v>
      </c>
      <c r="F1215" t="s">
        <v>43</v>
      </c>
      <c r="G1215">
        <v>585</v>
      </c>
      <c r="H1215" s="5" t="s">
        <v>99</v>
      </c>
      <c r="I1215" s="15">
        <v>45058</v>
      </c>
      <c r="J1215" s="15" t="s">
        <v>233</v>
      </c>
      <c r="K1215" s="6">
        <v>0.47222222222222221</v>
      </c>
      <c r="L1215" t="s">
        <v>145</v>
      </c>
      <c r="M1215">
        <v>1000000</v>
      </c>
      <c r="N1215" t="s">
        <v>203</v>
      </c>
      <c r="O1215" t="s">
        <v>151</v>
      </c>
      <c r="P1215">
        <v>73</v>
      </c>
      <c r="Q1215" t="s">
        <v>157</v>
      </c>
    </row>
    <row r="1216" spans="1:17" x14ac:dyDescent="0.2">
      <c r="A1216">
        <v>807901</v>
      </c>
      <c r="B1216">
        <v>768</v>
      </c>
      <c r="C1216" s="1" t="s">
        <v>99</v>
      </c>
      <c r="D1216" s="11">
        <v>44971.067361111112</v>
      </c>
      <c r="E1216" t="s">
        <v>96</v>
      </c>
      <c r="F1216" t="s">
        <v>26</v>
      </c>
      <c r="G1216">
        <v>1538</v>
      </c>
      <c r="H1216" s="5" t="s">
        <v>99</v>
      </c>
      <c r="I1216" s="15">
        <v>44971</v>
      </c>
      <c r="J1216" s="15" t="s">
        <v>232</v>
      </c>
      <c r="K1216" s="6">
        <v>6.7361111111111108E-2</v>
      </c>
      <c r="L1216" t="s">
        <v>145</v>
      </c>
      <c r="M1216">
        <v>100000</v>
      </c>
      <c r="N1216" t="s">
        <v>210</v>
      </c>
      <c r="O1216" t="s">
        <v>152</v>
      </c>
      <c r="P1216">
        <v>38</v>
      </c>
      <c r="Q1216" t="s">
        <v>155</v>
      </c>
    </row>
    <row r="1217" spans="1:17" x14ac:dyDescent="0.2">
      <c r="A1217">
        <v>808278</v>
      </c>
      <c r="B1217">
        <v>1796</v>
      </c>
      <c r="C1217" s="1" t="s">
        <v>108</v>
      </c>
      <c r="D1217" s="11">
        <v>45194.98541666667</v>
      </c>
      <c r="E1217" t="s">
        <v>98</v>
      </c>
      <c r="F1217" t="s">
        <v>90</v>
      </c>
      <c r="G1217">
        <v>1968</v>
      </c>
      <c r="H1217" s="5" t="s">
        <v>108</v>
      </c>
      <c r="I1217" s="15">
        <v>45194</v>
      </c>
      <c r="J1217" s="15" t="s">
        <v>234</v>
      </c>
      <c r="K1217" s="6">
        <v>0.48541666666666666</v>
      </c>
      <c r="L1217" t="s">
        <v>142</v>
      </c>
      <c r="M1217">
        <v>150000</v>
      </c>
      <c r="N1217" t="s">
        <v>208</v>
      </c>
      <c r="O1217" t="s">
        <v>152</v>
      </c>
      <c r="P1217">
        <v>86</v>
      </c>
      <c r="Q1217" t="s">
        <v>157</v>
      </c>
    </row>
    <row r="1218" spans="1:17" x14ac:dyDescent="0.2">
      <c r="A1218">
        <v>808789</v>
      </c>
      <c r="B1218">
        <v>1538</v>
      </c>
      <c r="C1218" s="1" t="s">
        <v>99</v>
      </c>
      <c r="D1218" s="11">
        <v>45123.978472222225</v>
      </c>
      <c r="E1218" t="s">
        <v>191</v>
      </c>
      <c r="F1218" t="s">
        <v>23</v>
      </c>
      <c r="G1218">
        <v>5681</v>
      </c>
      <c r="H1218" s="5" t="s">
        <v>99</v>
      </c>
      <c r="I1218" s="15">
        <v>45123</v>
      </c>
      <c r="J1218" s="15" t="s">
        <v>234</v>
      </c>
      <c r="K1218" s="6">
        <v>0.47847222222222224</v>
      </c>
      <c r="L1218" t="s">
        <v>142</v>
      </c>
      <c r="M1218">
        <v>150000</v>
      </c>
      <c r="N1218" t="s">
        <v>213</v>
      </c>
      <c r="O1218" t="s">
        <v>152</v>
      </c>
      <c r="P1218">
        <v>21</v>
      </c>
      <c r="Q1218" t="s">
        <v>157</v>
      </c>
    </row>
    <row r="1219" spans="1:17" x14ac:dyDescent="0.2">
      <c r="A1219">
        <v>810114</v>
      </c>
      <c r="B1219">
        <v>62</v>
      </c>
      <c r="C1219" s="1" t="s">
        <v>99</v>
      </c>
      <c r="D1219" s="11">
        <v>45081.082638888889</v>
      </c>
      <c r="E1219" t="s">
        <v>97</v>
      </c>
      <c r="F1219" t="s">
        <v>95</v>
      </c>
      <c r="G1219">
        <v>2084</v>
      </c>
      <c r="H1219" s="5" t="s">
        <v>99</v>
      </c>
      <c r="I1219" s="15">
        <v>45081</v>
      </c>
      <c r="J1219" s="15" t="s">
        <v>233</v>
      </c>
      <c r="K1219" s="6">
        <v>8.2638888888888887E-2</v>
      </c>
      <c r="L1219" t="s">
        <v>143</v>
      </c>
      <c r="M1219">
        <v>30000</v>
      </c>
      <c r="N1219" t="s">
        <v>221</v>
      </c>
      <c r="O1219" t="s">
        <v>152</v>
      </c>
      <c r="P1219">
        <v>42</v>
      </c>
      <c r="Q1219" t="s">
        <v>154</v>
      </c>
    </row>
    <row r="1220" spans="1:17" x14ac:dyDescent="0.2">
      <c r="A1220">
        <v>812395</v>
      </c>
      <c r="B1220">
        <v>717</v>
      </c>
      <c r="C1220" s="1" t="s">
        <v>101</v>
      </c>
      <c r="D1220" s="11">
        <v>45139.974999999999</v>
      </c>
      <c r="E1220" t="s">
        <v>96</v>
      </c>
      <c r="F1220" t="s">
        <v>54</v>
      </c>
      <c r="G1220">
        <v>9421</v>
      </c>
      <c r="H1220" s="5" t="s">
        <v>101</v>
      </c>
      <c r="I1220" s="15">
        <v>45139</v>
      </c>
      <c r="J1220" s="15" t="s">
        <v>234</v>
      </c>
      <c r="K1220" s="6">
        <v>0.47499999999999998</v>
      </c>
      <c r="L1220" t="s">
        <v>144</v>
      </c>
      <c r="M1220">
        <v>100000</v>
      </c>
      <c r="N1220" t="s">
        <v>224</v>
      </c>
      <c r="O1220" t="s">
        <v>151</v>
      </c>
      <c r="P1220">
        <v>90</v>
      </c>
      <c r="Q1220" t="s">
        <v>155</v>
      </c>
    </row>
    <row r="1221" spans="1:17" x14ac:dyDescent="0.2">
      <c r="A1221">
        <v>812558</v>
      </c>
      <c r="B1221">
        <v>1160</v>
      </c>
      <c r="C1221" s="1" t="s">
        <v>101</v>
      </c>
      <c r="D1221" s="11">
        <v>45100.043749999997</v>
      </c>
      <c r="E1221" t="s">
        <v>97</v>
      </c>
      <c r="F1221" t="s">
        <v>20</v>
      </c>
      <c r="G1221">
        <v>4185</v>
      </c>
      <c r="H1221" s="5" t="s">
        <v>101</v>
      </c>
      <c r="I1221" s="15">
        <v>45100</v>
      </c>
      <c r="J1221" s="15" t="s">
        <v>233</v>
      </c>
      <c r="K1221" s="6">
        <v>4.3749999999999997E-2</v>
      </c>
      <c r="L1221" t="s">
        <v>146</v>
      </c>
      <c r="M1221">
        <v>150000</v>
      </c>
      <c r="N1221" t="s">
        <v>212</v>
      </c>
      <c r="O1221" t="s">
        <v>151</v>
      </c>
      <c r="P1221">
        <v>58</v>
      </c>
      <c r="Q1221" t="s">
        <v>156</v>
      </c>
    </row>
    <row r="1222" spans="1:17" x14ac:dyDescent="0.2">
      <c r="A1222">
        <v>812612</v>
      </c>
      <c r="B1222">
        <v>509</v>
      </c>
      <c r="C1222" s="1" t="s">
        <v>100</v>
      </c>
      <c r="D1222" s="11">
        <v>45256.061805555553</v>
      </c>
      <c r="E1222" t="s">
        <v>191</v>
      </c>
      <c r="F1222" t="s">
        <v>41</v>
      </c>
      <c r="G1222">
        <v>3471</v>
      </c>
      <c r="H1222" s="5" t="s">
        <v>100</v>
      </c>
      <c r="I1222" s="15">
        <v>45256</v>
      </c>
      <c r="J1222" s="15" t="s">
        <v>295</v>
      </c>
      <c r="K1222" s="6">
        <v>6.1805555555555558E-2</v>
      </c>
      <c r="L1222" t="s">
        <v>145</v>
      </c>
      <c r="M1222">
        <v>150000</v>
      </c>
      <c r="N1222" t="s">
        <v>203</v>
      </c>
      <c r="O1222" t="s">
        <v>151</v>
      </c>
      <c r="P1222">
        <v>24</v>
      </c>
      <c r="Q1222" t="s">
        <v>155</v>
      </c>
    </row>
    <row r="1223" spans="1:17" x14ac:dyDescent="0.2">
      <c r="A1223">
        <v>812864</v>
      </c>
      <c r="B1223">
        <v>1007</v>
      </c>
      <c r="C1223" s="1" t="s">
        <v>99</v>
      </c>
      <c r="D1223" s="11">
        <v>45149.007638888892</v>
      </c>
      <c r="E1223" t="s">
        <v>98</v>
      </c>
      <c r="F1223" t="s">
        <v>55</v>
      </c>
      <c r="G1223">
        <v>9730</v>
      </c>
      <c r="H1223" s="5" t="s">
        <v>99</v>
      </c>
      <c r="I1223" s="15">
        <v>45149</v>
      </c>
      <c r="J1223" s="15" t="s">
        <v>234</v>
      </c>
      <c r="K1223" s="6">
        <v>0.50763888888888886</v>
      </c>
      <c r="L1223" t="s">
        <v>144</v>
      </c>
      <c r="M1223">
        <v>100000</v>
      </c>
      <c r="N1223" t="s">
        <v>219</v>
      </c>
      <c r="O1223" t="s">
        <v>152</v>
      </c>
      <c r="P1223">
        <v>62</v>
      </c>
      <c r="Q1223" t="s">
        <v>156</v>
      </c>
    </row>
    <row r="1224" spans="1:17" x14ac:dyDescent="0.2">
      <c r="A1224">
        <v>813036</v>
      </c>
      <c r="B1224">
        <v>22</v>
      </c>
      <c r="C1224" s="1" t="s">
        <v>105</v>
      </c>
      <c r="D1224" s="11">
        <v>45248.945138888892</v>
      </c>
      <c r="E1224" t="s">
        <v>97</v>
      </c>
      <c r="F1224" t="s">
        <v>56</v>
      </c>
      <c r="G1224">
        <v>5132</v>
      </c>
      <c r="H1224" s="5" t="s">
        <v>105</v>
      </c>
      <c r="I1224" s="15">
        <v>45248</v>
      </c>
      <c r="J1224" s="15" t="s">
        <v>295</v>
      </c>
      <c r="K1224" s="6">
        <v>0.44513888888888886</v>
      </c>
      <c r="L1224" t="s">
        <v>146</v>
      </c>
      <c r="M1224">
        <v>50000</v>
      </c>
      <c r="N1224" t="s">
        <v>220</v>
      </c>
      <c r="O1224" t="s">
        <v>152</v>
      </c>
      <c r="P1224">
        <v>78</v>
      </c>
      <c r="Q1224" t="s">
        <v>154</v>
      </c>
    </row>
    <row r="1225" spans="1:17" x14ac:dyDescent="0.2">
      <c r="A1225">
        <v>813819</v>
      </c>
      <c r="B1225">
        <v>437</v>
      </c>
      <c r="C1225" s="1" t="s">
        <v>99</v>
      </c>
      <c r="D1225" s="11">
        <v>44981.972916666666</v>
      </c>
      <c r="E1225" t="s">
        <v>97</v>
      </c>
      <c r="F1225" t="s">
        <v>57</v>
      </c>
      <c r="G1225">
        <v>8001</v>
      </c>
      <c r="H1225" s="5" t="s">
        <v>99</v>
      </c>
      <c r="I1225" s="15">
        <v>44981</v>
      </c>
      <c r="J1225" s="15" t="s">
        <v>232</v>
      </c>
      <c r="K1225" s="6">
        <v>0.47291666666666665</v>
      </c>
      <c r="L1225" t="s">
        <v>142</v>
      </c>
      <c r="M1225">
        <v>50000</v>
      </c>
      <c r="N1225" t="s">
        <v>208</v>
      </c>
      <c r="O1225" t="s">
        <v>152</v>
      </c>
      <c r="P1225">
        <v>22</v>
      </c>
      <c r="Q1225" t="s">
        <v>154</v>
      </c>
    </row>
    <row r="1226" spans="1:17" x14ac:dyDescent="0.2">
      <c r="A1226">
        <v>813822</v>
      </c>
      <c r="B1226">
        <v>894</v>
      </c>
      <c r="C1226" s="1" t="s">
        <v>101</v>
      </c>
      <c r="D1226" s="11">
        <v>45030.951388888891</v>
      </c>
      <c r="E1226" t="s">
        <v>191</v>
      </c>
      <c r="F1226" t="s">
        <v>58</v>
      </c>
      <c r="G1226">
        <v>3283</v>
      </c>
      <c r="H1226" s="5" t="s">
        <v>101</v>
      </c>
      <c r="I1226" s="15">
        <v>45030</v>
      </c>
      <c r="J1226" s="15" t="s">
        <v>233</v>
      </c>
      <c r="K1226" s="6">
        <v>0.4513888888888889</v>
      </c>
      <c r="L1226" t="s">
        <v>143</v>
      </c>
      <c r="M1226">
        <v>80000</v>
      </c>
      <c r="N1226" t="s">
        <v>214</v>
      </c>
      <c r="O1226" t="s">
        <v>152</v>
      </c>
      <c r="P1226">
        <v>37</v>
      </c>
      <c r="Q1226" t="s">
        <v>155</v>
      </c>
    </row>
    <row r="1227" spans="1:17" x14ac:dyDescent="0.2">
      <c r="A1227">
        <v>814175</v>
      </c>
      <c r="B1227">
        <v>836</v>
      </c>
      <c r="C1227" s="1" t="s">
        <v>113</v>
      </c>
      <c r="D1227" s="11">
        <v>45015.038194444445</v>
      </c>
      <c r="E1227" t="s">
        <v>98</v>
      </c>
      <c r="F1227" t="s">
        <v>59</v>
      </c>
      <c r="G1227">
        <v>7467</v>
      </c>
      <c r="H1227" s="5" t="s">
        <v>113</v>
      </c>
      <c r="I1227" s="15">
        <v>45015</v>
      </c>
      <c r="J1227" s="15" t="s">
        <v>232</v>
      </c>
      <c r="K1227" s="6">
        <v>0.53819444444444442</v>
      </c>
      <c r="L1227" t="s">
        <v>144</v>
      </c>
      <c r="M1227">
        <v>80000</v>
      </c>
      <c r="N1227" t="s">
        <v>224</v>
      </c>
      <c r="O1227" t="s">
        <v>151</v>
      </c>
      <c r="P1227">
        <v>70</v>
      </c>
      <c r="Q1227" t="s">
        <v>155</v>
      </c>
    </row>
    <row r="1228" spans="1:17" x14ac:dyDescent="0.2">
      <c r="A1228">
        <v>814705</v>
      </c>
      <c r="B1228">
        <v>1590</v>
      </c>
      <c r="C1228" s="1" t="s">
        <v>106</v>
      </c>
      <c r="D1228" s="11">
        <v>45024.018750000003</v>
      </c>
      <c r="E1228" t="s">
        <v>191</v>
      </c>
      <c r="F1228" t="s">
        <v>37</v>
      </c>
      <c r="G1228">
        <v>6227</v>
      </c>
      <c r="H1228" s="5" t="s">
        <v>106</v>
      </c>
      <c r="I1228" s="15">
        <v>45024</v>
      </c>
      <c r="J1228" s="15" t="s">
        <v>233</v>
      </c>
      <c r="K1228" s="6">
        <v>0.51875000000000004</v>
      </c>
      <c r="L1228" t="s">
        <v>144</v>
      </c>
      <c r="M1228">
        <v>100000</v>
      </c>
      <c r="N1228" t="s">
        <v>199</v>
      </c>
      <c r="O1228" t="s">
        <v>151</v>
      </c>
      <c r="P1228">
        <v>69</v>
      </c>
      <c r="Q1228" t="s">
        <v>157</v>
      </c>
    </row>
    <row r="1229" spans="1:17" x14ac:dyDescent="0.2">
      <c r="A1229">
        <v>816536</v>
      </c>
      <c r="B1229">
        <v>1147</v>
      </c>
      <c r="C1229" s="1" t="s">
        <v>100</v>
      </c>
      <c r="D1229" s="11">
        <v>45180.977777777778</v>
      </c>
      <c r="E1229" t="s">
        <v>191</v>
      </c>
      <c r="F1229" t="s">
        <v>27</v>
      </c>
      <c r="G1229">
        <v>5485</v>
      </c>
      <c r="H1229" s="5" t="s">
        <v>100</v>
      </c>
      <c r="I1229" s="15">
        <v>45180</v>
      </c>
      <c r="J1229" s="15" t="s">
        <v>234</v>
      </c>
      <c r="K1229" s="6">
        <v>0.4777777777777778</v>
      </c>
      <c r="L1229" t="s">
        <v>142</v>
      </c>
      <c r="M1229">
        <v>1000000</v>
      </c>
      <c r="N1229" t="s">
        <v>209</v>
      </c>
      <c r="O1229" t="s">
        <v>151</v>
      </c>
      <c r="P1229">
        <v>53</v>
      </c>
      <c r="Q1229" t="s">
        <v>156</v>
      </c>
    </row>
    <row r="1230" spans="1:17" x14ac:dyDescent="0.2">
      <c r="A1230">
        <v>817610</v>
      </c>
      <c r="B1230">
        <v>493</v>
      </c>
      <c r="C1230" s="1" t="s">
        <v>99</v>
      </c>
      <c r="D1230" s="11">
        <v>44930.98333333333</v>
      </c>
      <c r="E1230" t="s">
        <v>98</v>
      </c>
      <c r="F1230" t="s">
        <v>60</v>
      </c>
      <c r="G1230">
        <v>4047</v>
      </c>
      <c r="H1230" s="5" t="s">
        <v>99</v>
      </c>
      <c r="I1230" s="15">
        <v>44930</v>
      </c>
      <c r="J1230" s="15" t="s">
        <v>232</v>
      </c>
      <c r="K1230" s="6">
        <v>0.48333333333333334</v>
      </c>
      <c r="L1230" t="s">
        <v>146</v>
      </c>
      <c r="M1230">
        <v>100000</v>
      </c>
      <c r="N1230" t="s">
        <v>225</v>
      </c>
      <c r="O1230" t="s">
        <v>152</v>
      </c>
      <c r="P1230">
        <v>82</v>
      </c>
      <c r="Q1230" t="s">
        <v>154</v>
      </c>
    </row>
    <row r="1231" spans="1:17" x14ac:dyDescent="0.2">
      <c r="A1231">
        <v>818956</v>
      </c>
      <c r="B1231">
        <v>857</v>
      </c>
      <c r="C1231" s="1" t="s">
        <v>99</v>
      </c>
      <c r="D1231" s="11">
        <v>45112.023611111108</v>
      </c>
      <c r="E1231" t="s">
        <v>191</v>
      </c>
      <c r="F1231" t="s">
        <v>61</v>
      </c>
      <c r="G1231">
        <v>1268</v>
      </c>
      <c r="H1231" s="5" t="s">
        <v>99</v>
      </c>
      <c r="I1231" s="15">
        <v>45112</v>
      </c>
      <c r="J1231" s="15" t="s">
        <v>234</v>
      </c>
      <c r="K1231" s="6">
        <v>0.52361111111111114</v>
      </c>
      <c r="L1231" t="s">
        <v>142</v>
      </c>
      <c r="M1231">
        <v>80000</v>
      </c>
      <c r="N1231" t="s">
        <v>197</v>
      </c>
      <c r="O1231" t="s">
        <v>152</v>
      </c>
      <c r="P1231">
        <v>34</v>
      </c>
      <c r="Q1231" t="s">
        <v>155</v>
      </c>
    </row>
    <row r="1232" spans="1:17" x14ac:dyDescent="0.2">
      <c r="A1232">
        <v>821575</v>
      </c>
      <c r="B1232">
        <v>1215</v>
      </c>
      <c r="C1232" s="1" t="s">
        <v>99</v>
      </c>
      <c r="D1232" s="11">
        <v>44937.037499999999</v>
      </c>
      <c r="E1232" t="s">
        <v>98</v>
      </c>
      <c r="F1232" t="s">
        <v>93</v>
      </c>
      <c r="G1232">
        <v>4655</v>
      </c>
      <c r="H1232" s="5" t="s">
        <v>99</v>
      </c>
      <c r="I1232" s="15">
        <v>44937</v>
      </c>
      <c r="J1232" s="15" t="s">
        <v>232</v>
      </c>
      <c r="K1232" s="6">
        <v>0.53749999999999998</v>
      </c>
      <c r="L1232" t="s">
        <v>146</v>
      </c>
      <c r="M1232">
        <v>30000</v>
      </c>
      <c r="N1232" t="s">
        <v>220</v>
      </c>
      <c r="O1232" t="s">
        <v>151</v>
      </c>
      <c r="P1232">
        <v>33</v>
      </c>
      <c r="Q1232" t="s">
        <v>156</v>
      </c>
    </row>
    <row r="1233" spans="1:17" x14ac:dyDescent="0.2">
      <c r="A1233">
        <v>822544</v>
      </c>
      <c r="B1233">
        <v>1930</v>
      </c>
      <c r="C1233" s="1" t="s">
        <v>99</v>
      </c>
      <c r="D1233" s="11">
        <v>45173.083333333336</v>
      </c>
      <c r="E1233" t="s">
        <v>192</v>
      </c>
      <c r="F1233" t="s">
        <v>33</v>
      </c>
      <c r="G1233">
        <v>708</v>
      </c>
      <c r="H1233" s="5" t="s">
        <v>99</v>
      </c>
      <c r="I1233" s="15">
        <v>45173</v>
      </c>
      <c r="J1233" s="15" t="s">
        <v>234</v>
      </c>
      <c r="K1233" s="6">
        <v>8.3333333333333329E-2</v>
      </c>
      <c r="L1233" t="s">
        <v>145</v>
      </c>
      <c r="M1233">
        <v>100000</v>
      </c>
      <c r="N1233" t="s">
        <v>210</v>
      </c>
      <c r="O1233" t="s">
        <v>152</v>
      </c>
      <c r="P1233">
        <v>40</v>
      </c>
      <c r="Q1233" t="s">
        <v>157</v>
      </c>
    </row>
    <row r="1234" spans="1:17" x14ac:dyDescent="0.2">
      <c r="A1234">
        <v>822906</v>
      </c>
      <c r="B1234">
        <v>882</v>
      </c>
      <c r="C1234" s="1" t="s">
        <v>106</v>
      </c>
      <c r="D1234" s="11">
        <v>45201.020138888889</v>
      </c>
      <c r="E1234" t="s">
        <v>97</v>
      </c>
      <c r="F1234" t="s">
        <v>63</v>
      </c>
      <c r="G1234">
        <v>8093</v>
      </c>
      <c r="H1234" s="5" t="s">
        <v>106</v>
      </c>
      <c r="I1234" s="15">
        <v>45201</v>
      </c>
      <c r="J1234" s="15" t="s">
        <v>295</v>
      </c>
      <c r="K1234" s="6">
        <v>0.52013888888888893</v>
      </c>
      <c r="L1234" t="s">
        <v>143</v>
      </c>
      <c r="M1234">
        <v>100000</v>
      </c>
      <c r="N1234" t="s">
        <v>198</v>
      </c>
      <c r="O1234" t="s">
        <v>151</v>
      </c>
      <c r="P1234">
        <v>20</v>
      </c>
      <c r="Q1234" t="s">
        <v>155</v>
      </c>
    </row>
    <row r="1235" spans="1:17" x14ac:dyDescent="0.2">
      <c r="A1235">
        <v>823294</v>
      </c>
      <c r="B1235">
        <v>1466</v>
      </c>
      <c r="C1235" s="1" t="s">
        <v>111</v>
      </c>
      <c r="D1235" s="11">
        <v>45261.96875</v>
      </c>
      <c r="E1235" t="s">
        <v>97</v>
      </c>
      <c r="F1235" t="s">
        <v>90</v>
      </c>
      <c r="G1235">
        <v>255</v>
      </c>
      <c r="H1235" s="5" t="s">
        <v>111</v>
      </c>
      <c r="I1235" s="15">
        <v>45261</v>
      </c>
      <c r="J1235" s="15" t="s">
        <v>295</v>
      </c>
      <c r="K1235" s="6">
        <v>0.46875</v>
      </c>
      <c r="L1235" t="s">
        <v>142</v>
      </c>
      <c r="M1235">
        <v>150000</v>
      </c>
      <c r="N1235" t="s">
        <v>208</v>
      </c>
      <c r="O1235" t="s">
        <v>152</v>
      </c>
      <c r="P1235">
        <v>39</v>
      </c>
      <c r="Q1235" t="s">
        <v>156</v>
      </c>
    </row>
    <row r="1236" spans="1:17" x14ac:dyDescent="0.2">
      <c r="A1236">
        <v>823885</v>
      </c>
      <c r="B1236">
        <v>687</v>
      </c>
      <c r="C1236" s="1" t="s">
        <v>100</v>
      </c>
      <c r="D1236" s="11">
        <v>45054.044444444444</v>
      </c>
      <c r="E1236" t="s">
        <v>191</v>
      </c>
      <c r="F1236" t="s">
        <v>94</v>
      </c>
      <c r="G1236">
        <v>5519</v>
      </c>
      <c r="H1236" s="5" t="s">
        <v>100</v>
      </c>
      <c r="I1236" s="15">
        <v>45054</v>
      </c>
      <c r="J1236" s="15" t="s">
        <v>233</v>
      </c>
      <c r="K1236" s="6">
        <v>4.4444444444444446E-2</v>
      </c>
      <c r="L1236" t="s">
        <v>143</v>
      </c>
      <c r="M1236">
        <v>50000</v>
      </c>
      <c r="N1236" t="s">
        <v>215</v>
      </c>
      <c r="O1236" t="s">
        <v>152</v>
      </c>
      <c r="P1236">
        <v>50</v>
      </c>
      <c r="Q1236" t="s">
        <v>155</v>
      </c>
    </row>
    <row r="1237" spans="1:17" x14ac:dyDescent="0.2">
      <c r="A1237">
        <v>823894</v>
      </c>
      <c r="B1237">
        <v>700</v>
      </c>
      <c r="C1237" s="1" t="s">
        <v>99</v>
      </c>
      <c r="D1237" s="11">
        <v>45033.040277777778</v>
      </c>
      <c r="E1237" t="s">
        <v>98</v>
      </c>
      <c r="F1237" t="s">
        <v>53</v>
      </c>
      <c r="G1237">
        <v>1666</v>
      </c>
      <c r="H1237" s="5" t="s">
        <v>99</v>
      </c>
      <c r="I1237" s="15">
        <v>45033</v>
      </c>
      <c r="J1237" s="15" t="s">
        <v>233</v>
      </c>
      <c r="K1237" s="6">
        <v>0.54027777777777775</v>
      </c>
      <c r="L1237" t="s">
        <v>142</v>
      </c>
      <c r="M1237">
        <v>100000</v>
      </c>
      <c r="N1237" t="s">
        <v>207</v>
      </c>
      <c r="O1237" t="s">
        <v>152</v>
      </c>
      <c r="P1237">
        <v>53</v>
      </c>
      <c r="Q1237" t="s">
        <v>155</v>
      </c>
    </row>
    <row r="1238" spans="1:17" x14ac:dyDescent="0.2">
      <c r="A1238">
        <v>824383</v>
      </c>
      <c r="B1238">
        <v>1728</v>
      </c>
      <c r="C1238" s="1" t="s">
        <v>100</v>
      </c>
      <c r="D1238" s="11">
        <v>44928.033333333333</v>
      </c>
      <c r="E1238" t="s">
        <v>98</v>
      </c>
      <c r="F1238" t="s">
        <v>64</v>
      </c>
      <c r="G1238">
        <v>66</v>
      </c>
      <c r="H1238" s="5" t="s">
        <v>100</v>
      </c>
      <c r="I1238" s="15">
        <v>44928</v>
      </c>
      <c r="J1238" s="15" t="s">
        <v>232</v>
      </c>
      <c r="K1238" s="6">
        <v>0.53333333333333333</v>
      </c>
      <c r="L1238" t="s">
        <v>143</v>
      </c>
      <c r="M1238">
        <v>100000</v>
      </c>
      <c r="N1238" t="s">
        <v>223</v>
      </c>
      <c r="O1238" t="s">
        <v>152</v>
      </c>
      <c r="P1238">
        <v>27</v>
      </c>
      <c r="Q1238" t="s">
        <v>157</v>
      </c>
    </row>
    <row r="1239" spans="1:17" x14ac:dyDescent="0.2">
      <c r="A1239">
        <v>824598</v>
      </c>
      <c r="B1239">
        <v>189</v>
      </c>
      <c r="C1239" s="1" t="s">
        <v>99</v>
      </c>
      <c r="D1239" s="11">
        <v>45253.03402777778</v>
      </c>
      <c r="E1239" t="s">
        <v>96</v>
      </c>
      <c r="F1239" t="s">
        <v>27</v>
      </c>
      <c r="G1239">
        <v>5989</v>
      </c>
      <c r="H1239" s="5" t="s">
        <v>99</v>
      </c>
      <c r="I1239" s="15">
        <v>45253</v>
      </c>
      <c r="J1239" s="15" t="s">
        <v>295</v>
      </c>
      <c r="K1239" s="6">
        <v>0.53402777777777777</v>
      </c>
      <c r="L1239" t="s">
        <v>142</v>
      </c>
      <c r="M1239">
        <v>1000000</v>
      </c>
      <c r="N1239" t="s">
        <v>209</v>
      </c>
      <c r="O1239" t="s">
        <v>152</v>
      </c>
      <c r="P1239">
        <v>59</v>
      </c>
      <c r="Q1239" t="s">
        <v>154</v>
      </c>
    </row>
    <row r="1240" spans="1:17" x14ac:dyDescent="0.2">
      <c r="A1240">
        <v>825270</v>
      </c>
      <c r="B1240">
        <v>926</v>
      </c>
      <c r="C1240" s="1" t="s">
        <v>99</v>
      </c>
      <c r="D1240" s="11">
        <v>44939.973611111112</v>
      </c>
      <c r="E1240" t="s">
        <v>97</v>
      </c>
      <c r="F1240" t="s">
        <v>5</v>
      </c>
      <c r="G1240">
        <v>9917</v>
      </c>
      <c r="H1240" s="5" t="s">
        <v>99</v>
      </c>
      <c r="I1240" s="15">
        <v>44939</v>
      </c>
      <c r="J1240" s="15" t="s">
        <v>232</v>
      </c>
      <c r="K1240" s="6">
        <v>0.47361111111111109</v>
      </c>
      <c r="L1240" t="s">
        <v>143</v>
      </c>
      <c r="M1240">
        <v>200000</v>
      </c>
      <c r="N1240" t="s">
        <v>198</v>
      </c>
      <c r="O1240" t="s">
        <v>152</v>
      </c>
      <c r="P1240">
        <v>19</v>
      </c>
      <c r="Q1240" t="s">
        <v>155</v>
      </c>
    </row>
    <row r="1241" spans="1:17" x14ac:dyDescent="0.2">
      <c r="A1241">
        <v>825424</v>
      </c>
      <c r="B1241">
        <v>916</v>
      </c>
      <c r="C1241" s="1" t="s">
        <v>100</v>
      </c>
      <c r="D1241" s="11">
        <v>45094.034722222219</v>
      </c>
      <c r="E1241" t="s">
        <v>191</v>
      </c>
      <c r="F1241" t="s">
        <v>65</v>
      </c>
      <c r="G1241">
        <v>7143</v>
      </c>
      <c r="H1241" s="5" t="s">
        <v>100</v>
      </c>
      <c r="I1241" s="15">
        <v>45094</v>
      </c>
      <c r="J1241" s="15" t="s">
        <v>233</v>
      </c>
      <c r="K1241" s="6">
        <v>0.53472222222222221</v>
      </c>
      <c r="L1241" t="s">
        <v>146</v>
      </c>
      <c r="M1241">
        <v>200000</v>
      </c>
      <c r="N1241" t="s">
        <v>225</v>
      </c>
      <c r="O1241" t="s">
        <v>151</v>
      </c>
      <c r="P1241">
        <v>61</v>
      </c>
      <c r="Q1241" t="s">
        <v>155</v>
      </c>
    </row>
    <row r="1242" spans="1:17" x14ac:dyDescent="0.2">
      <c r="A1242">
        <v>829148</v>
      </c>
      <c r="B1242">
        <v>1294</v>
      </c>
      <c r="C1242" s="1" t="s">
        <v>100</v>
      </c>
      <c r="D1242" s="11">
        <v>44943.023611111108</v>
      </c>
      <c r="E1242" t="s">
        <v>191</v>
      </c>
      <c r="F1242" t="s">
        <v>91</v>
      </c>
      <c r="G1242">
        <v>2908</v>
      </c>
      <c r="H1242" s="5" t="s">
        <v>100</v>
      </c>
      <c r="I1242" s="15">
        <v>44943</v>
      </c>
      <c r="J1242" s="15" t="s">
        <v>232</v>
      </c>
      <c r="K1242" s="6">
        <v>0.52361111111111114</v>
      </c>
      <c r="L1242" t="s">
        <v>142</v>
      </c>
      <c r="M1242">
        <v>100000</v>
      </c>
      <c r="N1242" t="s">
        <v>213</v>
      </c>
      <c r="O1242" t="s">
        <v>152</v>
      </c>
      <c r="P1242">
        <v>54</v>
      </c>
      <c r="Q1242" t="s">
        <v>156</v>
      </c>
    </row>
    <row r="1243" spans="1:17" x14ac:dyDescent="0.2">
      <c r="A1243">
        <v>829375</v>
      </c>
      <c r="B1243">
        <v>956</v>
      </c>
      <c r="C1243" s="1" t="s">
        <v>100</v>
      </c>
      <c r="D1243" s="11">
        <v>45183.011111111111</v>
      </c>
      <c r="E1243" t="s">
        <v>96</v>
      </c>
      <c r="F1243" t="s">
        <v>27</v>
      </c>
      <c r="G1243">
        <v>1515</v>
      </c>
      <c r="H1243" s="5" t="s">
        <v>100</v>
      </c>
      <c r="I1243" s="15">
        <v>45183</v>
      </c>
      <c r="J1243" s="15" t="s">
        <v>234</v>
      </c>
      <c r="K1243" s="6">
        <v>0.51111111111111107</v>
      </c>
      <c r="L1243" t="s">
        <v>142</v>
      </c>
      <c r="M1243">
        <v>1000000</v>
      </c>
      <c r="N1243" t="s">
        <v>209</v>
      </c>
      <c r="O1243" t="s">
        <v>151</v>
      </c>
      <c r="P1243">
        <v>27</v>
      </c>
      <c r="Q1243" t="s">
        <v>155</v>
      </c>
    </row>
    <row r="1244" spans="1:17" x14ac:dyDescent="0.2">
      <c r="A1244">
        <v>831130</v>
      </c>
      <c r="B1244">
        <v>315</v>
      </c>
      <c r="C1244" s="1" t="s">
        <v>113</v>
      </c>
      <c r="D1244" s="11">
        <v>45180.024305555555</v>
      </c>
      <c r="E1244" t="s">
        <v>98</v>
      </c>
      <c r="F1244" t="s">
        <v>30</v>
      </c>
      <c r="G1244">
        <v>7205</v>
      </c>
      <c r="H1244" s="5" t="s">
        <v>113</v>
      </c>
      <c r="I1244" s="15">
        <v>45180</v>
      </c>
      <c r="J1244" s="15" t="s">
        <v>234</v>
      </c>
      <c r="K1244" s="6">
        <v>0.52430555555555558</v>
      </c>
      <c r="L1244" t="s">
        <v>144</v>
      </c>
      <c r="M1244">
        <v>200000</v>
      </c>
      <c r="N1244" t="s">
        <v>216</v>
      </c>
      <c r="O1244" t="s">
        <v>152</v>
      </c>
      <c r="P1244">
        <v>85</v>
      </c>
      <c r="Q1244" t="s">
        <v>154</v>
      </c>
    </row>
    <row r="1245" spans="1:17" x14ac:dyDescent="0.2">
      <c r="A1245">
        <v>831821</v>
      </c>
      <c r="B1245">
        <v>609</v>
      </c>
      <c r="C1245" s="1" t="s">
        <v>99</v>
      </c>
      <c r="D1245" s="11">
        <v>45069.024305555555</v>
      </c>
      <c r="E1245" t="s">
        <v>97</v>
      </c>
      <c r="F1245" t="s">
        <v>78</v>
      </c>
      <c r="G1245">
        <v>1827</v>
      </c>
      <c r="H1245" s="5" t="s">
        <v>99</v>
      </c>
      <c r="I1245" s="15">
        <v>45069</v>
      </c>
      <c r="J1245" s="15" t="s">
        <v>233</v>
      </c>
      <c r="K1245" s="6">
        <v>0.52430555555555558</v>
      </c>
      <c r="L1245" t="s">
        <v>143</v>
      </c>
      <c r="M1245">
        <v>200000</v>
      </c>
      <c r="N1245" t="s">
        <v>215</v>
      </c>
      <c r="O1245" t="s">
        <v>151</v>
      </c>
      <c r="P1245">
        <v>87</v>
      </c>
      <c r="Q1245" t="s">
        <v>155</v>
      </c>
    </row>
    <row r="1246" spans="1:17" x14ac:dyDescent="0.2">
      <c r="A1246">
        <v>831974</v>
      </c>
      <c r="B1246">
        <v>548</v>
      </c>
      <c r="C1246" s="1" t="s">
        <v>99</v>
      </c>
      <c r="D1246" s="11">
        <v>45286.037499999999</v>
      </c>
      <c r="E1246" t="s">
        <v>98</v>
      </c>
      <c r="F1246" t="s">
        <v>43</v>
      </c>
      <c r="G1246">
        <v>6182</v>
      </c>
      <c r="H1246" s="5" t="s">
        <v>99</v>
      </c>
      <c r="I1246" s="15">
        <v>45286</v>
      </c>
      <c r="J1246" s="15" t="s">
        <v>295</v>
      </c>
      <c r="K1246" s="6">
        <v>0.53749999999999998</v>
      </c>
      <c r="L1246" t="s">
        <v>145</v>
      </c>
      <c r="M1246">
        <v>1000000</v>
      </c>
      <c r="N1246" t="s">
        <v>203</v>
      </c>
      <c r="O1246" t="s">
        <v>151</v>
      </c>
      <c r="P1246">
        <v>48</v>
      </c>
      <c r="Q1246" t="s">
        <v>155</v>
      </c>
    </row>
    <row r="1247" spans="1:17" x14ac:dyDescent="0.2">
      <c r="A1247">
        <v>832154</v>
      </c>
      <c r="B1247">
        <v>1586</v>
      </c>
      <c r="C1247" s="1" t="s">
        <v>100</v>
      </c>
      <c r="D1247" s="11">
        <v>45061.039583333331</v>
      </c>
      <c r="E1247" t="s">
        <v>96</v>
      </c>
      <c r="F1247" t="s">
        <v>32</v>
      </c>
      <c r="G1247">
        <v>1928</v>
      </c>
      <c r="H1247" s="5" t="s">
        <v>100</v>
      </c>
      <c r="I1247" s="15">
        <v>45061</v>
      </c>
      <c r="J1247" s="15" t="s">
        <v>233</v>
      </c>
      <c r="K1247" s="6">
        <v>0.5395833333333333</v>
      </c>
      <c r="L1247" t="s">
        <v>145</v>
      </c>
      <c r="M1247">
        <v>80000</v>
      </c>
      <c r="N1247" t="s">
        <v>217</v>
      </c>
      <c r="O1247" t="s">
        <v>152</v>
      </c>
      <c r="P1247">
        <v>42</v>
      </c>
      <c r="Q1247" t="s">
        <v>157</v>
      </c>
    </row>
    <row r="1248" spans="1:17" x14ac:dyDescent="0.2">
      <c r="A1248">
        <v>832361</v>
      </c>
      <c r="B1248">
        <v>1891</v>
      </c>
      <c r="C1248" s="1" t="s">
        <v>106</v>
      </c>
      <c r="D1248" s="11">
        <v>44982.034722222219</v>
      </c>
      <c r="E1248" t="s">
        <v>96</v>
      </c>
      <c r="F1248" t="s">
        <v>30</v>
      </c>
      <c r="G1248">
        <v>6245</v>
      </c>
      <c r="H1248" s="5" t="s">
        <v>106</v>
      </c>
      <c r="I1248" s="15">
        <v>44982</v>
      </c>
      <c r="J1248" s="15" t="s">
        <v>232</v>
      </c>
      <c r="K1248" s="6">
        <v>0.53472222222222221</v>
      </c>
      <c r="L1248" t="s">
        <v>144</v>
      </c>
      <c r="M1248">
        <v>200000</v>
      </c>
      <c r="N1248" t="s">
        <v>216</v>
      </c>
      <c r="O1248" t="s">
        <v>151</v>
      </c>
      <c r="P1248">
        <v>54</v>
      </c>
      <c r="Q1248" t="s">
        <v>157</v>
      </c>
    </row>
    <row r="1249" spans="1:17" x14ac:dyDescent="0.2">
      <c r="A1249">
        <v>832627</v>
      </c>
      <c r="B1249">
        <v>1634</v>
      </c>
      <c r="C1249" s="1" t="s">
        <v>105</v>
      </c>
      <c r="D1249" s="11">
        <v>45095.99722222222</v>
      </c>
      <c r="E1249" t="s">
        <v>96</v>
      </c>
      <c r="F1249" t="s">
        <v>74</v>
      </c>
      <c r="G1249">
        <v>1375</v>
      </c>
      <c r="H1249" s="5" t="s">
        <v>105</v>
      </c>
      <c r="I1249" s="15">
        <v>45095</v>
      </c>
      <c r="J1249" s="15" t="s">
        <v>233</v>
      </c>
      <c r="K1249" s="6">
        <v>0.49722222222222223</v>
      </c>
      <c r="L1249" t="s">
        <v>145</v>
      </c>
      <c r="M1249">
        <v>150000</v>
      </c>
      <c r="N1249" t="s">
        <v>226</v>
      </c>
      <c r="O1249" t="s">
        <v>151</v>
      </c>
      <c r="P1249">
        <v>34</v>
      </c>
      <c r="Q1249" t="s">
        <v>157</v>
      </c>
    </row>
    <row r="1250" spans="1:17" x14ac:dyDescent="0.2">
      <c r="A1250">
        <v>833286</v>
      </c>
      <c r="B1250">
        <v>1797</v>
      </c>
      <c r="C1250" s="1" t="s">
        <v>99</v>
      </c>
      <c r="D1250" s="11">
        <v>45276.987500000003</v>
      </c>
      <c r="E1250" t="s">
        <v>191</v>
      </c>
      <c r="F1250" t="s">
        <v>54</v>
      </c>
      <c r="G1250">
        <v>1274</v>
      </c>
      <c r="H1250" s="5" t="s">
        <v>99</v>
      </c>
      <c r="I1250" s="15">
        <v>45276</v>
      </c>
      <c r="J1250" s="15" t="s">
        <v>295</v>
      </c>
      <c r="K1250" s="6">
        <v>0.48749999999999999</v>
      </c>
      <c r="L1250" t="s">
        <v>144</v>
      </c>
      <c r="M1250">
        <v>100000</v>
      </c>
      <c r="N1250" t="s">
        <v>224</v>
      </c>
      <c r="O1250" t="s">
        <v>151</v>
      </c>
      <c r="P1250">
        <v>45</v>
      </c>
      <c r="Q1250" t="s">
        <v>157</v>
      </c>
    </row>
    <row r="1251" spans="1:17" x14ac:dyDescent="0.2">
      <c r="A1251">
        <v>833957</v>
      </c>
      <c r="B1251">
        <v>1398</v>
      </c>
      <c r="C1251" s="1" t="s">
        <v>108</v>
      </c>
      <c r="D1251" s="11">
        <v>45284.012499999997</v>
      </c>
      <c r="E1251" t="s">
        <v>98</v>
      </c>
      <c r="F1251" t="s">
        <v>38</v>
      </c>
      <c r="G1251">
        <v>4953</v>
      </c>
      <c r="H1251" s="5" t="s">
        <v>108</v>
      </c>
      <c r="I1251" s="15">
        <v>45284</v>
      </c>
      <c r="J1251" s="15" t="s">
        <v>295</v>
      </c>
      <c r="K1251" s="6">
        <v>0.51249999999999996</v>
      </c>
      <c r="L1251" t="s">
        <v>143</v>
      </c>
      <c r="M1251">
        <v>100000</v>
      </c>
      <c r="N1251" t="s">
        <v>221</v>
      </c>
      <c r="O1251" t="s">
        <v>152</v>
      </c>
      <c r="P1251">
        <v>44</v>
      </c>
      <c r="Q1251" t="s">
        <v>156</v>
      </c>
    </row>
    <row r="1252" spans="1:17" x14ac:dyDescent="0.2">
      <c r="A1252">
        <v>834746</v>
      </c>
      <c r="B1252">
        <v>1204</v>
      </c>
      <c r="C1252" s="1" t="s">
        <v>99</v>
      </c>
      <c r="D1252" s="11">
        <v>44999.035416666666</v>
      </c>
      <c r="E1252" t="s">
        <v>191</v>
      </c>
      <c r="F1252" t="s">
        <v>68</v>
      </c>
      <c r="G1252">
        <v>3237</v>
      </c>
      <c r="H1252" s="5" t="s">
        <v>99</v>
      </c>
      <c r="I1252" s="15">
        <v>44999</v>
      </c>
      <c r="J1252" s="15" t="s">
        <v>232</v>
      </c>
      <c r="K1252" s="6">
        <v>0.53541666666666665</v>
      </c>
      <c r="L1252" t="s">
        <v>144</v>
      </c>
      <c r="M1252">
        <v>100000</v>
      </c>
      <c r="N1252" t="s">
        <v>200</v>
      </c>
      <c r="O1252" t="s">
        <v>152</v>
      </c>
      <c r="P1252">
        <v>89</v>
      </c>
      <c r="Q1252" t="s">
        <v>156</v>
      </c>
    </row>
    <row r="1253" spans="1:17" x14ac:dyDescent="0.2">
      <c r="A1253">
        <v>835376</v>
      </c>
      <c r="B1253">
        <v>1936</v>
      </c>
      <c r="C1253" s="1" t="s">
        <v>101</v>
      </c>
      <c r="D1253" s="11">
        <v>45008.015277777777</v>
      </c>
      <c r="E1253" t="s">
        <v>97</v>
      </c>
      <c r="F1253" t="s">
        <v>79</v>
      </c>
      <c r="G1253">
        <v>6418</v>
      </c>
      <c r="H1253" s="5" t="s">
        <v>101</v>
      </c>
      <c r="I1253" s="15">
        <v>45008</v>
      </c>
      <c r="J1253" s="15" t="s">
        <v>232</v>
      </c>
      <c r="K1253" s="6">
        <v>0.51527777777777772</v>
      </c>
      <c r="L1253" t="s">
        <v>143</v>
      </c>
      <c r="M1253">
        <v>50000</v>
      </c>
      <c r="N1253" t="s">
        <v>204</v>
      </c>
      <c r="O1253" t="s">
        <v>152</v>
      </c>
      <c r="P1253">
        <v>78</v>
      </c>
      <c r="Q1253" t="s">
        <v>157</v>
      </c>
    </row>
    <row r="1254" spans="1:17" x14ac:dyDescent="0.2">
      <c r="A1254">
        <v>837272</v>
      </c>
      <c r="B1254">
        <v>924</v>
      </c>
      <c r="C1254" s="1" t="s">
        <v>113</v>
      </c>
      <c r="D1254" s="11">
        <v>45023.038194444445</v>
      </c>
      <c r="E1254" t="s">
        <v>97</v>
      </c>
      <c r="F1254" t="s">
        <v>76</v>
      </c>
      <c r="G1254">
        <v>3774</v>
      </c>
      <c r="H1254" s="5" t="s">
        <v>113</v>
      </c>
      <c r="I1254" s="15">
        <v>45023</v>
      </c>
      <c r="J1254" s="15" t="s">
        <v>233</v>
      </c>
      <c r="K1254" s="6">
        <v>0.53819444444444442</v>
      </c>
      <c r="L1254" t="s">
        <v>142</v>
      </c>
      <c r="M1254">
        <v>80000</v>
      </c>
      <c r="N1254" t="s">
        <v>201</v>
      </c>
      <c r="O1254" t="s">
        <v>151</v>
      </c>
      <c r="P1254">
        <v>64</v>
      </c>
      <c r="Q1254" t="s">
        <v>155</v>
      </c>
    </row>
    <row r="1255" spans="1:17" x14ac:dyDescent="0.2">
      <c r="A1255">
        <v>837273</v>
      </c>
      <c r="B1255">
        <v>226</v>
      </c>
      <c r="C1255" s="1" t="s">
        <v>99</v>
      </c>
      <c r="D1255" s="11">
        <v>45273.977777777778</v>
      </c>
      <c r="E1255" t="s">
        <v>96</v>
      </c>
      <c r="F1255" t="s">
        <v>77</v>
      </c>
      <c r="G1255">
        <v>2647</v>
      </c>
      <c r="H1255" s="5" t="s">
        <v>99</v>
      </c>
      <c r="I1255" s="15">
        <v>45273</v>
      </c>
      <c r="J1255" s="15" t="s">
        <v>295</v>
      </c>
      <c r="K1255" s="6">
        <v>0.4777777777777778</v>
      </c>
      <c r="L1255" t="s">
        <v>146</v>
      </c>
      <c r="M1255">
        <v>100000</v>
      </c>
      <c r="N1255" t="s">
        <v>222</v>
      </c>
      <c r="O1255" t="s">
        <v>151</v>
      </c>
      <c r="P1255">
        <v>31</v>
      </c>
      <c r="Q1255" t="s">
        <v>154</v>
      </c>
    </row>
    <row r="1256" spans="1:17" x14ac:dyDescent="0.2">
      <c r="A1256">
        <v>837435</v>
      </c>
      <c r="B1256">
        <v>670</v>
      </c>
      <c r="C1256" s="1" t="s">
        <v>101</v>
      </c>
      <c r="D1256" s="11">
        <v>45173.994444444441</v>
      </c>
      <c r="E1256" t="s">
        <v>191</v>
      </c>
      <c r="F1256" t="s">
        <v>22</v>
      </c>
      <c r="G1256">
        <v>4671</v>
      </c>
      <c r="H1256" s="5" t="s">
        <v>101</v>
      </c>
      <c r="I1256" s="15">
        <v>45173</v>
      </c>
      <c r="J1256" s="15" t="s">
        <v>234</v>
      </c>
      <c r="K1256" s="6">
        <v>0.49444444444444446</v>
      </c>
      <c r="L1256" t="s">
        <v>144</v>
      </c>
      <c r="M1256">
        <v>100000</v>
      </c>
      <c r="N1256" t="s">
        <v>202</v>
      </c>
      <c r="O1256" t="s">
        <v>152</v>
      </c>
      <c r="P1256">
        <v>57</v>
      </c>
      <c r="Q1256" t="s">
        <v>155</v>
      </c>
    </row>
    <row r="1257" spans="1:17" x14ac:dyDescent="0.2">
      <c r="A1257">
        <v>837592</v>
      </c>
      <c r="B1257">
        <v>1839</v>
      </c>
      <c r="C1257" s="1" t="s">
        <v>109</v>
      </c>
      <c r="D1257" s="11">
        <v>44932.078472222223</v>
      </c>
      <c r="E1257" t="s">
        <v>97</v>
      </c>
      <c r="F1257" t="s">
        <v>43</v>
      </c>
      <c r="G1257">
        <v>4917</v>
      </c>
      <c r="H1257" s="5" t="s">
        <v>109</v>
      </c>
      <c r="I1257" s="15">
        <v>44932</v>
      </c>
      <c r="J1257" s="15" t="s">
        <v>232</v>
      </c>
      <c r="K1257" s="6">
        <v>7.8472222222222221E-2</v>
      </c>
      <c r="L1257" t="s">
        <v>145</v>
      </c>
      <c r="M1257">
        <v>1000000</v>
      </c>
      <c r="N1257" t="s">
        <v>203</v>
      </c>
      <c r="O1257" t="s">
        <v>152</v>
      </c>
      <c r="P1257">
        <v>33</v>
      </c>
      <c r="Q1257" t="s">
        <v>157</v>
      </c>
    </row>
    <row r="1258" spans="1:17" x14ac:dyDescent="0.2">
      <c r="A1258">
        <v>837731</v>
      </c>
      <c r="B1258">
        <v>783</v>
      </c>
      <c r="C1258" s="1" t="s">
        <v>99</v>
      </c>
      <c r="D1258" s="11">
        <v>45166.970833333333</v>
      </c>
      <c r="E1258" t="s">
        <v>96</v>
      </c>
      <c r="F1258" t="s">
        <v>4</v>
      </c>
      <c r="G1258">
        <v>3632</v>
      </c>
      <c r="H1258" s="5" t="s">
        <v>99</v>
      </c>
      <c r="I1258" s="15">
        <v>45166</v>
      </c>
      <c r="J1258" s="15" t="s">
        <v>234</v>
      </c>
      <c r="K1258" s="6">
        <v>0.47083333333333333</v>
      </c>
      <c r="L1258" t="s">
        <v>142</v>
      </c>
      <c r="M1258">
        <v>200000</v>
      </c>
      <c r="N1258" t="s">
        <v>197</v>
      </c>
      <c r="O1258" t="s">
        <v>152</v>
      </c>
      <c r="P1258">
        <v>42</v>
      </c>
      <c r="Q1258" t="s">
        <v>155</v>
      </c>
    </row>
    <row r="1259" spans="1:17" x14ac:dyDescent="0.2">
      <c r="A1259">
        <v>839161</v>
      </c>
      <c r="B1259">
        <v>1055</v>
      </c>
      <c r="C1259" s="1" t="s">
        <v>113</v>
      </c>
      <c r="D1259" s="11">
        <v>45160.030555555553</v>
      </c>
      <c r="E1259" t="s">
        <v>97</v>
      </c>
      <c r="F1259" t="s">
        <v>81</v>
      </c>
      <c r="G1259">
        <v>9736</v>
      </c>
      <c r="H1259" s="5" t="s">
        <v>113</v>
      </c>
      <c r="I1259" s="15">
        <v>45160</v>
      </c>
      <c r="J1259" s="15" t="s">
        <v>234</v>
      </c>
      <c r="K1259" s="6">
        <v>0.53055555555555556</v>
      </c>
      <c r="L1259" t="s">
        <v>143</v>
      </c>
      <c r="M1259">
        <v>250000</v>
      </c>
      <c r="N1259" t="s">
        <v>221</v>
      </c>
      <c r="O1259" t="s">
        <v>151</v>
      </c>
      <c r="P1259">
        <v>21</v>
      </c>
      <c r="Q1259" t="s">
        <v>156</v>
      </c>
    </row>
    <row r="1260" spans="1:17" x14ac:dyDescent="0.2">
      <c r="A1260">
        <v>840518</v>
      </c>
      <c r="B1260">
        <v>1150</v>
      </c>
      <c r="C1260" s="1" t="s">
        <v>99</v>
      </c>
      <c r="D1260" s="11">
        <v>45194.972222222219</v>
      </c>
      <c r="E1260" t="s">
        <v>96</v>
      </c>
      <c r="F1260" t="s">
        <v>82</v>
      </c>
      <c r="G1260">
        <v>4427</v>
      </c>
      <c r="H1260" s="5" t="s">
        <v>99</v>
      </c>
      <c r="I1260" s="15">
        <v>45194</v>
      </c>
      <c r="J1260" s="15" t="s">
        <v>234</v>
      </c>
      <c r="K1260" s="6">
        <v>0.47222222222222221</v>
      </c>
      <c r="L1260" t="s">
        <v>142</v>
      </c>
      <c r="M1260">
        <v>100000</v>
      </c>
      <c r="N1260" t="s">
        <v>209</v>
      </c>
      <c r="O1260" t="s">
        <v>151</v>
      </c>
      <c r="P1260">
        <v>77</v>
      </c>
      <c r="Q1260" t="s">
        <v>156</v>
      </c>
    </row>
    <row r="1261" spans="1:17" x14ac:dyDescent="0.2">
      <c r="A1261">
        <v>840743</v>
      </c>
      <c r="B1261">
        <v>736</v>
      </c>
      <c r="C1261" s="1" t="s">
        <v>99</v>
      </c>
      <c r="D1261" s="11">
        <v>45231.975694444445</v>
      </c>
      <c r="E1261" t="s">
        <v>98</v>
      </c>
      <c r="F1261" t="s">
        <v>15</v>
      </c>
      <c r="G1261">
        <v>3437</v>
      </c>
      <c r="H1261" s="5" t="s">
        <v>99</v>
      </c>
      <c r="I1261" s="15">
        <v>45231</v>
      </c>
      <c r="J1261" s="15" t="s">
        <v>295</v>
      </c>
      <c r="K1261" s="6">
        <v>0.47569444444444442</v>
      </c>
      <c r="L1261" t="s">
        <v>143</v>
      </c>
      <c r="M1261">
        <v>150000</v>
      </c>
      <c r="N1261" t="s">
        <v>198</v>
      </c>
      <c r="O1261" t="s">
        <v>151</v>
      </c>
      <c r="P1261">
        <v>50</v>
      </c>
      <c r="Q1261" t="s">
        <v>155</v>
      </c>
    </row>
    <row r="1262" spans="1:17" x14ac:dyDescent="0.2">
      <c r="A1262">
        <v>841079</v>
      </c>
      <c r="B1262">
        <v>1350</v>
      </c>
      <c r="C1262" s="1" t="s">
        <v>105</v>
      </c>
      <c r="D1262" s="11">
        <v>45110.056944444441</v>
      </c>
      <c r="E1262" t="s">
        <v>96</v>
      </c>
      <c r="F1262" t="s">
        <v>31</v>
      </c>
      <c r="G1262">
        <v>9133</v>
      </c>
      <c r="H1262" s="5" t="s">
        <v>105</v>
      </c>
      <c r="I1262" s="15">
        <v>45110</v>
      </c>
      <c r="J1262" s="15" t="s">
        <v>234</v>
      </c>
      <c r="K1262" s="6">
        <v>5.6944444444444443E-2</v>
      </c>
      <c r="L1262" t="s">
        <v>143</v>
      </c>
      <c r="M1262">
        <v>80000</v>
      </c>
      <c r="N1262" t="s">
        <v>204</v>
      </c>
      <c r="O1262" t="s">
        <v>151</v>
      </c>
      <c r="P1262">
        <v>51</v>
      </c>
      <c r="Q1262" t="s">
        <v>156</v>
      </c>
    </row>
    <row r="1263" spans="1:17" x14ac:dyDescent="0.2">
      <c r="A1263">
        <v>841572</v>
      </c>
      <c r="B1263">
        <v>622</v>
      </c>
      <c r="C1263" s="1" t="s">
        <v>113</v>
      </c>
      <c r="D1263" s="11">
        <v>44985.941666666666</v>
      </c>
      <c r="E1263" t="s">
        <v>97</v>
      </c>
      <c r="F1263" t="s">
        <v>78</v>
      </c>
      <c r="G1263">
        <v>7748</v>
      </c>
      <c r="H1263" s="5" t="s">
        <v>113</v>
      </c>
      <c r="I1263" s="15">
        <v>44985</v>
      </c>
      <c r="J1263" s="15" t="s">
        <v>232</v>
      </c>
      <c r="K1263" s="6">
        <v>0.44166666666666665</v>
      </c>
      <c r="L1263" t="s">
        <v>143</v>
      </c>
      <c r="M1263">
        <v>200000</v>
      </c>
      <c r="N1263" t="s">
        <v>215</v>
      </c>
      <c r="O1263" t="s">
        <v>151</v>
      </c>
      <c r="P1263">
        <v>71</v>
      </c>
      <c r="Q1263" t="s">
        <v>155</v>
      </c>
    </row>
    <row r="1264" spans="1:17" x14ac:dyDescent="0.2">
      <c r="A1264">
        <v>844238</v>
      </c>
      <c r="B1264">
        <v>16</v>
      </c>
      <c r="C1264" s="1" t="s">
        <v>103</v>
      </c>
      <c r="D1264" s="11">
        <v>45131.027777777781</v>
      </c>
      <c r="E1264" t="s">
        <v>97</v>
      </c>
      <c r="F1264" t="s">
        <v>27</v>
      </c>
      <c r="G1264">
        <v>4887</v>
      </c>
      <c r="H1264" s="5" t="s">
        <v>103</v>
      </c>
      <c r="I1264" s="15">
        <v>45131</v>
      </c>
      <c r="J1264" s="15" t="s">
        <v>234</v>
      </c>
      <c r="K1264" s="6">
        <v>0.52777777777777779</v>
      </c>
      <c r="L1264" t="s">
        <v>142</v>
      </c>
      <c r="M1264">
        <v>1000000</v>
      </c>
      <c r="N1264" t="s">
        <v>209</v>
      </c>
      <c r="O1264" t="s">
        <v>152</v>
      </c>
      <c r="P1264">
        <v>81</v>
      </c>
      <c r="Q1264" t="s">
        <v>154</v>
      </c>
    </row>
    <row r="1265" spans="1:17" x14ac:dyDescent="0.2">
      <c r="A1265">
        <v>844243</v>
      </c>
      <c r="B1265">
        <v>1897</v>
      </c>
      <c r="C1265" s="1" t="s">
        <v>99</v>
      </c>
      <c r="D1265" s="11">
        <v>45156.940972222219</v>
      </c>
      <c r="E1265" t="s">
        <v>192</v>
      </c>
      <c r="F1265" t="s">
        <v>39</v>
      </c>
      <c r="G1265">
        <v>911</v>
      </c>
      <c r="H1265" s="5" t="s">
        <v>99</v>
      </c>
      <c r="I1265" s="15">
        <v>45156</v>
      </c>
      <c r="J1265" s="15" t="s">
        <v>234</v>
      </c>
      <c r="K1265" s="6">
        <v>0.44097222222222221</v>
      </c>
      <c r="L1265" t="s">
        <v>146</v>
      </c>
      <c r="M1265">
        <v>100000</v>
      </c>
      <c r="N1265" t="s">
        <v>212</v>
      </c>
      <c r="O1265" t="s">
        <v>152</v>
      </c>
      <c r="P1265">
        <v>28</v>
      </c>
      <c r="Q1265" t="s">
        <v>157</v>
      </c>
    </row>
    <row r="1266" spans="1:17" x14ac:dyDescent="0.2">
      <c r="A1266">
        <v>844669</v>
      </c>
      <c r="B1266">
        <v>1599</v>
      </c>
      <c r="C1266" s="1" t="s">
        <v>99</v>
      </c>
      <c r="D1266" s="11">
        <v>45202.003472222219</v>
      </c>
      <c r="E1266" t="s">
        <v>98</v>
      </c>
      <c r="F1266" t="s">
        <v>27</v>
      </c>
      <c r="G1266">
        <v>3252</v>
      </c>
      <c r="H1266" s="5" t="s">
        <v>99</v>
      </c>
      <c r="I1266" s="15">
        <v>45202</v>
      </c>
      <c r="J1266" s="15" t="s">
        <v>295</v>
      </c>
      <c r="K1266" s="6">
        <v>0.50347222222222221</v>
      </c>
      <c r="L1266" t="s">
        <v>142</v>
      </c>
      <c r="M1266">
        <v>1000000</v>
      </c>
      <c r="N1266" t="s">
        <v>209</v>
      </c>
      <c r="O1266" t="s">
        <v>151</v>
      </c>
      <c r="P1266">
        <v>81</v>
      </c>
      <c r="Q1266" t="s">
        <v>157</v>
      </c>
    </row>
    <row r="1267" spans="1:17" x14ac:dyDescent="0.2">
      <c r="A1267">
        <v>844797</v>
      </c>
      <c r="B1267">
        <v>1785</v>
      </c>
      <c r="C1267" s="1" t="s">
        <v>106</v>
      </c>
      <c r="D1267" s="11">
        <v>45231.07916666667</v>
      </c>
      <c r="E1267" t="s">
        <v>191</v>
      </c>
      <c r="F1267" t="s">
        <v>27</v>
      </c>
      <c r="G1267">
        <v>4452</v>
      </c>
      <c r="H1267" s="5" t="s">
        <v>106</v>
      </c>
      <c r="I1267" s="15">
        <v>45231</v>
      </c>
      <c r="J1267" s="15" t="s">
        <v>295</v>
      </c>
      <c r="K1267" s="6">
        <v>7.9166666666666663E-2</v>
      </c>
      <c r="L1267" t="s">
        <v>142</v>
      </c>
      <c r="M1267">
        <v>1000000</v>
      </c>
      <c r="N1267" t="s">
        <v>209</v>
      </c>
      <c r="O1267" t="s">
        <v>152</v>
      </c>
      <c r="P1267">
        <v>42</v>
      </c>
      <c r="Q1267" t="s">
        <v>157</v>
      </c>
    </row>
    <row r="1268" spans="1:17" x14ac:dyDescent="0.2">
      <c r="A1268">
        <v>844829</v>
      </c>
      <c r="B1268">
        <v>1597</v>
      </c>
      <c r="C1268" s="1" t="s">
        <v>108</v>
      </c>
      <c r="D1268" s="11">
        <v>44963.022916666669</v>
      </c>
      <c r="E1268" t="s">
        <v>98</v>
      </c>
      <c r="F1268" t="s">
        <v>17</v>
      </c>
      <c r="G1268">
        <v>6954</v>
      </c>
      <c r="H1268" s="5" t="s">
        <v>108</v>
      </c>
      <c r="I1268" s="15">
        <v>44963</v>
      </c>
      <c r="J1268" s="15" t="s">
        <v>232</v>
      </c>
      <c r="K1268" s="6">
        <v>0.5229166666666667</v>
      </c>
      <c r="L1268" t="s">
        <v>142</v>
      </c>
      <c r="M1268">
        <v>100000</v>
      </c>
      <c r="N1268" t="s">
        <v>209</v>
      </c>
      <c r="O1268" t="s">
        <v>152</v>
      </c>
      <c r="P1268">
        <v>44</v>
      </c>
      <c r="Q1268" t="s">
        <v>157</v>
      </c>
    </row>
    <row r="1269" spans="1:17" x14ac:dyDescent="0.2">
      <c r="A1269">
        <v>845718</v>
      </c>
      <c r="B1269">
        <v>90</v>
      </c>
      <c r="C1269" s="1" t="s">
        <v>99</v>
      </c>
      <c r="D1269" s="11">
        <v>44972.959027777775</v>
      </c>
      <c r="E1269" t="s">
        <v>96</v>
      </c>
      <c r="F1269" t="s">
        <v>44</v>
      </c>
      <c r="G1269">
        <v>1208</v>
      </c>
      <c r="H1269" s="5" t="s">
        <v>99</v>
      </c>
      <c r="I1269" s="15">
        <v>44972</v>
      </c>
      <c r="J1269" s="15" t="s">
        <v>232</v>
      </c>
      <c r="K1269" s="6">
        <v>0.45902777777777776</v>
      </c>
      <c r="L1269" t="s">
        <v>144</v>
      </c>
      <c r="M1269">
        <v>150000</v>
      </c>
      <c r="N1269" t="s">
        <v>199</v>
      </c>
      <c r="O1269" t="s">
        <v>152</v>
      </c>
      <c r="P1269">
        <v>48</v>
      </c>
      <c r="Q1269" t="s">
        <v>154</v>
      </c>
    </row>
    <row r="1270" spans="1:17" x14ac:dyDescent="0.2">
      <c r="A1270">
        <v>845773</v>
      </c>
      <c r="B1270">
        <v>509</v>
      </c>
      <c r="C1270" s="1" t="s">
        <v>100</v>
      </c>
      <c r="D1270" s="11">
        <v>45219.024305555555</v>
      </c>
      <c r="E1270" t="s">
        <v>96</v>
      </c>
      <c r="F1270" t="s">
        <v>81</v>
      </c>
      <c r="G1270">
        <v>1906</v>
      </c>
      <c r="H1270" s="5" t="s">
        <v>100</v>
      </c>
      <c r="I1270" s="15">
        <v>45219</v>
      </c>
      <c r="J1270" s="15" t="s">
        <v>295</v>
      </c>
      <c r="K1270" s="6">
        <v>0.52430555555555558</v>
      </c>
      <c r="L1270" t="s">
        <v>143</v>
      </c>
      <c r="M1270">
        <v>250000</v>
      </c>
      <c r="N1270" t="s">
        <v>221</v>
      </c>
      <c r="O1270" t="s">
        <v>151</v>
      </c>
      <c r="P1270">
        <v>24</v>
      </c>
      <c r="Q1270" t="s">
        <v>155</v>
      </c>
    </row>
    <row r="1271" spans="1:17" x14ac:dyDescent="0.2">
      <c r="A1271">
        <v>846161</v>
      </c>
      <c r="B1271">
        <v>458</v>
      </c>
      <c r="C1271" s="1" t="s">
        <v>102</v>
      </c>
      <c r="D1271" s="11">
        <v>45124.002083333333</v>
      </c>
      <c r="E1271" t="s">
        <v>191</v>
      </c>
      <c r="F1271" t="s">
        <v>88</v>
      </c>
      <c r="G1271">
        <v>2523</v>
      </c>
      <c r="H1271" s="5" t="s">
        <v>102</v>
      </c>
      <c r="I1271" s="15">
        <v>45124</v>
      </c>
      <c r="J1271" s="15" t="s">
        <v>234</v>
      </c>
      <c r="K1271" s="6">
        <v>0.50208333333333333</v>
      </c>
      <c r="L1271" t="s">
        <v>144</v>
      </c>
      <c r="M1271">
        <v>100000</v>
      </c>
      <c r="N1271" t="s">
        <v>200</v>
      </c>
      <c r="O1271" t="s">
        <v>151</v>
      </c>
      <c r="P1271">
        <v>60</v>
      </c>
      <c r="Q1271" t="s">
        <v>154</v>
      </c>
    </row>
    <row r="1272" spans="1:17" x14ac:dyDescent="0.2">
      <c r="A1272">
        <v>846198</v>
      </c>
      <c r="B1272">
        <v>312</v>
      </c>
      <c r="C1272" s="1" t="s">
        <v>107</v>
      </c>
      <c r="D1272" s="11">
        <v>45235.959722222222</v>
      </c>
      <c r="E1272" t="s">
        <v>96</v>
      </c>
      <c r="F1272" t="s">
        <v>46</v>
      </c>
      <c r="G1272">
        <v>9762</v>
      </c>
      <c r="H1272" s="5" t="s">
        <v>107</v>
      </c>
      <c r="I1272" s="15">
        <v>45235</v>
      </c>
      <c r="J1272" s="15" t="s">
        <v>295</v>
      </c>
      <c r="K1272" s="6">
        <v>0.4597222222222222</v>
      </c>
      <c r="L1272" t="s">
        <v>142</v>
      </c>
      <c r="M1272">
        <v>200000</v>
      </c>
      <c r="N1272" t="s">
        <v>211</v>
      </c>
      <c r="O1272" t="s">
        <v>151</v>
      </c>
      <c r="P1272">
        <v>38</v>
      </c>
      <c r="Q1272" t="s">
        <v>154</v>
      </c>
    </row>
    <row r="1273" spans="1:17" x14ac:dyDescent="0.2">
      <c r="A1273">
        <v>846209</v>
      </c>
      <c r="B1273">
        <v>1271</v>
      </c>
      <c r="C1273" s="1" t="s">
        <v>100</v>
      </c>
      <c r="D1273" s="11">
        <v>44977.040277777778</v>
      </c>
      <c r="E1273" t="s">
        <v>98</v>
      </c>
      <c r="F1273" t="s">
        <v>8</v>
      </c>
      <c r="G1273">
        <v>9945</v>
      </c>
      <c r="H1273" s="5" t="s">
        <v>100</v>
      </c>
      <c r="I1273" s="15">
        <v>44977</v>
      </c>
      <c r="J1273" s="15" t="s">
        <v>232</v>
      </c>
      <c r="K1273" s="6">
        <v>0.54027777777777775</v>
      </c>
      <c r="L1273" t="s">
        <v>142</v>
      </c>
      <c r="M1273">
        <v>200000</v>
      </c>
      <c r="N1273" t="s">
        <v>201</v>
      </c>
      <c r="O1273" t="s">
        <v>152</v>
      </c>
      <c r="P1273">
        <v>43</v>
      </c>
      <c r="Q1273" t="s">
        <v>156</v>
      </c>
    </row>
    <row r="1274" spans="1:17" x14ac:dyDescent="0.2">
      <c r="A1274">
        <v>846419</v>
      </c>
      <c r="B1274">
        <v>1731</v>
      </c>
      <c r="C1274" s="1" t="s">
        <v>105</v>
      </c>
      <c r="D1274" s="11">
        <v>45080.944444444445</v>
      </c>
      <c r="E1274" t="s">
        <v>97</v>
      </c>
      <c r="F1274" t="s">
        <v>90</v>
      </c>
      <c r="G1274">
        <v>3664</v>
      </c>
      <c r="H1274" s="5" t="s">
        <v>105</v>
      </c>
      <c r="I1274" s="15">
        <v>45080</v>
      </c>
      <c r="J1274" s="15" t="s">
        <v>233</v>
      </c>
      <c r="K1274" s="6">
        <v>0.44444444444444442</v>
      </c>
      <c r="L1274" t="s">
        <v>142</v>
      </c>
      <c r="M1274">
        <v>150000</v>
      </c>
      <c r="N1274" t="s">
        <v>208</v>
      </c>
      <c r="O1274" t="s">
        <v>151</v>
      </c>
      <c r="P1274">
        <v>65</v>
      </c>
      <c r="Q1274" t="s">
        <v>157</v>
      </c>
    </row>
    <row r="1275" spans="1:17" x14ac:dyDescent="0.2">
      <c r="A1275">
        <v>846919</v>
      </c>
      <c r="B1275">
        <v>338</v>
      </c>
      <c r="C1275" s="1" t="s">
        <v>113</v>
      </c>
      <c r="D1275" s="11">
        <v>45158.088194444441</v>
      </c>
      <c r="E1275" t="s">
        <v>98</v>
      </c>
      <c r="F1275" t="s">
        <v>43</v>
      </c>
      <c r="G1275">
        <v>2100</v>
      </c>
      <c r="H1275" s="5" t="s">
        <v>113</v>
      </c>
      <c r="I1275" s="15">
        <v>45158</v>
      </c>
      <c r="J1275" s="15" t="s">
        <v>234</v>
      </c>
      <c r="K1275" s="6">
        <v>8.819444444444445E-2</v>
      </c>
      <c r="L1275" t="s">
        <v>145</v>
      </c>
      <c r="M1275">
        <v>1000000</v>
      </c>
      <c r="N1275" t="s">
        <v>203</v>
      </c>
      <c r="O1275" t="s">
        <v>152</v>
      </c>
      <c r="P1275">
        <v>51</v>
      </c>
      <c r="Q1275" t="s">
        <v>154</v>
      </c>
    </row>
    <row r="1276" spans="1:17" x14ac:dyDescent="0.2">
      <c r="A1276">
        <v>847595</v>
      </c>
      <c r="B1276">
        <v>558</v>
      </c>
      <c r="C1276" s="1" t="s">
        <v>113</v>
      </c>
      <c r="D1276" s="11">
        <v>45115.056944444441</v>
      </c>
      <c r="E1276" t="s">
        <v>96</v>
      </c>
      <c r="F1276" t="s">
        <v>91</v>
      </c>
      <c r="G1276">
        <v>7327</v>
      </c>
      <c r="H1276" s="5" t="s">
        <v>113</v>
      </c>
      <c r="I1276" s="15">
        <v>45115</v>
      </c>
      <c r="J1276" s="15" t="s">
        <v>234</v>
      </c>
      <c r="K1276" s="6">
        <v>5.6944444444444443E-2</v>
      </c>
      <c r="L1276" t="s">
        <v>142</v>
      </c>
      <c r="M1276">
        <v>100000</v>
      </c>
      <c r="N1276" t="s">
        <v>213</v>
      </c>
      <c r="O1276" t="s">
        <v>152</v>
      </c>
      <c r="P1276">
        <v>72</v>
      </c>
      <c r="Q1276" t="s">
        <v>155</v>
      </c>
    </row>
    <row r="1277" spans="1:17" x14ac:dyDescent="0.2">
      <c r="A1277">
        <v>848551</v>
      </c>
      <c r="B1277">
        <v>330</v>
      </c>
      <c r="C1277" s="1" t="s">
        <v>113</v>
      </c>
      <c r="D1277" s="11">
        <v>44951.008333333331</v>
      </c>
      <c r="E1277" t="s">
        <v>191</v>
      </c>
      <c r="F1277" t="s">
        <v>78</v>
      </c>
      <c r="G1277">
        <v>6624</v>
      </c>
      <c r="H1277" s="5" t="s">
        <v>113</v>
      </c>
      <c r="I1277" s="15">
        <v>44951</v>
      </c>
      <c r="J1277" s="15" t="s">
        <v>232</v>
      </c>
      <c r="K1277" s="6">
        <v>0.5083333333333333</v>
      </c>
      <c r="L1277" t="s">
        <v>143</v>
      </c>
      <c r="M1277">
        <v>200000</v>
      </c>
      <c r="N1277" t="s">
        <v>215</v>
      </c>
      <c r="O1277" t="s">
        <v>152</v>
      </c>
      <c r="P1277">
        <v>43</v>
      </c>
      <c r="Q1277" t="s">
        <v>154</v>
      </c>
    </row>
    <row r="1278" spans="1:17" x14ac:dyDescent="0.2">
      <c r="A1278">
        <v>848868</v>
      </c>
      <c r="B1278">
        <v>1010</v>
      </c>
      <c r="C1278" s="1" t="s">
        <v>105</v>
      </c>
      <c r="D1278" s="11">
        <v>45132.988888888889</v>
      </c>
      <c r="E1278" t="s">
        <v>97</v>
      </c>
      <c r="F1278" t="s">
        <v>56</v>
      </c>
      <c r="G1278">
        <v>7710</v>
      </c>
      <c r="H1278" s="5" t="s">
        <v>105</v>
      </c>
      <c r="I1278" s="15">
        <v>45132</v>
      </c>
      <c r="J1278" s="15" t="s">
        <v>234</v>
      </c>
      <c r="K1278" s="6">
        <v>0.48888888888888887</v>
      </c>
      <c r="L1278" t="s">
        <v>146</v>
      </c>
      <c r="M1278">
        <v>50000</v>
      </c>
      <c r="N1278" t="s">
        <v>220</v>
      </c>
      <c r="O1278" t="s">
        <v>152</v>
      </c>
      <c r="P1278">
        <v>28</v>
      </c>
      <c r="Q1278" t="s">
        <v>156</v>
      </c>
    </row>
    <row r="1279" spans="1:17" x14ac:dyDescent="0.2">
      <c r="A1279">
        <v>849992</v>
      </c>
      <c r="B1279">
        <v>445</v>
      </c>
      <c r="C1279" s="1" t="s">
        <v>99</v>
      </c>
      <c r="D1279" s="11">
        <v>44940.959027777775</v>
      </c>
      <c r="E1279" t="s">
        <v>191</v>
      </c>
      <c r="F1279" t="s">
        <v>34</v>
      </c>
      <c r="G1279">
        <v>4522</v>
      </c>
      <c r="H1279" s="5" t="s">
        <v>99</v>
      </c>
      <c r="I1279" s="15">
        <v>44940</v>
      </c>
      <c r="J1279" s="15" t="s">
        <v>232</v>
      </c>
      <c r="K1279" s="6">
        <v>0.45902777777777776</v>
      </c>
      <c r="L1279" t="s">
        <v>144</v>
      </c>
      <c r="M1279">
        <v>150000</v>
      </c>
      <c r="N1279" t="s">
        <v>218</v>
      </c>
      <c r="O1279" t="s">
        <v>152</v>
      </c>
      <c r="P1279">
        <v>47</v>
      </c>
      <c r="Q1279" t="s">
        <v>154</v>
      </c>
    </row>
    <row r="1280" spans="1:17" x14ac:dyDescent="0.2">
      <c r="A1280">
        <v>850051</v>
      </c>
      <c r="B1280">
        <v>1914</v>
      </c>
      <c r="C1280" s="1" t="s">
        <v>101</v>
      </c>
      <c r="D1280" s="11">
        <v>45230.986111111109</v>
      </c>
      <c r="E1280" t="s">
        <v>97</v>
      </c>
      <c r="F1280" t="s">
        <v>87</v>
      </c>
      <c r="G1280">
        <v>6638</v>
      </c>
      <c r="H1280" s="5" t="s">
        <v>101</v>
      </c>
      <c r="I1280" s="15">
        <v>45230</v>
      </c>
      <c r="J1280" s="15" t="s">
        <v>295</v>
      </c>
      <c r="K1280" s="6">
        <v>0.4861111111111111</v>
      </c>
      <c r="L1280" t="s">
        <v>144</v>
      </c>
      <c r="M1280">
        <v>100000</v>
      </c>
      <c r="N1280" t="s">
        <v>216</v>
      </c>
      <c r="O1280" t="s">
        <v>151</v>
      </c>
      <c r="P1280">
        <v>34</v>
      </c>
      <c r="Q1280" t="s">
        <v>157</v>
      </c>
    </row>
    <row r="1281" spans="1:17" x14ac:dyDescent="0.2">
      <c r="A1281">
        <v>850122</v>
      </c>
      <c r="B1281">
        <v>1112</v>
      </c>
      <c r="C1281" s="1" t="s">
        <v>105</v>
      </c>
      <c r="D1281" s="11">
        <v>45096.071527777778</v>
      </c>
      <c r="E1281" t="s">
        <v>98</v>
      </c>
      <c r="F1281" t="s">
        <v>40</v>
      </c>
      <c r="G1281">
        <v>8887</v>
      </c>
      <c r="H1281" s="5" t="s">
        <v>105</v>
      </c>
      <c r="I1281" s="15">
        <v>45096</v>
      </c>
      <c r="J1281" s="15" t="s">
        <v>233</v>
      </c>
      <c r="K1281" s="6">
        <v>7.1527777777777773E-2</v>
      </c>
      <c r="L1281" t="s">
        <v>142</v>
      </c>
      <c r="M1281">
        <v>150000</v>
      </c>
      <c r="N1281" t="s">
        <v>207</v>
      </c>
      <c r="O1281" t="s">
        <v>152</v>
      </c>
      <c r="P1281">
        <v>30</v>
      </c>
      <c r="Q1281" t="s">
        <v>156</v>
      </c>
    </row>
    <row r="1282" spans="1:17" x14ac:dyDescent="0.2">
      <c r="A1282">
        <v>850897</v>
      </c>
      <c r="B1282">
        <v>297</v>
      </c>
      <c r="C1282" s="1" t="s">
        <v>113</v>
      </c>
      <c r="D1282" s="11">
        <v>45056.027777777781</v>
      </c>
      <c r="E1282" t="s">
        <v>191</v>
      </c>
      <c r="F1282" t="s">
        <v>69</v>
      </c>
      <c r="G1282">
        <v>975</v>
      </c>
      <c r="H1282" s="5" t="s">
        <v>113</v>
      </c>
      <c r="I1282" s="15">
        <v>45056</v>
      </c>
      <c r="J1282" s="15" t="s">
        <v>233</v>
      </c>
      <c r="K1282" s="6">
        <v>0.52777777777777779</v>
      </c>
      <c r="L1282" t="s">
        <v>146</v>
      </c>
      <c r="M1282">
        <v>250000</v>
      </c>
      <c r="N1282" t="s">
        <v>225</v>
      </c>
      <c r="O1282" t="s">
        <v>151</v>
      </c>
      <c r="P1282">
        <v>25</v>
      </c>
      <c r="Q1282" t="s">
        <v>154</v>
      </c>
    </row>
    <row r="1283" spans="1:17" x14ac:dyDescent="0.2">
      <c r="A1283">
        <v>854481</v>
      </c>
      <c r="B1283">
        <v>712</v>
      </c>
      <c r="C1283" s="1" t="s">
        <v>99</v>
      </c>
      <c r="D1283" s="11">
        <v>45278.947222222225</v>
      </c>
      <c r="E1283" t="s">
        <v>96</v>
      </c>
      <c r="F1283" t="s">
        <v>26</v>
      </c>
      <c r="G1283">
        <v>1745</v>
      </c>
      <c r="H1283" s="5" t="s">
        <v>99</v>
      </c>
      <c r="I1283" s="15">
        <v>45278</v>
      </c>
      <c r="J1283" s="15" t="s">
        <v>295</v>
      </c>
      <c r="K1283" s="6">
        <v>0.44722222222222224</v>
      </c>
      <c r="L1283" t="s">
        <v>145</v>
      </c>
      <c r="M1283">
        <v>100000</v>
      </c>
      <c r="N1283" t="s">
        <v>210</v>
      </c>
      <c r="O1283" t="s">
        <v>151</v>
      </c>
      <c r="P1283">
        <v>90</v>
      </c>
      <c r="Q1283" t="s">
        <v>155</v>
      </c>
    </row>
    <row r="1284" spans="1:17" x14ac:dyDescent="0.2">
      <c r="A1284">
        <v>857496</v>
      </c>
      <c r="B1284">
        <v>597</v>
      </c>
      <c r="C1284" s="1" t="s">
        <v>100</v>
      </c>
      <c r="D1284" s="11">
        <v>44997.044444444444</v>
      </c>
      <c r="E1284" t="s">
        <v>98</v>
      </c>
      <c r="F1284" t="s">
        <v>27</v>
      </c>
      <c r="G1284">
        <v>4933</v>
      </c>
      <c r="H1284" s="5" t="s">
        <v>100</v>
      </c>
      <c r="I1284" s="15">
        <v>44997</v>
      </c>
      <c r="J1284" s="15" t="s">
        <v>232</v>
      </c>
      <c r="K1284" s="6">
        <v>4.4444444444444446E-2</v>
      </c>
      <c r="L1284" t="s">
        <v>142</v>
      </c>
      <c r="M1284">
        <v>1000000</v>
      </c>
      <c r="N1284" t="s">
        <v>209</v>
      </c>
      <c r="O1284" t="s">
        <v>152</v>
      </c>
      <c r="P1284">
        <v>43</v>
      </c>
      <c r="Q1284" t="s">
        <v>155</v>
      </c>
    </row>
    <row r="1285" spans="1:17" x14ac:dyDescent="0.2">
      <c r="A1285">
        <v>858083</v>
      </c>
      <c r="B1285">
        <v>569</v>
      </c>
      <c r="C1285" s="1" t="s">
        <v>99</v>
      </c>
      <c r="D1285" s="11">
        <v>45004.017361111109</v>
      </c>
      <c r="E1285" t="s">
        <v>98</v>
      </c>
      <c r="F1285" t="s">
        <v>81</v>
      </c>
      <c r="G1285">
        <v>5575</v>
      </c>
      <c r="H1285" s="5" t="s">
        <v>99</v>
      </c>
      <c r="I1285" s="15">
        <v>45004</v>
      </c>
      <c r="J1285" s="15" t="s">
        <v>232</v>
      </c>
      <c r="K1285" s="6">
        <v>0.51736111111111116</v>
      </c>
      <c r="L1285" t="s">
        <v>143</v>
      </c>
      <c r="M1285">
        <v>250000</v>
      </c>
      <c r="N1285" t="s">
        <v>221</v>
      </c>
      <c r="O1285" t="s">
        <v>151</v>
      </c>
      <c r="P1285">
        <v>62</v>
      </c>
      <c r="Q1285" t="s">
        <v>155</v>
      </c>
    </row>
    <row r="1286" spans="1:17" x14ac:dyDescent="0.2">
      <c r="A1286">
        <v>858912</v>
      </c>
      <c r="B1286">
        <v>1105</v>
      </c>
      <c r="C1286" s="1" t="s">
        <v>100</v>
      </c>
      <c r="D1286" s="11">
        <v>45086.005555555559</v>
      </c>
      <c r="E1286" t="s">
        <v>96</v>
      </c>
      <c r="F1286" t="s">
        <v>71</v>
      </c>
      <c r="G1286">
        <v>4421</v>
      </c>
      <c r="H1286" s="5" t="s">
        <v>100</v>
      </c>
      <c r="I1286" s="15">
        <v>45086</v>
      </c>
      <c r="J1286" s="15" t="s">
        <v>233</v>
      </c>
      <c r="K1286" s="6">
        <v>0.50555555555555554</v>
      </c>
      <c r="L1286" t="s">
        <v>145</v>
      </c>
      <c r="M1286">
        <v>150000</v>
      </c>
      <c r="N1286" t="s">
        <v>226</v>
      </c>
      <c r="O1286" t="s">
        <v>152</v>
      </c>
      <c r="P1286">
        <v>79</v>
      </c>
      <c r="Q1286" t="s">
        <v>156</v>
      </c>
    </row>
    <row r="1287" spans="1:17" x14ac:dyDescent="0.2">
      <c r="A1287">
        <v>859166</v>
      </c>
      <c r="B1287">
        <v>982</v>
      </c>
      <c r="C1287" s="1" t="s">
        <v>99</v>
      </c>
      <c r="D1287" s="11">
        <v>45103.04791666667</v>
      </c>
      <c r="E1287" t="s">
        <v>97</v>
      </c>
      <c r="F1287" t="s">
        <v>7</v>
      </c>
      <c r="G1287">
        <v>34</v>
      </c>
      <c r="H1287" s="5" t="s">
        <v>99</v>
      </c>
      <c r="I1287" s="15">
        <v>45103</v>
      </c>
      <c r="J1287" s="15" t="s">
        <v>233</v>
      </c>
      <c r="K1287" s="6">
        <v>4.791666666666667E-2</v>
      </c>
      <c r="L1287" t="s">
        <v>144</v>
      </c>
      <c r="M1287">
        <v>150000</v>
      </c>
      <c r="N1287" t="s">
        <v>200</v>
      </c>
      <c r="O1287" t="s">
        <v>152</v>
      </c>
      <c r="P1287">
        <v>35</v>
      </c>
      <c r="Q1287" t="s">
        <v>155</v>
      </c>
    </row>
    <row r="1288" spans="1:17" x14ac:dyDescent="0.2">
      <c r="A1288">
        <v>860417</v>
      </c>
      <c r="B1288">
        <v>1546</v>
      </c>
      <c r="C1288" s="1" t="s">
        <v>104</v>
      </c>
      <c r="D1288" s="11">
        <v>45280.050694444442</v>
      </c>
      <c r="E1288" t="s">
        <v>98</v>
      </c>
      <c r="F1288" t="s">
        <v>27</v>
      </c>
      <c r="G1288">
        <v>2332</v>
      </c>
      <c r="H1288" s="5" t="s">
        <v>104</v>
      </c>
      <c r="I1288" s="15">
        <v>45280</v>
      </c>
      <c r="J1288" s="15" t="s">
        <v>295</v>
      </c>
      <c r="K1288" s="6">
        <v>5.0694444444444445E-2</v>
      </c>
      <c r="L1288" t="s">
        <v>142</v>
      </c>
      <c r="M1288">
        <v>1000000</v>
      </c>
      <c r="N1288" t="s">
        <v>209</v>
      </c>
      <c r="O1288" t="s">
        <v>152</v>
      </c>
      <c r="P1288">
        <v>33</v>
      </c>
      <c r="Q1288" t="s">
        <v>157</v>
      </c>
    </row>
    <row r="1289" spans="1:17" x14ac:dyDescent="0.2">
      <c r="A1289">
        <v>860659</v>
      </c>
      <c r="B1289">
        <v>1635</v>
      </c>
      <c r="C1289" s="1" t="s">
        <v>99</v>
      </c>
      <c r="D1289" s="11">
        <v>45247.038888888892</v>
      </c>
      <c r="E1289" t="s">
        <v>97</v>
      </c>
      <c r="F1289" t="s">
        <v>65</v>
      </c>
      <c r="G1289">
        <v>9192</v>
      </c>
      <c r="H1289" s="5" t="s">
        <v>99</v>
      </c>
      <c r="I1289" s="15">
        <v>45247</v>
      </c>
      <c r="J1289" s="15" t="s">
        <v>295</v>
      </c>
      <c r="K1289" s="6">
        <v>0.53888888888888886</v>
      </c>
      <c r="L1289" t="s">
        <v>146</v>
      </c>
      <c r="M1289">
        <v>200000</v>
      </c>
      <c r="N1289" t="s">
        <v>225</v>
      </c>
      <c r="O1289" t="s">
        <v>151</v>
      </c>
      <c r="P1289">
        <v>41</v>
      </c>
      <c r="Q1289" t="s">
        <v>157</v>
      </c>
    </row>
    <row r="1290" spans="1:17" x14ac:dyDescent="0.2">
      <c r="A1290">
        <v>861120</v>
      </c>
      <c r="B1290">
        <v>1274</v>
      </c>
      <c r="C1290" s="1" t="s">
        <v>99</v>
      </c>
      <c r="D1290" s="11">
        <v>45100.018055555556</v>
      </c>
      <c r="E1290" t="s">
        <v>191</v>
      </c>
      <c r="F1290" t="s">
        <v>24</v>
      </c>
      <c r="G1290">
        <v>6826</v>
      </c>
      <c r="H1290" s="5" t="s">
        <v>99</v>
      </c>
      <c r="I1290" s="15">
        <v>45100</v>
      </c>
      <c r="J1290" s="15" t="s">
        <v>233</v>
      </c>
      <c r="K1290" s="6">
        <v>0.5180555555555556</v>
      </c>
      <c r="L1290" t="s">
        <v>143</v>
      </c>
      <c r="M1290">
        <v>200000</v>
      </c>
      <c r="N1290" t="s">
        <v>214</v>
      </c>
      <c r="O1290" t="s">
        <v>152</v>
      </c>
      <c r="P1290">
        <v>78</v>
      </c>
      <c r="Q1290" t="s">
        <v>156</v>
      </c>
    </row>
    <row r="1291" spans="1:17" x14ac:dyDescent="0.2">
      <c r="A1291">
        <v>861875</v>
      </c>
      <c r="B1291">
        <v>1398</v>
      </c>
      <c r="C1291" s="1" t="s">
        <v>108</v>
      </c>
      <c r="D1291" s="11">
        <v>45058.030555555553</v>
      </c>
      <c r="E1291" t="s">
        <v>191</v>
      </c>
      <c r="F1291" t="s">
        <v>52</v>
      </c>
      <c r="G1291">
        <v>3774</v>
      </c>
      <c r="H1291" s="5" t="s">
        <v>108</v>
      </c>
      <c r="I1291" s="15">
        <v>45058</v>
      </c>
      <c r="J1291" s="15" t="s">
        <v>233</v>
      </c>
      <c r="K1291" s="6">
        <v>0.53055555555555556</v>
      </c>
      <c r="L1291" t="s">
        <v>143</v>
      </c>
      <c r="M1291">
        <v>100000</v>
      </c>
      <c r="N1291" t="s">
        <v>206</v>
      </c>
      <c r="O1291" t="s">
        <v>152</v>
      </c>
      <c r="P1291">
        <v>44</v>
      </c>
      <c r="Q1291" t="s">
        <v>156</v>
      </c>
    </row>
    <row r="1292" spans="1:17" x14ac:dyDescent="0.2">
      <c r="A1292">
        <v>862127</v>
      </c>
      <c r="B1292">
        <v>1388</v>
      </c>
      <c r="C1292" s="1" t="s">
        <v>106</v>
      </c>
      <c r="D1292" s="11">
        <v>45140.057638888888</v>
      </c>
      <c r="E1292" t="s">
        <v>191</v>
      </c>
      <c r="F1292" t="s">
        <v>30</v>
      </c>
      <c r="G1292">
        <v>891</v>
      </c>
      <c r="H1292" s="5" t="s">
        <v>106</v>
      </c>
      <c r="I1292" s="15">
        <v>45140</v>
      </c>
      <c r="J1292" s="15" t="s">
        <v>234</v>
      </c>
      <c r="K1292" s="6">
        <v>5.7638888888888892E-2</v>
      </c>
      <c r="L1292" t="s">
        <v>144</v>
      </c>
      <c r="M1292">
        <v>200000</v>
      </c>
      <c r="N1292" t="s">
        <v>216</v>
      </c>
      <c r="O1292" t="s">
        <v>152</v>
      </c>
      <c r="P1292">
        <v>65</v>
      </c>
      <c r="Q1292" t="s">
        <v>156</v>
      </c>
    </row>
    <row r="1293" spans="1:17" x14ac:dyDescent="0.2">
      <c r="A1293">
        <v>862595</v>
      </c>
      <c r="B1293">
        <v>1734</v>
      </c>
      <c r="C1293" s="1" t="s">
        <v>99</v>
      </c>
      <c r="D1293" s="11">
        <v>45101.031944444447</v>
      </c>
      <c r="E1293" t="s">
        <v>96</v>
      </c>
      <c r="F1293" t="s">
        <v>27</v>
      </c>
      <c r="G1293">
        <v>2309</v>
      </c>
      <c r="H1293" s="5" t="s">
        <v>99</v>
      </c>
      <c r="I1293" s="15">
        <v>45101</v>
      </c>
      <c r="J1293" s="15" t="s">
        <v>233</v>
      </c>
      <c r="K1293" s="6">
        <v>0.53194444444444444</v>
      </c>
      <c r="L1293" t="s">
        <v>142</v>
      </c>
      <c r="M1293">
        <v>1000000</v>
      </c>
      <c r="N1293" t="s">
        <v>209</v>
      </c>
      <c r="O1293" t="s">
        <v>151</v>
      </c>
      <c r="P1293">
        <v>62</v>
      </c>
      <c r="Q1293" t="s">
        <v>157</v>
      </c>
    </row>
    <row r="1294" spans="1:17" x14ac:dyDescent="0.2">
      <c r="A1294">
        <v>862868</v>
      </c>
      <c r="B1294">
        <v>872</v>
      </c>
      <c r="C1294" s="1" t="s">
        <v>100</v>
      </c>
      <c r="D1294" s="11">
        <v>45094.972222222219</v>
      </c>
      <c r="E1294" t="s">
        <v>97</v>
      </c>
      <c r="F1294" t="s">
        <v>43</v>
      </c>
      <c r="G1294">
        <v>735</v>
      </c>
      <c r="H1294" s="5" t="s">
        <v>100</v>
      </c>
      <c r="I1294" s="15">
        <v>45094</v>
      </c>
      <c r="J1294" s="15" t="s">
        <v>233</v>
      </c>
      <c r="K1294" s="6">
        <v>0.47222222222222221</v>
      </c>
      <c r="L1294" t="s">
        <v>145</v>
      </c>
      <c r="M1294">
        <v>1000000</v>
      </c>
      <c r="N1294" t="s">
        <v>203</v>
      </c>
      <c r="O1294" t="s">
        <v>152</v>
      </c>
      <c r="P1294">
        <v>20</v>
      </c>
      <c r="Q1294" t="s">
        <v>155</v>
      </c>
    </row>
    <row r="1295" spans="1:17" x14ac:dyDescent="0.2">
      <c r="A1295">
        <v>863202</v>
      </c>
      <c r="B1295">
        <v>1103</v>
      </c>
      <c r="C1295" s="1" t="s">
        <v>113</v>
      </c>
      <c r="D1295" s="11">
        <v>45159.058333333334</v>
      </c>
      <c r="E1295" t="s">
        <v>191</v>
      </c>
      <c r="F1295" t="s">
        <v>27</v>
      </c>
      <c r="G1295">
        <v>5136</v>
      </c>
      <c r="H1295" s="5" t="s">
        <v>113</v>
      </c>
      <c r="I1295" s="15">
        <v>45159</v>
      </c>
      <c r="J1295" s="15" t="s">
        <v>234</v>
      </c>
      <c r="K1295" s="6">
        <v>5.8333333333333334E-2</v>
      </c>
      <c r="L1295" t="s">
        <v>142</v>
      </c>
      <c r="M1295">
        <v>1000000</v>
      </c>
      <c r="N1295" t="s">
        <v>209</v>
      </c>
      <c r="O1295" t="s">
        <v>152</v>
      </c>
      <c r="P1295">
        <v>32</v>
      </c>
      <c r="Q1295" t="s">
        <v>156</v>
      </c>
    </row>
    <row r="1296" spans="1:17" x14ac:dyDescent="0.2">
      <c r="A1296">
        <v>863877</v>
      </c>
      <c r="B1296">
        <v>1217</v>
      </c>
      <c r="C1296" s="1" t="s">
        <v>99</v>
      </c>
      <c r="D1296" s="11">
        <v>45275.038194444445</v>
      </c>
      <c r="E1296" t="s">
        <v>98</v>
      </c>
      <c r="F1296" t="s">
        <v>25</v>
      </c>
      <c r="G1296">
        <v>509</v>
      </c>
      <c r="H1296" s="5" t="s">
        <v>99</v>
      </c>
      <c r="I1296" s="15">
        <v>45275</v>
      </c>
      <c r="J1296" s="15" t="s">
        <v>295</v>
      </c>
      <c r="K1296" s="6">
        <v>0.53819444444444442</v>
      </c>
      <c r="L1296" t="s">
        <v>142</v>
      </c>
      <c r="M1296">
        <v>100000</v>
      </c>
      <c r="N1296" t="s">
        <v>201</v>
      </c>
      <c r="O1296" t="s">
        <v>152</v>
      </c>
      <c r="P1296">
        <v>68</v>
      </c>
      <c r="Q1296" t="s">
        <v>156</v>
      </c>
    </row>
    <row r="1297" spans="1:17" x14ac:dyDescent="0.2">
      <c r="A1297">
        <v>864174</v>
      </c>
      <c r="B1297">
        <v>1442</v>
      </c>
      <c r="C1297" s="1" t="s">
        <v>99</v>
      </c>
      <c r="D1297" s="11">
        <v>45027.072916666664</v>
      </c>
      <c r="E1297" t="s">
        <v>98</v>
      </c>
      <c r="F1297" t="s">
        <v>80</v>
      </c>
      <c r="G1297">
        <v>1523</v>
      </c>
      <c r="H1297" s="5" t="s">
        <v>99</v>
      </c>
      <c r="I1297" s="15">
        <v>45027</v>
      </c>
      <c r="J1297" s="15" t="s">
        <v>233</v>
      </c>
      <c r="K1297" s="6">
        <v>7.2916666666666671E-2</v>
      </c>
      <c r="L1297" t="s">
        <v>146</v>
      </c>
      <c r="M1297">
        <v>50000</v>
      </c>
      <c r="N1297" t="s">
        <v>212</v>
      </c>
      <c r="O1297" t="s">
        <v>151</v>
      </c>
      <c r="P1297">
        <v>82</v>
      </c>
      <c r="Q1297" t="s">
        <v>156</v>
      </c>
    </row>
    <row r="1298" spans="1:17" x14ac:dyDescent="0.2">
      <c r="A1298">
        <v>864744</v>
      </c>
      <c r="B1298">
        <v>709</v>
      </c>
      <c r="C1298" s="1" t="s">
        <v>100</v>
      </c>
      <c r="D1298" s="11">
        <v>44955.98541666667</v>
      </c>
      <c r="E1298" t="s">
        <v>96</v>
      </c>
      <c r="F1298" t="s">
        <v>54</v>
      </c>
      <c r="G1298">
        <v>2914</v>
      </c>
      <c r="H1298" s="5" t="s">
        <v>100</v>
      </c>
      <c r="I1298" s="15">
        <v>44955</v>
      </c>
      <c r="J1298" s="15" t="s">
        <v>232</v>
      </c>
      <c r="K1298" s="6">
        <v>0.48541666666666666</v>
      </c>
      <c r="L1298" t="s">
        <v>144</v>
      </c>
      <c r="M1298">
        <v>100000</v>
      </c>
      <c r="N1298" t="s">
        <v>224</v>
      </c>
      <c r="O1298" t="s">
        <v>152</v>
      </c>
      <c r="P1298">
        <v>58</v>
      </c>
      <c r="Q1298" t="s">
        <v>155</v>
      </c>
    </row>
    <row r="1299" spans="1:17" x14ac:dyDescent="0.2">
      <c r="A1299">
        <v>864760</v>
      </c>
      <c r="B1299">
        <v>1777</v>
      </c>
      <c r="C1299" s="1" t="s">
        <v>99</v>
      </c>
      <c r="D1299" s="11">
        <v>45195.050694444442</v>
      </c>
      <c r="E1299" t="s">
        <v>97</v>
      </c>
      <c r="F1299" t="s">
        <v>57</v>
      </c>
      <c r="G1299">
        <v>1621</v>
      </c>
      <c r="H1299" s="5" t="s">
        <v>99</v>
      </c>
      <c r="I1299" s="15">
        <v>45195</v>
      </c>
      <c r="J1299" s="15" t="s">
        <v>234</v>
      </c>
      <c r="K1299" s="6">
        <v>5.0694444444444445E-2</v>
      </c>
      <c r="L1299" t="s">
        <v>142</v>
      </c>
      <c r="M1299">
        <v>50000</v>
      </c>
      <c r="N1299" t="s">
        <v>208</v>
      </c>
      <c r="O1299" t="s">
        <v>152</v>
      </c>
      <c r="P1299">
        <v>58</v>
      </c>
      <c r="Q1299" t="s">
        <v>157</v>
      </c>
    </row>
    <row r="1300" spans="1:17" x14ac:dyDescent="0.2">
      <c r="A1300">
        <v>865712</v>
      </c>
      <c r="B1300">
        <v>599</v>
      </c>
      <c r="C1300" s="1" t="s">
        <v>101</v>
      </c>
      <c r="D1300" s="11">
        <v>45174.068749999999</v>
      </c>
      <c r="E1300" t="s">
        <v>98</v>
      </c>
      <c r="F1300" t="s">
        <v>34</v>
      </c>
      <c r="G1300">
        <v>8680</v>
      </c>
      <c r="H1300" s="5" t="s">
        <v>101</v>
      </c>
      <c r="I1300" s="15">
        <v>45174</v>
      </c>
      <c r="J1300" s="15" t="s">
        <v>234</v>
      </c>
      <c r="K1300" s="6">
        <v>6.8750000000000006E-2</v>
      </c>
      <c r="L1300" t="s">
        <v>144</v>
      </c>
      <c r="M1300">
        <v>150000</v>
      </c>
      <c r="N1300" t="s">
        <v>218</v>
      </c>
      <c r="O1300" t="s">
        <v>152</v>
      </c>
      <c r="P1300">
        <v>32</v>
      </c>
      <c r="Q1300" t="s">
        <v>155</v>
      </c>
    </row>
    <row r="1301" spans="1:17" x14ac:dyDescent="0.2">
      <c r="A1301">
        <v>866403</v>
      </c>
      <c r="B1301">
        <v>417</v>
      </c>
      <c r="C1301" s="1" t="s">
        <v>100</v>
      </c>
      <c r="D1301" s="11">
        <v>45109.991666666669</v>
      </c>
      <c r="E1301" t="s">
        <v>98</v>
      </c>
      <c r="F1301" t="s">
        <v>60</v>
      </c>
      <c r="G1301">
        <v>122</v>
      </c>
      <c r="H1301" s="5" t="s">
        <v>100</v>
      </c>
      <c r="I1301" s="15">
        <v>45109</v>
      </c>
      <c r="J1301" s="15" t="s">
        <v>234</v>
      </c>
      <c r="K1301" s="6">
        <v>0.49166666666666664</v>
      </c>
      <c r="L1301" t="s">
        <v>146</v>
      </c>
      <c r="M1301">
        <v>100000</v>
      </c>
      <c r="N1301" t="s">
        <v>225</v>
      </c>
      <c r="O1301" t="s">
        <v>151</v>
      </c>
      <c r="P1301">
        <v>53</v>
      </c>
      <c r="Q1301" t="s">
        <v>154</v>
      </c>
    </row>
    <row r="1302" spans="1:17" x14ac:dyDescent="0.2">
      <c r="A1302">
        <v>867012</v>
      </c>
      <c r="B1302">
        <v>557</v>
      </c>
      <c r="C1302" s="1" t="s">
        <v>109</v>
      </c>
      <c r="D1302" s="11">
        <v>44983.011111111111</v>
      </c>
      <c r="E1302" t="s">
        <v>97</v>
      </c>
      <c r="F1302" t="s">
        <v>63</v>
      </c>
      <c r="G1302">
        <v>7900</v>
      </c>
      <c r="H1302" s="5" t="s">
        <v>109</v>
      </c>
      <c r="I1302" s="15">
        <v>44983</v>
      </c>
      <c r="J1302" s="15" t="s">
        <v>232</v>
      </c>
      <c r="K1302" s="6">
        <v>0.51111111111111107</v>
      </c>
      <c r="L1302" t="s">
        <v>143</v>
      </c>
      <c r="M1302">
        <v>100000</v>
      </c>
      <c r="N1302" t="s">
        <v>198</v>
      </c>
      <c r="O1302" t="s">
        <v>151</v>
      </c>
      <c r="P1302">
        <v>84</v>
      </c>
      <c r="Q1302" t="s">
        <v>155</v>
      </c>
    </row>
    <row r="1303" spans="1:17" x14ac:dyDescent="0.2">
      <c r="A1303">
        <v>867108</v>
      </c>
      <c r="B1303">
        <v>1310</v>
      </c>
      <c r="C1303" s="1" t="s">
        <v>105</v>
      </c>
      <c r="D1303" s="11">
        <v>45147.052777777775</v>
      </c>
      <c r="E1303" t="s">
        <v>96</v>
      </c>
      <c r="F1303" t="s">
        <v>4</v>
      </c>
      <c r="G1303">
        <v>9531</v>
      </c>
      <c r="H1303" s="5" t="s">
        <v>105</v>
      </c>
      <c r="I1303" s="15">
        <v>45147</v>
      </c>
      <c r="J1303" s="15" t="s">
        <v>234</v>
      </c>
      <c r="K1303" s="6">
        <v>5.2777777777777778E-2</v>
      </c>
      <c r="L1303" t="s">
        <v>142</v>
      </c>
      <c r="M1303">
        <v>200000</v>
      </c>
      <c r="N1303" t="s">
        <v>197</v>
      </c>
      <c r="O1303" t="s">
        <v>151</v>
      </c>
      <c r="P1303">
        <v>70</v>
      </c>
      <c r="Q1303" t="s">
        <v>156</v>
      </c>
    </row>
    <row r="1304" spans="1:17" x14ac:dyDescent="0.2">
      <c r="A1304">
        <v>867276</v>
      </c>
      <c r="B1304">
        <v>360</v>
      </c>
      <c r="C1304" s="1" t="s">
        <v>113</v>
      </c>
      <c r="D1304" s="11">
        <v>44938.043749999997</v>
      </c>
      <c r="E1304" t="s">
        <v>97</v>
      </c>
      <c r="F1304" t="s">
        <v>47</v>
      </c>
      <c r="G1304">
        <v>6820</v>
      </c>
      <c r="H1304" s="5" t="s">
        <v>113</v>
      </c>
      <c r="I1304" s="15">
        <v>44938</v>
      </c>
      <c r="J1304" s="15" t="s">
        <v>232</v>
      </c>
      <c r="K1304" s="6">
        <v>4.3749999999999997E-2</v>
      </c>
      <c r="L1304" t="s">
        <v>144</v>
      </c>
      <c r="M1304">
        <v>100000</v>
      </c>
      <c r="N1304" t="s">
        <v>218</v>
      </c>
      <c r="O1304" t="s">
        <v>151</v>
      </c>
      <c r="P1304">
        <v>32</v>
      </c>
      <c r="Q1304" t="s">
        <v>154</v>
      </c>
    </row>
    <row r="1305" spans="1:17" x14ac:dyDescent="0.2">
      <c r="A1305">
        <v>867382</v>
      </c>
      <c r="B1305">
        <v>1007</v>
      </c>
      <c r="C1305" s="1" t="s">
        <v>99</v>
      </c>
      <c r="D1305" s="11">
        <v>44954.024305555555</v>
      </c>
      <c r="E1305" t="s">
        <v>98</v>
      </c>
      <c r="F1305" t="s">
        <v>60</v>
      </c>
      <c r="G1305">
        <v>2855</v>
      </c>
      <c r="H1305" s="5" t="s">
        <v>99</v>
      </c>
      <c r="I1305" s="15">
        <v>44954</v>
      </c>
      <c r="J1305" s="15" t="s">
        <v>232</v>
      </c>
      <c r="K1305" s="6">
        <v>0.52430555555555558</v>
      </c>
      <c r="L1305" t="s">
        <v>146</v>
      </c>
      <c r="M1305">
        <v>100000</v>
      </c>
      <c r="N1305" t="s">
        <v>225</v>
      </c>
      <c r="O1305" t="s">
        <v>152</v>
      </c>
      <c r="P1305">
        <v>62</v>
      </c>
      <c r="Q1305" t="s">
        <v>156</v>
      </c>
    </row>
    <row r="1306" spans="1:17" x14ac:dyDescent="0.2">
      <c r="A1306">
        <v>869884</v>
      </c>
      <c r="B1306">
        <v>1701</v>
      </c>
      <c r="C1306" s="1" t="s">
        <v>99</v>
      </c>
      <c r="D1306" s="11">
        <v>45256.03402777778</v>
      </c>
      <c r="E1306" t="s">
        <v>191</v>
      </c>
      <c r="F1306" t="s">
        <v>61</v>
      </c>
      <c r="G1306">
        <v>4256</v>
      </c>
      <c r="H1306" s="5" t="s">
        <v>99</v>
      </c>
      <c r="I1306" s="15">
        <v>45256</v>
      </c>
      <c r="J1306" s="15" t="s">
        <v>295</v>
      </c>
      <c r="K1306" s="6">
        <v>0.53402777777777777</v>
      </c>
      <c r="L1306" t="s">
        <v>142</v>
      </c>
      <c r="M1306">
        <v>80000</v>
      </c>
      <c r="N1306" t="s">
        <v>197</v>
      </c>
      <c r="O1306" t="s">
        <v>152</v>
      </c>
      <c r="P1306">
        <v>41</v>
      </c>
      <c r="Q1306" t="s">
        <v>157</v>
      </c>
    </row>
    <row r="1307" spans="1:17" x14ac:dyDescent="0.2">
      <c r="A1307">
        <v>869899</v>
      </c>
      <c r="B1307">
        <v>623</v>
      </c>
      <c r="C1307" s="1" t="s">
        <v>113</v>
      </c>
      <c r="D1307" s="11">
        <v>45097.067361111112</v>
      </c>
      <c r="E1307" t="s">
        <v>97</v>
      </c>
      <c r="F1307" t="s">
        <v>40</v>
      </c>
      <c r="G1307">
        <v>7143</v>
      </c>
      <c r="H1307" s="5" t="s">
        <v>113</v>
      </c>
      <c r="I1307" s="15">
        <v>45097</v>
      </c>
      <c r="J1307" s="15" t="s">
        <v>233</v>
      </c>
      <c r="K1307" s="6">
        <v>6.7361111111111108E-2</v>
      </c>
      <c r="L1307" t="s">
        <v>142</v>
      </c>
      <c r="M1307">
        <v>150000</v>
      </c>
      <c r="N1307" t="s">
        <v>207</v>
      </c>
      <c r="O1307" t="s">
        <v>152</v>
      </c>
      <c r="P1307">
        <v>80</v>
      </c>
      <c r="Q1307" t="s">
        <v>155</v>
      </c>
    </row>
    <row r="1308" spans="1:17" x14ac:dyDescent="0.2">
      <c r="A1308">
        <v>870081</v>
      </c>
      <c r="B1308">
        <v>1667</v>
      </c>
      <c r="C1308" s="1" t="s">
        <v>100</v>
      </c>
      <c r="D1308" s="11">
        <v>45099.039583333331</v>
      </c>
      <c r="E1308" t="s">
        <v>98</v>
      </c>
      <c r="F1308" t="s">
        <v>81</v>
      </c>
      <c r="G1308">
        <v>1176</v>
      </c>
      <c r="H1308" s="5" t="s">
        <v>100</v>
      </c>
      <c r="I1308" s="15">
        <v>45099</v>
      </c>
      <c r="J1308" s="15" t="s">
        <v>233</v>
      </c>
      <c r="K1308" s="6">
        <v>0.5395833333333333</v>
      </c>
      <c r="L1308" t="s">
        <v>143</v>
      </c>
      <c r="M1308">
        <v>250000</v>
      </c>
      <c r="N1308" t="s">
        <v>221</v>
      </c>
      <c r="O1308" t="s">
        <v>152</v>
      </c>
      <c r="P1308">
        <v>73</v>
      </c>
      <c r="Q1308" t="s">
        <v>157</v>
      </c>
    </row>
    <row r="1309" spans="1:17" x14ac:dyDescent="0.2">
      <c r="A1309">
        <v>870973</v>
      </c>
      <c r="B1309">
        <v>429</v>
      </c>
      <c r="C1309" s="1" t="s">
        <v>109</v>
      </c>
      <c r="D1309" s="11">
        <v>45225.974305555559</v>
      </c>
      <c r="E1309" t="s">
        <v>97</v>
      </c>
      <c r="F1309" t="s">
        <v>18</v>
      </c>
      <c r="G1309">
        <v>2728</v>
      </c>
      <c r="H1309" s="5" t="s">
        <v>109</v>
      </c>
      <c r="I1309" s="15">
        <v>45225</v>
      </c>
      <c r="J1309" s="15" t="s">
        <v>295</v>
      </c>
      <c r="K1309" s="6">
        <v>0.47430555555555554</v>
      </c>
      <c r="L1309" t="s">
        <v>145</v>
      </c>
      <c r="M1309">
        <v>200000</v>
      </c>
      <c r="N1309" t="s">
        <v>210</v>
      </c>
      <c r="O1309" t="s">
        <v>152</v>
      </c>
      <c r="P1309">
        <v>58</v>
      </c>
      <c r="Q1309" t="s">
        <v>154</v>
      </c>
    </row>
    <row r="1310" spans="1:17" x14ac:dyDescent="0.2">
      <c r="A1310">
        <v>871057</v>
      </c>
      <c r="B1310">
        <v>52</v>
      </c>
      <c r="C1310" s="1" t="s">
        <v>99</v>
      </c>
      <c r="D1310" s="11">
        <v>45240.019444444442</v>
      </c>
      <c r="E1310" t="s">
        <v>98</v>
      </c>
      <c r="F1310" t="s">
        <v>28</v>
      </c>
      <c r="G1310">
        <v>6246</v>
      </c>
      <c r="H1310" s="5" t="s">
        <v>99</v>
      </c>
      <c r="I1310" s="15">
        <v>45240</v>
      </c>
      <c r="J1310" s="15" t="s">
        <v>295</v>
      </c>
      <c r="K1310" s="6">
        <v>0.51944444444444449</v>
      </c>
      <c r="L1310" t="s">
        <v>143</v>
      </c>
      <c r="M1310">
        <v>100000</v>
      </c>
      <c r="N1310" t="s">
        <v>215</v>
      </c>
      <c r="O1310" t="s">
        <v>152</v>
      </c>
      <c r="P1310">
        <v>75</v>
      </c>
      <c r="Q1310" t="s">
        <v>154</v>
      </c>
    </row>
    <row r="1311" spans="1:17" x14ac:dyDescent="0.2">
      <c r="A1311">
        <v>871258</v>
      </c>
      <c r="B1311">
        <v>461</v>
      </c>
      <c r="C1311" s="1" t="s">
        <v>101</v>
      </c>
      <c r="D1311" s="11">
        <v>45072.023611111108</v>
      </c>
      <c r="E1311" t="s">
        <v>97</v>
      </c>
      <c r="F1311" t="s">
        <v>31</v>
      </c>
      <c r="G1311">
        <v>2564</v>
      </c>
      <c r="H1311" s="5" t="s">
        <v>101</v>
      </c>
      <c r="I1311" s="15">
        <v>45072</v>
      </c>
      <c r="J1311" s="15" t="s">
        <v>233</v>
      </c>
      <c r="K1311" s="6">
        <v>0.52361111111111114</v>
      </c>
      <c r="L1311" t="s">
        <v>143</v>
      </c>
      <c r="M1311">
        <v>80000</v>
      </c>
      <c r="N1311" t="s">
        <v>204</v>
      </c>
      <c r="O1311" t="s">
        <v>151</v>
      </c>
      <c r="P1311">
        <v>77</v>
      </c>
      <c r="Q1311" t="s">
        <v>154</v>
      </c>
    </row>
    <row r="1312" spans="1:17" x14ac:dyDescent="0.2">
      <c r="A1312">
        <v>872066</v>
      </c>
      <c r="B1312">
        <v>510</v>
      </c>
      <c r="C1312" s="1" t="s">
        <v>99</v>
      </c>
      <c r="D1312" s="11">
        <v>45203.992361111108</v>
      </c>
      <c r="E1312" t="s">
        <v>97</v>
      </c>
      <c r="F1312" t="s">
        <v>27</v>
      </c>
      <c r="G1312">
        <v>7354</v>
      </c>
      <c r="H1312" s="5" t="s">
        <v>99</v>
      </c>
      <c r="I1312" s="15">
        <v>45203</v>
      </c>
      <c r="J1312" s="15" t="s">
        <v>295</v>
      </c>
      <c r="K1312" s="6">
        <v>0.49236111111111114</v>
      </c>
      <c r="L1312" t="s">
        <v>142</v>
      </c>
      <c r="M1312">
        <v>1000000</v>
      </c>
      <c r="N1312" t="s">
        <v>209</v>
      </c>
      <c r="O1312" t="s">
        <v>152</v>
      </c>
      <c r="P1312">
        <v>39</v>
      </c>
      <c r="Q1312" t="s">
        <v>155</v>
      </c>
    </row>
    <row r="1313" spans="1:17" x14ac:dyDescent="0.2">
      <c r="A1313">
        <v>874091</v>
      </c>
      <c r="B1313">
        <v>1236</v>
      </c>
      <c r="C1313" s="1" t="s">
        <v>99</v>
      </c>
      <c r="D1313" s="11">
        <v>45121.970833333333</v>
      </c>
      <c r="E1313" t="s">
        <v>98</v>
      </c>
      <c r="F1313" t="s">
        <v>39</v>
      </c>
      <c r="G1313">
        <v>54</v>
      </c>
      <c r="H1313" s="5" t="s">
        <v>99</v>
      </c>
      <c r="I1313" s="15">
        <v>45121</v>
      </c>
      <c r="J1313" s="15" t="s">
        <v>234</v>
      </c>
      <c r="K1313" s="6">
        <v>0.47083333333333333</v>
      </c>
      <c r="L1313" t="s">
        <v>146</v>
      </c>
      <c r="M1313">
        <v>100000</v>
      </c>
      <c r="N1313" t="s">
        <v>212</v>
      </c>
      <c r="O1313" t="s">
        <v>151</v>
      </c>
      <c r="P1313">
        <v>47</v>
      </c>
      <c r="Q1313" t="s">
        <v>156</v>
      </c>
    </row>
    <row r="1314" spans="1:17" x14ac:dyDescent="0.2">
      <c r="A1314">
        <v>875005</v>
      </c>
      <c r="B1314">
        <v>1859</v>
      </c>
      <c r="C1314" s="1" t="s">
        <v>105</v>
      </c>
      <c r="D1314" s="11">
        <v>45100.986805555556</v>
      </c>
      <c r="E1314" t="s">
        <v>98</v>
      </c>
      <c r="F1314" t="s">
        <v>27</v>
      </c>
      <c r="G1314">
        <v>538</v>
      </c>
      <c r="H1314" s="5" t="s">
        <v>105</v>
      </c>
      <c r="I1314" s="15">
        <v>45100</v>
      </c>
      <c r="J1314" s="15" t="s">
        <v>233</v>
      </c>
      <c r="K1314" s="6">
        <v>0.48680555555555555</v>
      </c>
      <c r="L1314" t="s">
        <v>142</v>
      </c>
      <c r="M1314">
        <v>1000000</v>
      </c>
      <c r="N1314" t="s">
        <v>209</v>
      </c>
      <c r="O1314" t="s">
        <v>152</v>
      </c>
      <c r="P1314">
        <v>64</v>
      </c>
      <c r="Q1314" t="s">
        <v>157</v>
      </c>
    </row>
    <row r="1315" spans="1:17" x14ac:dyDescent="0.2">
      <c r="A1315">
        <v>875015</v>
      </c>
      <c r="B1315">
        <v>849</v>
      </c>
      <c r="C1315" s="1" t="s">
        <v>100</v>
      </c>
      <c r="D1315" s="11">
        <v>45162.017361111109</v>
      </c>
      <c r="E1315" t="s">
        <v>191</v>
      </c>
      <c r="F1315" t="s">
        <v>43</v>
      </c>
      <c r="G1315">
        <v>235</v>
      </c>
      <c r="H1315" s="5" t="s">
        <v>100</v>
      </c>
      <c r="I1315" s="15">
        <v>45162</v>
      </c>
      <c r="J1315" s="15" t="s">
        <v>234</v>
      </c>
      <c r="K1315" s="6">
        <v>0.51736111111111116</v>
      </c>
      <c r="L1315" t="s">
        <v>145</v>
      </c>
      <c r="M1315">
        <v>1000000</v>
      </c>
      <c r="N1315" t="s">
        <v>203</v>
      </c>
      <c r="O1315" t="s">
        <v>151</v>
      </c>
      <c r="P1315">
        <v>19</v>
      </c>
      <c r="Q1315" t="s">
        <v>155</v>
      </c>
    </row>
    <row r="1316" spans="1:17" x14ac:dyDescent="0.2">
      <c r="A1316">
        <v>875813</v>
      </c>
      <c r="B1316">
        <v>1088</v>
      </c>
      <c r="C1316" s="1" t="s">
        <v>113</v>
      </c>
      <c r="D1316" s="11">
        <v>45046.007638888892</v>
      </c>
      <c r="E1316" t="s">
        <v>191</v>
      </c>
      <c r="F1316" t="s">
        <v>62</v>
      </c>
      <c r="G1316">
        <v>1198</v>
      </c>
      <c r="H1316" s="5" t="s">
        <v>113</v>
      </c>
      <c r="I1316" s="15">
        <v>45046</v>
      </c>
      <c r="J1316" s="15" t="s">
        <v>233</v>
      </c>
      <c r="K1316" s="6">
        <v>0.50763888888888886</v>
      </c>
      <c r="L1316" t="s">
        <v>145</v>
      </c>
      <c r="M1316">
        <v>100000</v>
      </c>
      <c r="N1316" t="s">
        <v>217</v>
      </c>
      <c r="O1316" t="s">
        <v>152</v>
      </c>
      <c r="P1316">
        <v>72</v>
      </c>
      <c r="Q1316" t="s">
        <v>156</v>
      </c>
    </row>
    <row r="1317" spans="1:17" x14ac:dyDescent="0.2">
      <c r="A1317">
        <v>875981</v>
      </c>
      <c r="B1317">
        <v>991</v>
      </c>
      <c r="C1317" s="1" t="s">
        <v>99</v>
      </c>
      <c r="D1317" s="11">
        <v>45174.051388888889</v>
      </c>
      <c r="E1317" t="s">
        <v>98</v>
      </c>
      <c r="F1317" t="s">
        <v>21</v>
      </c>
      <c r="G1317">
        <v>6567</v>
      </c>
      <c r="H1317" s="5" t="s">
        <v>99</v>
      </c>
      <c r="I1317" s="15">
        <v>45174</v>
      </c>
      <c r="J1317" s="15" t="s">
        <v>234</v>
      </c>
      <c r="K1317" s="6">
        <v>5.1388888888888887E-2</v>
      </c>
      <c r="L1317" t="s">
        <v>142</v>
      </c>
      <c r="M1317">
        <v>150000</v>
      </c>
      <c r="N1317" t="s">
        <v>211</v>
      </c>
      <c r="O1317" t="s">
        <v>152</v>
      </c>
      <c r="P1317">
        <v>55</v>
      </c>
      <c r="Q1317" t="s">
        <v>155</v>
      </c>
    </row>
    <row r="1318" spans="1:17" x14ac:dyDescent="0.2">
      <c r="A1318">
        <v>876685</v>
      </c>
      <c r="B1318">
        <v>1061</v>
      </c>
      <c r="C1318" s="1" t="s">
        <v>102</v>
      </c>
      <c r="D1318" s="11">
        <v>44950.98541666667</v>
      </c>
      <c r="E1318" t="s">
        <v>98</v>
      </c>
      <c r="F1318" t="s">
        <v>66</v>
      </c>
      <c r="G1318">
        <v>3507</v>
      </c>
      <c r="H1318" s="5" t="s">
        <v>102</v>
      </c>
      <c r="I1318" s="15">
        <v>44950</v>
      </c>
      <c r="J1318" s="15" t="s">
        <v>232</v>
      </c>
      <c r="K1318" s="6">
        <v>0.48541666666666666</v>
      </c>
      <c r="L1318" t="s">
        <v>144</v>
      </c>
      <c r="M1318">
        <v>150000</v>
      </c>
      <c r="N1318" t="s">
        <v>224</v>
      </c>
      <c r="O1318" t="s">
        <v>152</v>
      </c>
      <c r="P1318">
        <v>61</v>
      </c>
      <c r="Q1318" t="s">
        <v>156</v>
      </c>
    </row>
    <row r="1319" spans="1:17" x14ac:dyDescent="0.2">
      <c r="A1319">
        <v>877616</v>
      </c>
      <c r="B1319">
        <v>1685</v>
      </c>
      <c r="C1319" s="1" t="s">
        <v>99</v>
      </c>
      <c r="D1319" s="11">
        <v>45279</v>
      </c>
      <c r="E1319" t="s">
        <v>97</v>
      </c>
      <c r="F1319" t="s">
        <v>29</v>
      </c>
      <c r="G1319">
        <v>6662</v>
      </c>
      <c r="H1319" s="5" t="s">
        <v>99</v>
      </c>
      <c r="I1319" s="15">
        <v>45279</v>
      </c>
      <c r="J1319" s="15" t="s">
        <v>295</v>
      </c>
      <c r="K1319" s="6">
        <v>0.5</v>
      </c>
      <c r="L1319" t="s">
        <v>143</v>
      </c>
      <c r="M1319">
        <v>150000</v>
      </c>
      <c r="N1319" t="s">
        <v>214</v>
      </c>
      <c r="O1319" t="s">
        <v>152</v>
      </c>
      <c r="P1319">
        <v>74</v>
      </c>
      <c r="Q1319" t="s">
        <v>157</v>
      </c>
    </row>
    <row r="1320" spans="1:17" x14ac:dyDescent="0.2">
      <c r="A1320">
        <v>877681</v>
      </c>
      <c r="B1320">
        <v>166</v>
      </c>
      <c r="C1320" s="1" t="s">
        <v>100</v>
      </c>
      <c r="D1320" s="11">
        <v>45284.078472222223</v>
      </c>
      <c r="E1320" t="s">
        <v>96</v>
      </c>
      <c r="F1320" t="s">
        <v>9</v>
      </c>
      <c r="G1320">
        <v>2796</v>
      </c>
      <c r="H1320" s="5" t="s">
        <v>100</v>
      </c>
      <c r="I1320" s="15">
        <v>45284</v>
      </c>
      <c r="J1320" s="15" t="s">
        <v>295</v>
      </c>
      <c r="K1320" s="6">
        <v>7.8472222222222221E-2</v>
      </c>
      <c r="L1320" t="s">
        <v>144</v>
      </c>
      <c r="M1320">
        <v>150000</v>
      </c>
      <c r="N1320" t="s">
        <v>202</v>
      </c>
      <c r="O1320" t="s">
        <v>151</v>
      </c>
      <c r="P1320">
        <v>27</v>
      </c>
      <c r="Q1320" t="s">
        <v>154</v>
      </c>
    </row>
    <row r="1321" spans="1:17" x14ac:dyDescent="0.2">
      <c r="A1321">
        <v>877784</v>
      </c>
      <c r="B1321">
        <v>422</v>
      </c>
      <c r="C1321" s="1" t="s">
        <v>113</v>
      </c>
      <c r="D1321" s="11">
        <v>44984.951388888891</v>
      </c>
      <c r="E1321" t="s">
        <v>96</v>
      </c>
      <c r="F1321" t="s">
        <v>30</v>
      </c>
      <c r="G1321">
        <v>9049</v>
      </c>
      <c r="H1321" s="5" t="s">
        <v>113</v>
      </c>
      <c r="I1321" s="15">
        <v>44984</v>
      </c>
      <c r="J1321" s="15" t="s">
        <v>232</v>
      </c>
      <c r="K1321" s="6">
        <v>0.4513888888888889</v>
      </c>
      <c r="L1321" t="s">
        <v>144</v>
      </c>
      <c r="M1321">
        <v>200000</v>
      </c>
      <c r="N1321" t="s">
        <v>216</v>
      </c>
      <c r="O1321" t="s">
        <v>152</v>
      </c>
      <c r="P1321">
        <v>64</v>
      </c>
      <c r="Q1321" t="s">
        <v>154</v>
      </c>
    </row>
    <row r="1322" spans="1:17" x14ac:dyDescent="0.2">
      <c r="A1322">
        <v>878611</v>
      </c>
      <c r="B1322">
        <v>1668</v>
      </c>
      <c r="C1322" s="1" t="s">
        <v>99</v>
      </c>
      <c r="D1322" s="11">
        <v>45254.036805555559</v>
      </c>
      <c r="E1322" t="s">
        <v>191</v>
      </c>
      <c r="F1322" t="s">
        <v>67</v>
      </c>
      <c r="G1322">
        <v>3591</v>
      </c>
      <c r="H1322" s="5" t="s">
        <v>99</v>
      </c>
      <c r="I1322" s="15">
        <v>45254</v>
      </c>
      <c r="J1322" s="15" t="s">
        <v>295</v>
      </c>
      <c r="K1322" s="6">
        <v>0.53680555555555554</v>
      </c>
      <c r="L1322" t="s">
        <v>142</v>
      </c>
      <c r="M1322">
        <v>100000</v>
      </c>
      <c r="N1322" t="s">
        <v>213</v>
      </c>
      <c r="O1322" t="s">
        <v>152</v>
      </c>
      <c r="P1322">
        <v>68</v>
      </c>
      <c r="Q1322" t="s">
        <v>157</v>
      </c>
    </row>
    <row r="1323" spans="1:17" x14ac:dyDescent="0.2">
      <c r="A1323">
        <v>878658</v>
      </c>
      <c r="B1323">
        <v>780</v>
      </c>
      <c r="C1323" s="1" t="s">
        <v>113</v>
      </c>
      <c r="D1323" s="11">
        <v>45217.061111111114</v>
      </c>
      <c r="E1323" t="s">
        <v>96</v>
      </c>
      <c r="F1323" t="s">
        <v>53</v>
      </c>
      <c r="G1323">
        <v>3114</v>
      </c>
      <c r="H1323" s="5" t="s">
        <v>113</v>
      </c>
      <c r="I1323" s="15">
        <v>45217</v>
      </c>
      <c r="J1323" s="15" t="s">
        <v>295</v>
      </c>
      <c r="K1323" s="6">
        <v>6.1111111111111109E-2</v>
      </c>
      <c r="L1323" t="s">
        <v>142</v>
      </c>
      <c r="M1323">
        <v>100000</v>
      </c>
      <c r="N1323" t="s">
        <v>207</v>
      </c>
      <c r="O1323" t="s">
        <v>151</v>
      </c>
      <c r="P1323">
        <v>43</v>
      </c>
      <c r="Q1323" t="s">
        <v>155</v>
      </c>
    </row>
    <row r="1324" spans="1:17" x14ac:dyDescent="0.2">
      <c r="A1324">
        <v>878771</v>
      </c>
      <c r="B1324">
        <v>194</v>
      </c>
      <c r="C1324" s="1" t="s">
        <v>113</v>
      </c>
      <c r="D1324" s="11">
        <v>45128.081944444442</v>
      </c>
      <c r="E1324" t="s">
        <v>191</v>
      </c>
      <c r="F1324" t="s">
        <v>33</v>
      </c>
      <c r="G1324">
        <v>7705</v>
      </c>
      <c r="H1324" s="5" t="s">
        <v>113</v>
      </c>
      <c r="I1324" s="15">
        <v>45128</v>
      </c>
      <c r="J1324" s="15" t="s">
        <v>234</v>
      </c>
      <c r="K1324" s="6">
        <v>8.1944444444444445E-2</v>
      </c>
      <c r="L1324" t="s">
        <v>145</v>
      </c>
      <c r="M1324">
        <v>100000</v>
      </c>
      <c r="N1324" t="s">
        <v>210</v>
      </c>
      <c r="O1324" t="s">
        <v>152</v>
      </c>
      <c r="P1324">
        <v>64</v>
      </c>
      <c r="Q1324" t="s">
        <v>154</v>
      </c>
    </row>
    <row r="1325" spans="1:17" x14ac:dyDescent="0.2">
      <c r="A1325">
        <v>879541</v>
      </c>
      <c r="B1325">
        <v>907</v>
      </c>
      <c r="C1325" s="1" t="s">
        <v>108</v>
      </c>
      <c r="D1325" s="11">
        <v>45164.956944444442</v>
      </c>
      <c r="E1325" t="s">
        <v>191</v>
      </c>
      <c r="F1325" t="s">
        <v>34</v>
      </c>
      <c r="G1325">
        <v>1465</v>
      </c>
      <c r="H1325" s="5" t="s">
        <v>108</v>
      </c>
      <c r="I1325" s="15">
        <v>45164</v>
      </c>
      <c r="J1325" s="15" t="s">
        <v>234</v>
      </c>
      <c r="K1325" s="6">
        <v>0.45694444444444443</v>
      </c>
      <c r="L1325" t="s">
        <v>144</v>
      </c>
      <c r="M1325">
        <v>150000</v>
      </c>
      <c r="N1325" t="s">
        <v>218</v>
      </c>
      <c r="O1325" t="s">
        <v>151</v>
      </c>
      <c r="P1325">
        <v>55</v>
      </c>
      <c r="Q1325" t="s">
        <v>155</v>
      </c>
    </row>
    <row r="1326" spans="1:17" x14ac:dyDescent="0.2">
      <c r="A1326">
        <v>879819</v>
      </c>
      <c r="B1326">
        <v>286</v>
      </c>
      <c r="C1326" s="1" t="s">
        <v>99</v>
      </c>
      <c r="D1326" s="11">
        <v>45085.035416666666</v>
      </c>
      <c r="E1326" t="s">
        <v>96</v>
      </c>
      <c r="F1326" t="s">
        <v>68</v>
      </c>
      <c r="G1326">
        <v>6894</v>
      </c>
      <c r="H1326" s="5" t="s">
        <v>99</v>
      </c>
      <c r="I1326" s="15">
        <v>45085</v>
      </c>
      <c r="J1326" s="15" t="s">
        <v>233</v>
      </c>
      <c r="K1326" s="6">
        <v>0.53541666666666665</v>
      </c>
      <c r="L1326" t="s">
        <v>144</v>
      </c>
      <c r="M1326">
        <v>100000</v>
      </c>
      <c r="N1326" t="s">
        <v>200</v>
      </c>
      <c r="O1326" t="s">
        <v>151</v>
      </c>
      <c r="P1326">
        <v>79</v>
      </c>
      <c r="Q1326" t="s">
        <v>154</v>
      </c>
    </row>
    <row r="1327" spans="1:17" x14ac:dyDescent="0.2">
      <c r="A1327">
        <v>881346</v>
      </c>
      <c r="B1327">
        <v>327</v>
      </c>
      <c r="C1327" s="1" t="s">
        <v>113</v>
      </c>
      <c r="D1327" s="11">
        <v>45279.986111111109</v>
      </c>
      <c r="E1327" t="s">
        <v>96</v>
      </c>
      <c r="F1327" t="s">
        <v>69</v>
      </c>
      <c r="G1327">
        <v>8816</v>
      </c>
      <c r="H1327" s="5" t="s">
        <v>113</v>
      </c>
      <c r="I1327" s="15">
        <v>45279</v>
      </c>
      <c r="J1327" s="15" t="s">
        <v>295</v>
      </c>
      <c r="K1327" s="6">
        <v>0.4861111111111111</v>
      </c>
      <c r="L1327" t="s">
        <v>146</v>
      </c>
      <c r="M1327">
        <v>250000</v>
      </c>
      <c r="N1327" t="s">
        <v>225</v>
      </c>
      <c r="O1327" t="s">
        <v>152</v>
      </c>
      <c r="P1327">
        <v>32</v>
      </c>
      <c r="Q1327" t="s">
        <v>154</v>
      </c>
    </row>
    <row r="1328" spans="1:17" x14ac:dyDescent="0.2">
      <c r="A1328">
        <v>882347</v>
      </c>
      <c r="B1328">
        <v>1938</v>
      </c>
      <c r="C1328" s="1" t="s">
        <v>99</v>
      </c>
      <c r="D1328" s="11">
        <v>45187.940972222219</v>
      </c>
      <c r="E1328" t="s">
        <v>97</v>
      </c>
      <c r="F1328" t="s">
        <v>43</v>
      </c>
      <c r="G1328">
        <v>3811</v>
      </c>
      <c r="H1328" s="5" t="s">
        <v>99</v>
      </c>
      <c r="I1328" s="15">
        <v>45187</v>
      </c>
      <c r="J1328" s="15" t="s">
        <v>234</v>
      </c>
      <c r="K1328" s="6">
        <v>0.44097222222222221</v>
      </c>
      <c r="L1328" t="s">
        <v>145</v>
      </c>
      <c r="M1328">
        <v>1000000</v>
      </c>
      <c r="N1328" t="s">
        <v>203</v>
      </c>
      <c r="O1328" t="s">
        <v>151</v>
      </c>
      <c r="P1328">
        <v>70</v>
      </c>
      <c r="Q1328" t="s">
        <v>157</v>
      </c>
    </row>
    <row r="1329" spans="1:17" x14ac:dyDescent="0.2">
      <c r="A1329">
        <v>883228</v>
      </c>
      <c r="B1329">
        <v>1251</v>
      </c>
      <c r="C1329" s="1" t="s">
        <v>99</v>
      </c>
      <c r="D1329" s="11">
        <v>45035.058333333334</v>
      </c>
      <c r="E1329" t="s">
        <v>96</v>
      </c>
      <c r="F1329" t="s">
        <v>38</v>
      </c>
      <c r="G1329">
        <v>381</v>
      </c>
      <c r="H1329" s="5" t="s">
        <v>99</v>
      </c>
      <c r="I1329" s="15">
        <v>45035</v>
      </c>
      <c r="J1329" s="15" t="s">
        <v>233</v>
      </c>
      <c r="K1329" s="6">
        <v>5.8333333333333334E-2</v>
      </c>
      <c r="L1329" t="s">
        <v>143</v>
      </c>
      <c r="M1329">
        <v>100000</v>
      </c>
      <c r="N1329" t="s">
        <v>221</v>
      </c>
      <c r="O1329" t="s">
        <v>151</v>
      </c>
      <c r="P1329">
        <v>31</v>
      </c>
      <c r="Q1329" t="s">
        <v>156</v>
      </c>
    </row>
    <row r="1330" spans="1:17" x14ac:dyDescent="0.2">
      <c r="A1330">
        <v>883461</v>
      </c>
      <c r="B1330">
        <v>1023</v>
      </c>
      <c r="C1330" s="1" t="s">
        <v>109</v>
      </c>
      <c r="D1330" s="11">
        <v>45235.961805555555</v>
      </c>
      <c r="E1330" t="s">
        <v>191</v>
      </c>
      <c r="F1330" t="s">
        <v>69</v>
      </c>
      <c r="G1330">
        <v>7192</v>
      </c>
      <c r="H1330" s="5" t="s">
        <v>109</v>
      </c>
      <c r="I1330" s="15">
        <v>45235</v>
      </c>
      <c r="J1330" s="15" t="s">
        <v>295</v>
      </c>
      <c r="K1330" s="6">
        <v>0.46180555555555558</v>
      </c>
      <c r="L1330" t="s">
        <v>146</v>
      </c>
      <c r="M1330">
        <v>250000</v>
      </c>
      <c r="N1330" t="s">
        <v>225</v>
      </c>
      <c r="O1330" t="s">
        <v>151</v>
      </c>
      <c r="P1330">
        <v>52</v>
      </c>
      <c r="Q1330" t="s">
        <v>156</v>
      </c>
    </row>
    <row r="1331" spans="1:17" x14ac:dyDescent="0.2">
      <c r="A1331">
        <v>883497</v>
      </c>
      <c r="B1331">
        <v>954</v>
      </c>
      <c r="C1331" s="1" t="s">
        <v>113</v>
      </c>
      <c r="D1331" s="11">
        <v>45141.040277777778</v>
      </c>
      <c r="E1331" t="s">
        <v>98</v>
      </c>
      <c r="F1331" t="s">
        <v>24</v>
      </c>
      <c r="G1331">
        <v>1216</v>
      </c>
      <c r="H1331" s="5" t="s">
        <v>113</v>
      </c>
      <c r="I1331" s="15">
        <v>45141</v>
      </c>
      <c r="J1331" s="15" t="s">
        <v>234</v>
      </c>
      <c r="K1331" s="6">
        <v>0.54027777777777775</v>
      </c>
      <c r="L1331" t="s">
        <v>143</v>
      </c>
      <c r="M1331">
        <v>200000</v>
      </c>
      <c r="N1331" t="s">
        <v>214</v>
      </c>
      <c r="O1331" t="s">
        <v>151</v>
      </c>
      <c r="P1331">
        <v>35</v>
      </c>
      <c r="Q1331" t="s">
        <v>155</v>
      </c>
    </row>
    <row r="1332" spans="1:17" x14ac:dyDescent="0.2">
      <c r="A1332">
        <v>884628</v>
      </c>
      <c r="B1332">
        <v>464</v>
      </c>
      <c r="C1332" s="1" t="s">
        <v>107</v>
      </c>
      <c r="D1332" s="11">
        <v>45266.000694444447</v>
      </c>
      <c r="E1332" t="s">
        <v>98</v>
      </c>
      <c r="F1332" t="s">
        <v>22</v>
      </c>
      <c r="G1332">
        <v>7177</v>
      </c>
      <c r="H1332" s="5" t="s">
        <v>107</v>
      </c>
      <c r="I1332" s="15">
        <v>45266</v>
      </c>
      <c r="J1332" s="15" t="s">
        <v>295</v>
      </c>
      <c r="K1332" s="6">
        <v>0.50069444444444444</v>
      </c>
      <c r="L1332" t="s">
        <v>144</v>
      </c>
      <c r="M1332">
        <v>100000</v>
      </c>
      <c r="N1332" t="s">
        <v>202</v>
      </c>
      <c r="O1332" t="s">
        <v>152</v>
      </c>
      <c r="P1332">
        <v>26</v>
      </c>
      <c r="Q1332" t="s">
        <v>154</v>
      </c>
    </row>
    <row r="1333" spans="1:17" x14ac:dyDescent="0.2">
      <c r="A1333">
        <v>885377</v>
      </c>
      <c r="B1333">
        <v>1622</v>
      </c>
      <c r="C1333" s="1" t="s">
        <v>100</v>
      </c>
      <c r="D1333" s="11">
        <v>44968.037499999999</v>
      </c>
      <c r="E1333" t="s">
        <v>96</v>
      </c>
      <c r="F1333" t="s">
        <v>41</v>
      </c>
      <c r="G1333">
        <v>7139</v>
      </c>
      <c r="H1333" s="5" t="s">
        <v>100</v>
      </c>
      <c r="I1333" s="15">
        <v>44968</v>
      </c>
      <c r="J1333" s="15" t="s">
        <v>232</v>
      </c>
      <c r="K1333" s="6">
        <v>0.53749999999999998</v>
      </c>
      <c r="L1333" t="s">
        <v>145</v>
      </c>
      <c r="M1333">
        <v>150000</v>
      </c>
      <c r="N1333" t="s">
        <v>203</v>
      </c>
      <c r="O1333" t="s">
        <v>152</v>
      </c>
      <c r="P1333">
        <v>87</v>
      </c>
      <c r="Q1333" t="s">
        <v>157</v>
      </c>
    </row>
    <row r="1334" spans="1:17" x14ac:dyDescent="0.2">
      <c r="A1334">
        <v>885750</v>
      </c>
      <c r="B1334">
        <v>1837</v>
      </c>
      <c r="C1334" s="1" t="s">
        <v>110</v>
      </c>
      <c r="D1334" s="11">
        <v>45267.039583333331</v>
      </c>
      <c r="E1334" t="s">
        <v>97</v>
      </c>
      <c r="F1334" t="s">
        <v>19</v>
      </c>
      <c r="G1334">
        <v>1520</v>
      </c>
      <c r="H1334" s="5" t="s">
        <v>110</v>
      </c>
      <c r="I1334" s="15">
        <v>45267</v>
      </c>
      <c r="J1334" s="15" t="s">
        <v>295</v>
      </c>
      <c r="K1334" s="6">
        <v>0.5395833333333333</v>
      </c>
      <c r="L1334" t="s">
        <v>142</v>
      </c>
      <c r="M1334">
        <v>150000</v>
      </c>
      <c r="N1334" t="s">
        <v>211</v>
      </c>
      <c r="O1334" t="s">
        <v>152</v>
      </c>
      <c r="P1334">
        <v>87</v>
      </c>
      <c r="Q1334" t="s">
        <v>157</v>
      </c>
    </row>
    <row r="1335" spans="1:17" x14ac:dyDescent="0.2">
      <c r="A1335">
        <v>885987</v>
      </c>
      <c r="B1335">
        <v>1601</v>
      </c>
      <c r="C1335" s="1" t="s">
        <v>100</v>
      </c>
      <c r="D1335" s="11">
        <v>45226.015972222223</v>
      </c>
      <c r="E1335" t="s">
        <v>97</v>
      </c>
      <c r="F1335" t="s">
        <v>35</v>
      </c>
      <c r="G1335">
        <v>8973</v>
      </c>
      <c r="H1335" s="5" t="s">
        <v>100</v>
      </c>
      <c r="I1335" s="15">
        <v>45226</v>
      </c>
      <c r="J1335" s="15" t="s">
        <v>295</v>
      </c>
      <c r="K1335" s="6">
        <v>0.51597222222222228</v>
      </c>
      <c r="L1335" t="s">
        <v>144</v>
      </c>
      <c r="M1335">
        <v>100000</v>
      </c>
      <c r="N1335" t="s">
        <v>219</v>
      </c>
      <c r="O1335" t="s">
        <v>152</v>
      </c>
      <c r="P1335">
        <v>22</v>
      </c>
      <c r="Q1335" t="s">
        <v>157</v>
      </c>
    </row>
    <row r="1336" spans="1:17" x14ac:dyDescent="0.2">
      <c r="A1336">
        <v>886188</v>
      </c>
      <c r="B1336">
        <v>581</v>
      </c>
      <c r="C1336" s="1" t="s">
        <v>99</v>
      </c>
      <c r="D1336" s="11">
        <v>45202.05</v>
      </c>
      <c r="E1336" t="s">
        <v>98</v>
      </c>
      <c r="F1336" t="s">
        <v>76</v>
      </c>
      <c r="G1336">
        <v>5000</v>
      </c>
      <c r="H1336" s="5" t="s">
        <v>99</v>
      </c>
      <c r="I1336" s="15">
        <v>45202</v>
      </c>
      <c r="J1336" s="15" t="s">
        <v>295</v>
      </c>
      <c r="K1336" s="6">
        <v>0.05</v>
      </c>
      <c r="L1336" t="s">
        <v>142</v>
      </c>
      <c r="M1336">
        <v>80000</v>
      </c>
      <c r="N1336" t="s">
        <v>201</v>
      </c>
      <c r="O1336" t="s">
        <v>151</v>
      </c>
      <c r="P1336">
        <v>53</v>
      </c>
      <c r="Q1336" t="s">
        <v>155</v>
      </c>
    </row>
    <row r="1337" spans="1:17" x14ac:dyDescent="0.2">
      <c r="A1337">
        <v>887239</v>
      </c>
      <c r="B1337">
        <v>1157</v>
      </c>
      <c r="C1337" s="1" t="s">
        <v>106</v>
      </c>
      <c r="D1337" s="11">
        <v>45101.086805555555</v>
      </c>
      <c r="E1337" t="s">
        <v>98</v>
      </c>
      <c r="F1337" t="s">
        <v>28</v>
      </c>
      <c r="G1337">
        <v>9005</v>
      </c>
      <c r="H1337" s="5" t="s">
        <v>106</v>
      </c>
      <c r="I1337" s="15">
        <v>45101</v>
      </c>
      <c r="J1337" s="15" t="s">
        <v>233</v>
      </c>
      <c r="K1337" s="6">
        <v>8.6805555555555552E-2</v>
      </c>
      <c r="L1337" t="s">
        <v>143</v>
      </c>
      <c r="M1337">
        <v>100000</v>
      </c>
      <c r="N1337" t="s">
        <v>215</v>
      </c>
      <c r="O1337" t="s">
        <v>152</v>
      </c>
      <c r="P1337">
        <v>70</v>
      </c>
      <c r="Q1337" t="s">
        <v>156</v>
      </c>
    </row>
    <row r="1338" spans="1:17" x14ac:dyDescent="0.2">
      <c r="A1338">
        <v>888702</v>
      </c>
      <c r="B1338">
        <v>746</v>
      </c>
      <c r="C1338" s="1" t="s">
        <v>99</v>
      </c>
      <c r="D1338" s="11">
        <v>45188.036111111112</v>
      </c>
      <c r="E1338" t="s">
        <v>97</v>
      </c>
      <c r="F1338" t="s">
        <v>14</v>
      </c>
      <c r="G1338">
        <v>98</v>
      </c>
      <c r="H1338" s="5" t="s">
        <v>99</v>
      </c>
      <c r="I1338" s="15">
        <v>45188</v>
      </c>
      <c r="J1338" s="15" t="s">
        <v>234</v>
      </c>
      <c r="K1338" s="6">
        <v>0.53611111111111109</v>
      </c>
      <c r="L1338" t="s">
        <v>142</v>
      </c>
      <c r="M1338">
        <v>250000</v>
      </c>
      <c r="N1338" t="s">
        <v>207</v>
      </c>
      <c r="O1338" t="s">
        <v>152</v>
      </c>
      <c r="P1338">
        <v>75</v>
      </c>
      <c r="Q1338" t="s">
        <v>155</v>
      </c>
    </row>
    <row r="1339" spans="1:17" x14ac:dyDescent="0.2">
      <c r="A1339">
        <v>888938</v>
      </c>
      <c r="B1339">
        <v>1606</v>
      </c>
      <c r="C1339" s="1" t="s">
        <v>100</v>
      </c>
      <c r="D1339" s="11">
        <v>45170.06527777778</v>
      </c>
      <c r="E1339" t="s">
        <v>96</v>
      </c>
      <c r="F1339" t="s">
        <v>43</v>
      </c>
      <c r="G1339">
        <v>1061</v>
      </c>
      <c r="H1339" s="5" t="s">
        <v>100</v>
      </c>
      <c r="I1339" s="15">
        <v>45170</v>
      </c>
      <c r="J1339" s="15" t="s">
        <v>234</v>
      </c>
      <c r="K1339" s="6">
        <v>6.5277777777777782E-2</v>
      </c>
      <c r="L1339" t="s">
        <v>145</v>
      </c>
      <c r="M1339">
        <v>1000000</v>
      </c>
      <c r="N1339" t="s">
        <v>203</v>
      </c>
      <c r="O1339" t="s">
        <v>151</v>
      </c>
      <c r="P1339">
        <v>23</v>
      </c>
      <c r="Q1339" t="s">
        <v>157</v>
      </c>
    </row>
    <row r="1340" spans="1:17" x14ac:dyDescent="0.2">
      <c r="A1340">
        <v>889356</v>
      </c>
      <c r="B1340">
        <v>1246</v>
      </c>
      <c r="C1340" s="1" t="s">
        <v>100</v>
      </c>
      <c r="D1340" s="11">
        <v>45002.027083333334</v>
      </c>
      <c r="E1340" t="s">
        <v>96</v>
      </c>
      <c r="F1340" t="s">
        <v>46</v>
      </c>
      <c r="G1340">
        <v>2670</v>
      </c>
      <c r="H1340" s="5" t="s">
        <v>100</v>
      </c>
      <c r="I1340" s="15">
        <v>45002</v>
      </c>
      <c r="J1340" s="15" t="s">
        <v>232</v>
      </c>
      <c r="K1340" s="6">
        <v>0.52708333333333335</v>
      </c>
      <c r="L1340" t="s">
        <v>142</v>
      </c>
      <c r="M1340">
        <v>200000</v>
      </c>
      <c r="N1340" t="s">
        <v>211</v>
      </c>
      <c r="O1340" t="s">
        <v>151</v>
      </c>
      <c r="P1340">
        <v>85</v>
      </c>
      <c r="Q1340" t="s">
        <v>156</v>
      </c>
    </row>
    <row r="1341" spans="1:17" x14ac:dyDescent="0.2">
      <c r="A1341">
        <v>890131</v>
      </c>
      <c r="B1341">
        <v>879</v>
      </c>
      <c r="C1341" s="1" t="s">
        <v>99</v>
      </c>
      <c r="D1341" s="11">
        <v>45197.07708333333</v>
      </c>
      <c r="E1341" t="s">
        <v>98</v>
      </c>
      <c r="F1341" t="s">
        <v>43</v>
      </c>
      <c r="G1341">
        <v>3832</v>
      </c>
      <c r="H1341" s="5" t="s">
        <v>99</v>
      </c>
      <c r="I1341" s="15">
        <v>45197</v>
      </c>
      <c r="J1341" s="15" t="s">
        <v>234</v>
      </c>
      <c r="K1341" s="6">
        <v>7.7083333333333337E-2</v>
      </c>
      <c r="L1341" t="s">
        <v>145</v>
      </c>
      <c r="M1341">
        <v>1000000</v>
      </c>
      <c r="N1341" t="s">
        <v>203</v>
      </c>
      <c r="O1341" t="s">
        <v>152</v>
      </c>
      <c r="P1341">
        <v>70</v>
      </c>
      <c r="Q1341" t="s">
        <v>155</v>
      </c>
    </row>
    <row r="1342" spans="1:17" x14ac:dyDescent="0.2">
      <c r="A1342">
        <v>890922</v>
      </c>
      <c r="B1342">
        <v>1077</v>
      </c>
      <c r="C1342" s="1" t="s">
        <v>113</v>
      </c>
      <c r="D1342" s="11">
        <v>45139.973611111112</v>
      </c>
      <c r="E1342" t="s">
        <v>191</v>
      </c>
      <c r="F1342" t="s">
        <v>47</v>
      </c>
      <c r="G1342">
        <v>2256</v>
      </c>
      <c r="H1342" s="5" t="s">
        <v>113</v>
      </c>
      <c r="I1342" s="15">
        <v>45139</v>
      </c>
      <c r="J1342" s="15" t="s">
        <v>234</v>
      </c>
      <c r="K1342" s="6">
        <v>0.47361111111111109</v>
      </c>
      <c r="L1342" t="s">
        <v>144</v>
      </c>
      <c r="M1342">
        <v>100000</v>
      </c>
      <c r="N1342" t="s">
        <v>218</v>
      </c>
      <c r="O1342" t="s">
        <v>151</v>
      </c>
      <c r="P1342">
        <v>24</v>
      </c>
      <c r="Q1342" t="s">
        <v>156</v>
      </c>
    </row>
    <row r="1343" spans="1:17" x14ac:dyDescent="0.2">
      <c r="A1343">
        <v>892608</v>
      </c>
      <c r="B1343">
        <v>417</v>
      </c>
      <c r="C1343" s="1" t="s">
        <v>100</v>
      </c>
      <c r="D1343" s="11">
        <v>45270.011111111111</v>
      </c>
      <c r="E1343" t="s">
        <v>96</v>
      </c>
      <c r="F1343" t="s">
        <v>18</v>
      </c>
      <c r="G1343">
        <v>9919</v>
      </c>
      <c r="H1343" s="5" t="s">
        <v>100</v>
      </c>
      <c r="I1343" s="15">
        <v>45270</v>
      </c>
      <c r="J1343" s="15" t="s">
        <v>295</v>
      </c>
      <c r="K1343" s="6">
        <v>0.51111111111111107</v>
      </c>
      <c r="L1343" t="s">
        <v>145</v>
      </c>
      <c r="M1343">
        <v>200000</v>
      </c>
      <c r="N1343" t="s">
        <v>210</v>
      </c>
      <c r="O1343" t="s">
        <v>151</v>
      </c>
      <c r="P1343">
        <v>53</v>
      </c>
      <c r="Q1343" t="s">
        <v>154</v>
      </c>
    </row>
    <row r="1344" spans="1:17" x14ac:dyDescent="0.2">
      <c r="A1344">
        <v>892773</v>
      </c>
      <c r="B1344">
        <v>1804</v>
      </c>
      <c r="C1344" s="1" t="s">
        <v>101</v>
      </c>
      <c r="D1344" s="11">
        <v>45275.967361111114</v>
      </c>
      <c r="E1344" t="s">
        <v>96</v>
      </c>
      <c r="F1344" t="s">
        <v>21</v>
      </c>
      <c r="G1344">
        <v>999</v>
      </c>
      <c r="H1344" s="5" t="s">
        <v>101</v>
      </c>
      <c r="I1344" s="15">
        <v>45275</v>
      </c>
      <c r="J1344" s="15" t="s">
        <v>295</v>
      </c>
      <c r="K1344" s="6">
        <v>0.46736111111111112</v>
      </c>
      <c r="L1344" t="s">
        <v>142</v>
      </c>
      <c r="M1344">
        <v>150000</v>
      </c>
      <c r="N1344" t="s">
        <v>211</v>
      </c>
      <c r="O1344" t="s">
        <v>152</v>
      </c>
      <c r="P1344">
        <v>81</v>
      </c>
      <c r="Q1344" t="s">
        <v>157</v>
      </c>
    </row>
    <row r="1345" spans="1:17" x14ac:dyDescent="0.2">
      <c r="A1345">
        <v>893103</v>
      </c>
      <c r="B1345">
        <v>1877</v>
      </c>
      <c r="C1345" s="1" t="s">
        <v>105</v>
      </c>
      <c r="D1345" s="11">
        <v>44965.981249999997</v>
      </c>
      <c r="E1345" t="s">
        <v>96</v>
      </c>
      <c r="F1345" t="s">
        <v>43</v>
      </c>
      <c r="G1345">
        <v>1604</v>
      </c>
      <c r="H1345" s="5" t="s">
        <v>105</v>
      </c>
      <c r="I1345" s="15">
        <v>44965</v>
      </c>
      <c r="J1345" s="15" t="s">
        <v>232</v>
      </c>
      <c r="K1345" s="6">
        <v>0.48125000000000001</v>
      </c>
      <c r="L1345" t="s">
        <v>145</v>
      </c>
      <c r="M1345">
        <v>1000000</v>
      </c>
      <c r="N1345" t="s">
        <v>203</v>
      </c>
      <c r="O1345" t="s">
        <v>151</v>
      </c>
      <c r="P1345">
        <v>22</v>
      </c>
      <c r="Q1345" t="s">
        <v>157</v>
      </c>
    </row>
    <row r="1346" spans="1:17" x14ac:dyDescent="0.2">
      <c r="A1346">
        <v>893771</v>
      </c>
      <c r="B1346">
        <v>416</v>
      </c>
      <c r="C1346" s="1" t="s">
        <v>113</v>
      </c>
      <c r="D1346" s="11">
        <v>45170.023611111108</v>
      </c>
      <c r="E1346" t="s">
        <v>191</v>
      </c>
      <c r="F1346" t="s">
        <v>29</v>
      </c>
      <c r="G1346">
        <v>1398</v>
      </c>
      <c r="H1346" s="5" t="s">
        <v>113</v>
      </c>
      <c r="I1346" s="15">
        <v>45170</v>
      </c>
      <c r="J1346" s="15" t="s">
        <v>234</v>
      </c>
      <c r="K1346" s="6">
        <v>0.52361111111111114</v>
      </c>
      <c r="L1346" t="s">
        <v>143</v>
      </c>
      <c r="M1346">
        <v>150000</v>
      </c>
      <c r="N1346" t="s">
        <v>214</v>
      </c>
      <c r="O1346" t="s">
        <v>152</v>
      </c>
      <c r="P1346">
        <v>64</v>
      </c>
      <c r="Q1346" t="s">
        <v>154</v>
      </c>
    </row>
    <row r="1347" spans="1:17" x14ac:dyDescent="0.2">
      <c r="A1347">
        <v>894762</v>
      </c>
      <c r="B1347">
        <v>393</v>
      </c>
      <c r="C1347" s="1" t="s">
        <v>113</v>
      </c>
      <c r="D1347" s="11">
        <v>45141.027777777781</v>
      </c>
      <c r="E1347" t="s">
        <v>97</v>
      </c>
      <c r="F1347" t="s">
        <v>9</v>
      </c>
      <c r="G1347">
        <v>4907</v>
      </c>
      <c r="H1347" s="5" t="s">
        <v>113</v>
      </c>
      <c r="I1347" s="15">
        <v>45141</v>
      </c>
      <c r="J1347" s="15" t="s">
        <v>234</v>
      </c>
      <c r="K1347" s="6">
        <v>0.52777777777777779</v>
      </c>
      <c r="L1347" t="s">
        <v>144</v>
      </c>
      <c r="M1347">
        <v>150000</v>
      </c>
      <c r="N1347" t="s">
        <v>202</v>
      </c>
      <c r="O1347" t="s">
        <v>152</v>
      </c>
      <c r="P1347">
        <v>19</v>
      </c>
      <c r="Q1347" t="s">
        <v>154</v>
      </c>
    </row>
    <row r="1348" spans="1:17" x14ac:dyDescent="0.2">
      <c r="A1348">
        <v>894938</v>
      </c>
      <c r="B1348">
        <v>1376</v>
      </c>
      <c r="C1348" s="1" t="s">
        <v>99</v>
      </c>
      <c r="D1348" s="11">
        <v>44945.978472222225</v>
      </c>
      <c r="E1348" t="s">
        <v>97</v>
      </c>
      <c r="F1348" t="s">
        <v>30</v>
      </c>
      <c r="G1348">
        <v>7358</v>
      </c>
      <c r="H1348" s="5" t="s">
        <v>99</v>
      </c>
      <c r="I1348" s="15">
        <v>44945</v>
      </c>
      <c r="J1348" s="15" t="s">
        <v>232</v>
      </c>
      <c r="K1348" s="6">
        <v>0.47847222222222224</v>
      </c>
      <c r="L1348" t="s">
        <v>144</v>
      </c>
      <c r="M1348">
        <v>200000</v>
      </c>
      <c r="N1348" t="s">
        <v>216</v>
      </c>
      <c r="O1348" t="s">
        <v>152</v>
      </c>
      <c r="P1348">
        <v>74</v>
      </c>
      <c r="Q1348" t="s">
        <v>156</v>
      </c>
    </row>
    <row r="1349" spans="1:17" x14ac:dyDescent="0.2">
      <c r="A1349">
        <v>895383</v>
      </c>
      <c r="B1349">
        <v>854</v>
      </c>
      <c r="C1349" s="1" t="s">
        <v>99</v>
      </c>
      <c r="D1349" s="11">
        <v>45090.070833333331</v>
      </c>
      <c r="E1349" t="s">
        <v>96</v>
      </c>
      <c r="F1349" t="s">
        <v>67</v>
      </c>
      <c r="G1349">
        <v>7452</v>
      </c>
      <c r="H1349" s="5" t="s">
        <v>99</v>
      </c>
      <c r="I1349" s="15">
        <v>45090</v>
      </c>
      <c r="J1349" s="15" t="s">
        <v>233</v>
      </c>
      <c r="K1349" s="6">
        <v>7.0833333333333331E-2</v>
      </c>
      <c r="L1349" t="s">
        <v>142</v>
      </c>
      <c r="M1349">
        <v>100000</v>
      </c>
      <c r="N1349" t="s">
        <v>213</v>
      </c>
      <c r="O1349" t="s">
        <v>152</v>
      </c>
      <c r="P1349">
        <v>61</v>
      </c>
      <c r="Q1349" t="s">
        <v>155</v>
      </c>
    </row>
    <row r="1350" spans="1:17" x14ac:dyDescent="0.2">
      <c r="A1350">
        <v>895436</v>
      </c>
      <c r="B1350">
        <v>346</v>
      </c>
      <c r="C1350" s="1" t="s">
        <v>105</v>
      </c>
      <c r="D1350" s="11">
        <v>45177.026388888888</v>
      </c>
      <c r="E1350" t="s">
        <v>96</v>
      </c>
      <c r="F1350" t="s">
        <v>32</v>
      </c>
      <c r="G1350">
        <v>6750</v>
      </c>
      <c r="H1350" s="5" t="s">
        <v>105</v>
      </c>
      <c r="I1350" s="15">
        <v>45177</v>
      </c>
      <c r="J1350" s="15" t="s">
        <v>234</v>
      </c>
      <c r="K1350" s="6">
        <v>0.52638888888888891</v>
      </c>
      <c r="L1350" t="s">
        <v>145</v>
      </c>
      <c r="M1350">
        <v>80000</v>
      </c>
      <c r="N1350" t="s">
        <v>217</v>
      </c>
      <c r="O1350" t="s">
        <v>152</v>
      </c>
      <c r="P1350">
        <v>27</v>
      </c>
      <c r="Q1350" t="s">
        <v>154</v>
      </c>
    </row>
    <row r="1351" spans="1:17" x14ac:dyDescent="0.2">
      <c r="A1351">
        <v>896228</v>
      </c>
      <c r="B1351">
        <v>741</v>
      </c>
      <c r="C1351" s="1" t="s">
        <v>99</v>
      </c>
      <c r="D1351" s="11">
        <v>45235.008333333331</v>
      </c>
      <c r="E1351" t="s">
        <v>191</v>
      </c>
      <c r="F1351" t="s">
        <v>33</v>
      </c>
      <c r="G1351">
        <v>3208</v>
      </c>
      <c r="H1351" s="5" t="s">
        <v>99</v>
      </c>
      <c r="I1351" s="15">
        <v>45235</v>
      </c>
      <c r="J1351" s="15" t="s">
        <v>295</v>
      </c>
      <c r="K1351" s="6">
        <v>0.5083333333333333</v>
      </c>
      <c r="L1351" t="s">
        <v>145</v>
      </c>
      <c r="M1351">
        <v>100000</v>
      </c>
      <c r="N1351" t="s">
        <v>210</v>
      </c>
      <c r="O1351" t="s">
        <v>152</v>
      </c>
      <c r="P1351">
        <v>25</v>
      </c>
      <c r="Q1351" t="s">
        <v>155</v>
      </c>
    </row>
    <row r="1352" spans="1:17" x14ac:dyDescent="0.2">
      <c r="A1352">
        <v>897460</v>
      </c>
      <c r="B1352">
        <v>711</v>
      </c>
      <c r="C1352" s="1" t="s">
        <v>99</v>
      </c>
      <c r="D1352" s="11">
        <v>45193.961805555555</v>
      </c>
      <c r="E1352" t="s">
        <v>97</v>
      </c>
      <c r="F1352" t="s">
        <v>34</v>
      </c>
      <c r="G1352">
        <v>3851</v>
      </c>
      <c r="H1352" s="5" t="s">
        <v>99</v>
      </c>
      <c r="I1352" s="15">
        <v>45193</v>
      </c>
      <c r="J1352" s="15" t="s">
        <v>234</v>
      </c>
      <c r="K1352" s="6">
        <v>0.46180555555555558</v>
      </c>
      <c r="L1352" t="s">
        <v>144</v>
      </c>
      <c r="M1352">
        <v>150000</v>
      </c>
      <c r="N1352" t="s">
        <v>218</v>
      </c>
      <c r="O1352" t="s">
        <v>151</v>
      </c>
      <c r="P1352">
        <v>56</v>
      </c>
      <c r="Q1352" t="s">
        <v>155</v>
      </c>
    </row>
    <row r="1353" spans="1:17" x14ac:dyDescent="0.2">
      <c r="A1353">
        <v>897997</v>
      </c>
      <c r="B1353">
        <v>1884</v>
      </c>
      <c r="C1353" s="1" t="s">
        <v>99</v>
      </c>
      <c r="D1353" s="11">
        <v>45024.962500000001</v>
      </c>
      <c r="E1353" t="s">
        <v>97</v>
      </c>
      <c r="F1353" t="s">
        <v>35</v>
      </c>
      <c r="G1353">
        <v>1149</v>
      </c>
      <c r="H1353" s="5" t="s">
        <v>99</v>
      </c>
      <c r="I1353" s="15">
        <v>45024</v>
      </c>
      <c r="J1353" s="15" t="s">
        <v>233</v>
      </c>
      <c r="K1353" s="6">
        <v>0.46250000000000002</v>
      </c>
      <c r="L1353" t="s">
        <v>144</v>
      </c>
      <c r="M1353">
        <v>100000</v>
      </c>
      <c r="N1353" t="s">
        <v>219</v>
      </c>
      <c r="O1353" t="s">
        <v>152</v>
      </c>
      <c r="P1353">
        <v>31</v>
      </c>
      <c r="Q1353" t="s">
        <v>157</v>
      </c>
    </row>
    <row r="1354" spans="1:17" x14ac:dyDescent="0.2">
      <c r="A1354">
        <v>899461</v>
      </c>
      <c r="B1354">
        <v>1382</v>
      </c>
      <c r="C1354" s="1" t="s">
        <v>105</v>
      </c>
      <c r="D1354" s="11">
        <v>45006.012499999997</v>
      </c>
      <c r="E1354" t="s">
        <v>97</v>
      </c>
      <c r="F1354" t="s">
        <v>36</v>
      </c>
      <c r="G1354">
        <v>6071</v>
      </c>
      <c r="H1354" s="5" t="s">
        <v>105</v>
      </c>
      <c r="I1354" s="15">
        <v>45006</v>
      </c>
      <c r="J1354" s="15" t="s">
        <v>232</v>
      </c>
      <c r="K1354" s="6">
        <v>0.51249999999999996</v>
      </c>
      <c r="L1354" t="s">
        <v>146</v>
      </c>
      <c r="M1354">
        <v>100000</v>
      </c>
      <c r="N1354" t="s">
        <v>220</v>
      </c>
      <c r="O1354" t="s">
        <v>151</v>
      </c>
      <c r="P1354">
        <v>69</v>
      </c>
      <c r="Q1354" t="s">
        <v>156</v>
      </c>
    </row>
    <row r="1355" spans="1:17" x14ac:dyDescent="0.2">
      <c r="A1355">
        <v>899739</v>
      </c>
      <c r="B1355">
        <v>842</v>
      </c>
      <c r="C1355" s="1" t="s">
        <v>100</v>
      </c>
      <c r="D1355" s="11">
        <v>44932.033333333333</v>
      </c>
      <c r="E1355" t="s">
        <v>97</v>
      </c>
      <c r="F1355" t="s">
        <v>43</v>
      </c>
      <c r="G1355">
        <v>3937</v>
      </c>
      <c r="H1355" s="5" t="s">
        <v>100</v>
      </c>
      <c r="I1355" s="15">
        <v>44932</v>
      </c>
      <c r="J1355" s="15" t="s">
        <v>232</v>
      </c>
      <c r="K1355" s="6">
        <v>0.53333333333333333</v>
      </c>
      <c r="L1355" t="s">
        <v>145</v>
      </c>
      <c r="M1355">
        <v>1000000</v>
      </c>
      <c r="N1355" t="s">
        <v>203</v>
      </c>
      <c r="O1355" t="s">
        <v>151</v>
      </c>
      <c r="P1355">
        <v>41</v>
      </c>
      <c r="Q1355" t="s">
        <v>155</v>
      </c>
    </row>
    <row r="1356" spans="1:17" x14ac:dyDescent="0.2">
      <c r="A1356">
        <v>899991</v>
      </c>
      <c r="B1356">
        <v>980</v>
      </c>
      <c r="C1356" s="1" t="s">
        <v>99</v>
      </c>
      <c r="D1356" s="11">
        <v>44935.989583333336</v>
      </c>
      <c r="E1356" t="s">
        <v>97</v>
      </c>
      <c r="F1356" t="s">
        <v>38</v>
      </c>
      <c r="G1356">
        <v>4447</v>
      </c>
      <c r="H1356" s="5" t="s">
        <v>99</v>
      </c>
      <c r="I1356" s="15">
        <v>44935</v>
      </c>
      <c r="J1356" s="15" t="s">
        <v>232</v>
      </c>
      <c r="K1356" s="6">
        <v>0.48958333333333331</v>
      </c>
      <c r="L1356" t="s">
        <v>143</v>
      </c>
      <c r="M1356">
        <v>100000</v>
      </c>
      <c r="N1356" t="s">
        <v>221</v>
      </c>
      <c r="O1356" t="s">
        <v>152</v>
      </c>
      <c r="P1356">
        <v>31</v>
      </c>
      <c r="Q1356" t="s">
        <v>155</v>
      </c>
    </row>
    <row r="1357" spans="1:17" x14ac:dyDescent="0.2">
      <c r="A1357">
        <v>901917</v>
      </c>
      <c r="B1357">
        <v>195</v>
      </c>
      <c r="C1357" s="1" t="s">
        <v>99</v>
      </c>
      <c r="D1357" s="11">
        <v>45124.068749999999</v>
      </c>
      <c r="E1357" t="s">
        <v>96</v>
      </c>
      <c r="F1357" t="s">
        <v>39</v>
      </c>
      <c r="G1357">
        <v>1318</v>
      </c>
      <c r="H1357" s="5" t="s">
        <v>99</v>
      </c>
      <c r="I1357" s="15">
        <v>45124</v>
      </c>
      <c r="J1357" s="15" t="s">
        <v>234</v>
      </c>
      <c r="K1357" s="6">
        <v>6.8750000000000006E-2</v>
      </c>
      <c r="L1357" t="s">
        <v>146</v>
      </c>
      <c r="M1357">
        <v>100000</v>
      </c>
      <c r="N1357" t="s">
        <v>212</v>
      </c>
      <c r="O1357" t="s">
        <v>152</v>
      </c>
      <c r="P1357">
        <v>51</v>
      </c>
      <c r="Q1357" t="s">
        <v>154</v>
      </c>
    </row>
    <row r="1358" spans="1:17" x14ac:dyDescent="0.2">
      <c r="A1358">
        <v>903650</v>
      </c>
      <c r="B1358">
        <v>1971</v>
      </c>
      <c r="C1358" s="1" t="s">
        <v>105</v>
      </c>
      <c r="D1358" s="11">
        <v>44999.990277777775</v>
      </c>
      <c r="E1358" t="s">
        <v>191</v>
      </c>
      <c r="F1358" t="s">
        <v>24</v>
      </c>
      <c r="G1358">
        <v>8993</v>
      </c>
      <c r="H1358" s="5" t="s">
        <v>105</v>
      </c>
      <c r="I1358" s="15">
        <v>44999</v>
      </c>
      <c r="J1358" s="15" t="s">
        <v>232</v>
      </c>
      <c r="K1358" s="6">
        <v>0.49027777777777776</v>
      </c>
      <c r="L1358" t="s">
        <v>143</v>
      </c>
      <c r="M1358">
        <v>200000</v>
      </c>
      <c r="N1358" t="s">
        <v>214</v>
      </c>
      <c r="O1358" t="s">
        <v>152</v>
      </c>
      <c r="P1358">
        <v>44</v>
      </c>
      <c r="Q1358" t="s">
        <v>157</v>
      </c>
    </row>
    <row r="1359" spans="1:17" x14ac:dyDescent="0.2">
      <c r="A1359">
        <v>904533</v>
      </c>
      <c r="B1359">
        <v>223</v>
      </c>
      <c r="C1359" s="1" t="s">
        <v>113</v>
      </c>
      <c r="D1359" s="11">
        <v>45083.057638888888</v>
      </c>
      <c r="E1359" t="s">
        <v>97</v>
      </c>
      <c r="F1359" t="s">
        <v>22</v>
      </c>
      <c r="G1359">
        <v>6781</v>
      </c>
      <c r="H1359" s="5" t="s">
        <v>113</v>
      </c>
      <c r="I1359" s="15">
        <v>45083</v>
      </c>
      <c r="J1359" s="15" t="s">
        <v>233</v>
      </c>
      <c r="K1359" s="6">
        <v>5.7638888888888892E-2</v>
      </c>
      <c r="L1359" t="s">
        <v>144</v>
      </c>
      <c r="M1359">
        <v>100000</v>
      </c>
      <c r="N1359" t="s">
        <v>202</v>
      </c>
      <c r="O1359" t="s">
        <v>151</v>
      </c>
      <c r="P1359">
        <v>41</v>
      </c>
      <c r="Q1359" t="s">
        <v>154</v>
      </c>
    </row>
    <row r="1360" spans="1:17" x14ac:dyDescent="0.2">
      <c r="A1360">
        <v>904997</v>
      </c>
      <c r="B1360">
        <v>909</v>
      </c>
      <c r="C1360" s="1" t="s">
        <v>113</v>
      </c>
      <c r="D1360" s="11">
        <v>45237.949305555558</v>
      </c>
      <c r="E1360" t="s">
        <v>98</v>
      </c>
      <c r="F1360" t="s">
        <v>41</v>
      </c>
      <c r="G1360">
        <v>9811</v>
      </c>
      <c r="H1360" s="5" t="s">
        <v>113</v>
      </c>
      <c r="I1360" s="15">
        <v>45237</v>
      </c>
      <c r="J1360" s="15" t="s">
        <v>295</v>
      </c>
      <c r="K1360" s="6">
        <v>0.44930555555555557</v>
      </c>
      <c r="L1360" t="s">
        <v>145</v>
      </c>
      <c r="M1360">
        <v>150000</v>
      </c>
      <c r="N1360" t="s">
        <v>203</v>
      </c>
      <c r="O1360" t="s">
        <v>151</v>
      </c>
      <c r="P1360">
        <v>71</v>
      </c>
      <c r="Q1360" t="s">
        <v>155</v>
      </c>
    </row>
    <row r="1361" spans="1:17" x14ac:dyDescent="0.2">
      <c r="A1361">
        <v>906886</v>
      </c>
      <c r="B1361">
        <v>373</v>
      </c>
      <c r="C1361" s="1" t="s">
        <v>113</v>
      </c>
      <c r="D1361" s="11">
        <v>44994.032638888886</v>
      </c>
      <c r="E1361" t="s">
        <v>96</v>
      </c>
      <c r="F1361" t="s">
        <v>42</v>
      </c>
      <c r="G1361">
        <v>7915</v>
      </c>
      <c r="H1361" s="5" t="s">
        <v>113</v>
      </c>
      <c r="I1361" s="15">
        <v>44994</v>
      </c>
      <c r="J1361" s="15" t="s">
        <v>232</v>
      </c>
      <c r="K1361" s="6">
        <v>0.53263888888888888</v>
      </c>
      <c r="L1361" t="s">
        <v>144</v>
      </c>
      <c r="M1361">
        <v>100000</v>
      </c>
      <c r="N1361" t="s">
        <v>219</v>
      </c>
      <c r="O1361" t="s">
        <v>152</v>
      </c>
      <c r="P1361">
        <v>89</v>
      </c>
      <c r="Q1361" t="s">
        <v>154</v>
      </c>
    </row>
    <row r="1362" spans="1:17" x14ac:dyDescent="0.2">
      <c r="A1362">
        <v>908364</v>
      </c>
      <c r="B1362">
        <v>617</v>
      </c>
      <c r="C1362" s="1" t="s">
        <v>99</v>
      </c>
      <c r="D1362" s="11">
        <v>45078.996527777781</v>
      </c>
      <c r="E1362" t="s">
        <v>96</v>
      </c>
      <c r="F1362" t="s">
        <v>43</v>
      </c>
      <c r="G1362">
        <v>5116</v>
      </c>
      <c r="H1362" s="5" t="s">
        <v>99</v>
      </c>
      <c r="I1362" s="15">
        <v>45078</v>
      </c>
      <c r="J1362" s="15" t="s">
        <v>233</v>
      </c>
      <c r="K1362" s="6">
        <v>0.49652777777777779</v>
      </c>
      <c r="L1362" t="s">
        <v>145</v>
      </c>
      <c r="M1362">
        <v>1000000</v>
      </c>
      <c r="N1362" t="s">
        <v>203</v>
      </c>
      <c r="O1362" t="s">
        <v>152</v>
      </c>
      <c r="P1362">
        <v>45</v>
      </c>
      <c r="Q1362" t="s">
        <v>155</v>
      </c>
    </row>
    <row r="1363" spans="1:17" x14ac:dyDescent="0.2">
      <c r="A1363">
        <v>908702</v>
      </c>
      <c r="B1363">
        <v>1392</v>
      </c>
      <c r="C1363" s="1" t="s">
        <v>111</v>
      </c>
      <c r="D1363" s="11">
        <v>45183.970833333333</v>
      </c>
      <c r="E1363" t="s">
        <v>98</v>
      </c>
      <c r="F1363" t="s">
        <v>15</v>
      </c>
      <c r="G1363">
        <v>8379</v>
      </c>
      <c r="H1363" s="5" t="s">
        <v>111</v>
      </c>
      <c r="I1363" s="15">
        <v>45183</v>
      </c>
      <c r="J1363" s="15" t="s">
        <v>234</v>
      </c>
      <c r="K1363" s="6">
        <v>0.47083333333333333</v>
      </c>
      <c r="L1363" t="s">
        <v>143</v>
      </c>
      <c r="M1363">
        <v>150000</v>
      </c>
      <c r="N1363" t="s">
        <v>198</v>
      </c>
      <c r="O1363" t="s">
        <v>152</v>
      </c>
      <c r="P1363">
        <v>81</v>
      </c>
      <c r="Q1363" t="s">
        <v>156</v>
      </c>
    </row>
    <row r="1364" spans="1:17" x14ac:dyDescent="0.2">
      <c r="A1364">
        <v>909180</v>
      </c>
      <c r="B1364">
        <v>667</v>
      </c>
      <c r="C1364" s="1" t="s">
        <v>100</v>
      </c>
      <c r="D1364" s="11">
        <v>45078.033333333333</v>
      </c>
      <c r="E1364" t="s">
        <v>191</v>
      </c>
      <c r="F1364" t="s">
        <v>12</v>
      </c>
      <c r="G1364">
        <v>1650</v>
      </c>
      <c r="H1364" s="5" t="s">
        <v>100</v>
      </c>
      <c r="I1364" s="15">
        <v>45078</v>
      </c>
      <c r="J1364" s="15" t="s">
        <v>233</v>
      </c>
      <c r="K1364" s="6">
        <v>0.53333333333333333</v>
      </c>
      <c r="L1364" t="s">
        <v>143</v>
      </c>
      <c r="M1364">
        <v>150000</v>
      </c>
      <c r="N1364" t="s">
        <v>205</v>
      </c>
      <c r="O1364" t="s">
        <v>151</v>
      </c>
      <c r="P1364">
        <v>64</v>
      </c>
      <c r="Q1364" t="s">
        <v>155</v>
      </c>
    </row>
    <row r="1365" spans="1:17" x14ac:dyDescent="0.2">
      <c r="A1365">
        <v>910034</v>
      </c>
      <c r="B1365">
        <v>1798</v>
      </c>
      <c r="C1365" s="1" t="s">
        <v>99</v>
      </c>
      <c r="D1365" s="11">
        <v>45177.979861111111</v>
      </c>
      <c r="E1365" t="s">
        <v>98</v>
      </c>
      <c r="F1365" t="s">
        <v>29</v>
      </c>
      <c r="G1365">
        <v>3805</v>
      </c>
      <c r="H1365" s="5" t="s">
        <v>99</v>
      </c>
      <c r="I1365" s="15">
        <v>45177</v>
      </c>
      <c r="J1365" s="15" t="s">
        <v>234</v>
      </c>
      <c r="K1365" s="6">
        <v>0.47986111111111113</v>
      </c>
      <c r="L1365" t="s">
        <v>143</v>
      </c>
      <c r="M1365">
        <v>150000</v>
      </c>
      <c r="N1365" t="s">
        <v>214</v>
      </c>
      <c r="O1365" t="s">
        <v>151</v>
      </c>
      <c r="P1365">
        <v>31</v>
      </c>
      <c r="Q1365" t="s">
        <v>157</v>
      </c>
    </row>
    <row r="1366" spans="1:17" x14ac:dyDescent="0.2">
      <c r="A1366">
        <v>910121</v>
      </c>
      <c r="B1366">
        <v>549</v>
      </c>
      <c r="C1366" s="1" t="s">
        <v>99</v>
      </c>
      <c r="D1366" s="11">
        <v>45154.013194444444</v>
      </c>
      <c r="E1366" t="s">
        <v>97</v>
      </c>
      <c r="F1366" t="s">
        <v>27</v>
      </c>
      <c r="G1366">
        <v>767</v>
      </c>
      <c r="H1366" s="5" t="s">
        <v>99</v>
      </c>
      <c r="I1366" s="15">
        <v>45154</v>
      </c>
      <c r="J1366" s="15" t="s">
        <v>234</v>
      </c>
      <c r="K1366" s="6">
        <v>0.5131944444444444</v>
      </c>
      <c r="L1366" t="s">
        <v>142</v>
      </c>
      <c r="M1366">
        <v>1000000</v>
      </c>
      <c r="N1366" t="s">
        <v>209</v>
      </c>
      <c r="O1366" t="s">
        <v>151</v>
      </c>
      <c r="P1366">
        <v>70</v>
      </c>
      <c r="Q1366" t="s">
        <v>155</v>
      </c>
    </row>
    <row r="1367" spans="1:17" x14ac:dyDescent="0.2">
      <c r="A1367">
        <v>911307</v>
      </c>
      <c r="B1367">
        <v>1606</v>
      </c>
      <c r="C1367" s="1" t="s">
        <v>100</v>
      </c>
      <c r="D1367" s="11">
        <v>45165.980555555558</v>
      </c>
      <c r="E1367" t="s">
        <v>191</v>
      </c>
      <c r="F1367" t="s">
        <v>46</v>
      </c>
      <c r="G1367">
        <v>8205</v>
      </c>
      <c r="H1367" s="5" t="s">
        <v>100</v>
      </c>
      <c r="I1367" s="15">
        <v>45165</v>
      </c>
      <c r="J1367" s="15" t="s">
        <v>234</v>
      </c>
      <c r="K1367" s="6">
        <v>0.48055555555555557</v>
      </c>
      <c r="L1367" t="s">
        <v>142</v>
      </c>
      <c r="M1367">
        <v>200000</v>
      </c>
      <c r="N1367" t="s">
        <v>211</v>
      </c>
      <c r="O1367" t="s">
        <v>151</v>
      </c>
      <c r="P1367">
        <v>23</v>
      </c>
      <c r="Q1367" t="s">
        <v>157</v>
      </c>
    </row>
    <row r="1368" spans="1:17" x14ac:dyDescent="0.2">
      <c r="A1368">
        <v>911597</v>
      </c>
      <c r="B1368">
        <v>844</v>
      </c>
      <c r="C1368" s="1" t="s">
        <v>107</v>
      </c>
      <c r="D1368" s="11">
        <v>44941.95416666667</v>
      </c>
      <c r="E1368" t="s">
        <v>98</v>
      </c>
      <c r="F1368" t="s">
        <v>43</v>
      </c>
      <c r="G1368">
        <v>5409</v>
      </c>
      <c r="H1368" s="5" t="s">
        <v>107</v>
      </c>
      <c r="I1368" s="15">
        <v>44941</v>
      </c>
      <c r="J1368" s="15" t="s">
        <v>232</v>
      </c>
      <c r="K1368" s="6">
        <v>0.45416666666666666</v>
      </c>
      <c r="L1368" t="s">
        <v>145</v>
      </c>
      <c r="M1368">
        <v>1000000</v>
      </c>
      <c r="N1368" t="s">
        <v>203</v>
      </c>
      <c r="O1368" t="s">
        <v>151</v>
      </c>
      <c r="P1368">
        <v>90</v>
      </c>
      <c r="Q1368" t="s">
        <v>155</v>
      </c>
    </row>
    <row r="1369" spans="1:17" x14ac:dyDescent="0.2">
      <c r="A1369">
        <v>912904</v>
      </c>
      <c r="B1369">
        <v>349</v>
      </c>
      <c r="C1369" s="1" t="s">
        <v>108</v>
      </c>
      <c r="D1369" s="11">
        <v>45266.993750000001</v>
      </c>
      <c r="E1369" t="s">
        <v>96</v>
      </c>
      <c r="F1369" t="s">
        <v>47</v>
      </c>
      <c r="G1369">
        <v>2520</v>
      </c>
      <c r="H1369" s="5" t="s">
        <v>108</v>
      </c>
      <c r="I1369" s="15">
        <v>45266</v>
      </c>
      <c r="J1369" s="15" t="s">
        <v>295</v>
      </c>
      <c r="K1369" s="6">
        <v>0.49375000000000002</v>
      </c>
      <c r="L1369" t="s">
        <v>144</v>
      </c>
      <c r="M1369">
        <v>100000</v>
      </c>
      <c r="N1369" t="s">
        <v>218</v>
      </c>
      <c r="O1369" t="s">
        <v>152</v>
      </c>
      <c r="P1369">
        <v>55</v>
      </c>
      <c r="Q1369" t="s">
        <v>154</v>
      </c>
    </row>
    <row r="1370" spans="1:17" x14ac:dyDescent="0.2">
      <c r="A1370">
        <v>912973</v>
      </c>
      <c r="B1370">
        <v>646</v>
      </c>
      <c r="C1370" s="1" t="s">
        <v>106</v>
      </c>
      <c r="D1370" s="11">
        <v>45280.975694444445</v>
      </c>
      <c r="E1370" t="s">
        <v>191</v>
      </c>
      <c r="F1370" t="s">
        <v>27</v>
      </c>
      <c r="G1370">
        <v>816</v>
      </c>
      <c r="H1370" s="5" t="s">
        <v>106</v>
      </c>
      <c r="I1370" s="15">
        <v>45280</v>
      </c>
      <c r="J1370" s="15" t="s">
        <v>295</v>
      </c>
      <c r="K1370" s="6">
        <v>0.47569444444444442</v>
      </c>
      <c r="L1370" t="s">
        <v>142</v>
      </c>
      <c r="M1370">
        <v>1000000</v>
      </c>
      <c r="N1370" t="s">
        <v>209</v>
      </c>
      <c r="O1370" t="s">
        <v>152</v>
      </c>
      <c r="P1370">
        <v>69</v>
      </c>
      <c r="Q1370" t="s">
        <v>155</v>
      </c>
    </row>
    <row r="1371" spans="1:17" x14ac:dyDescent="0.2">
      <c r="A1371">
        <v>914101</v>
      </c>
      <c r="B1371">
        <v>1839</v>
      </c>
      <c r="C1371" s="1" t="s">
        <v>109</v>
      </c>
      <c r="D1371" s="11">
        <v>45152.010416666664</v>
      </c>
      <c r="E1371" t="s">
        <v>98</v>
      </c>
      <c r="F1371" t="s">
        <v>70</v>
      </c>
      <c r="G1371">
        <v>8372</v>
      </c>
      <c r="H1371" s="5" t="s">
        <v>109</v>
      </c>
      <c r="I1371" s="15">
        <v>45152</v>
      </c>
      <c r="J1371" s="15" t="s">
        <v>234</v>
      </c>
      <c r="K1371" s="6">
        <v>0.51041666666666663</v>
      </c>
      <c r="L1371" t="s">
        <v>143</v>
      </c>
      <c r="M1371">
        <v>100000</v>
      </c>
      <c r="N1371" t="s">
        <v>205</v>
      </c>
      <c r="O1371" t="s">
        <v>152</v>
      </c>
      <c r="P1371">
        <v>33</v>
      </c>
      <c r="Q1371" t="s">
        <v>157</v>
      </c>
    </row>
    <row r="1372" spans="1:17" x14ac:dyDescent="0.2">
      <c r="A1372">
        <v>914288</v>
      </c>
      <c r="B1372">
        <v>1090</v>
      </c>
      <c r="C1372" s="1" t="s">
        <v>100</v>
      </c>
      <c r="D1372" s="11">
        <v>45075.036111111112</v>
      </c>
      <c r="E1372" t="s">
        <v>97</v>
      </c>
      <c r="F1372" t="s">
        <v>71</v>
      </c>
      <c r="G1372">
        <v>1968</v>
      </c>
      <c r="H1372" s="5" t="s">
        <v>100</v>
      </c>
      <c r="I1372" s="15">
        <v>45075</v>
      </c>
      <c r="J1372" s="15" t="s">
        <v>233</v>
      </c>
      <c r="K1372" s="6">
        <v>0.53611111111111109</v>
      </c>
      <c r="L1372" t="s">
        <v>145</v>
      </c>
      <c r="M1372">
        <v>150000</v>
      </c>
      <c r="N1372" t="s">
        <v>226</v>
      </c>
      <c r="O1372" t="s">
        <v>152</v>
      </c>
      <c r="P1372">
        <v>19</v>
      </c>
      <c r="Q1372" t="s">
        <v>156</v>
      </c>
    </row>
    <row r="1373" spans="1:17" x14ac:dyDescent="0.2">
      <c r="A1373">
        <v>914311</v>
      </c>
      <c r="B1373">
        <v>1127</v>
      </c>
      <c r="C1373" s="1" t="s">
        <v>103</v>
      </c>
      <c r="D1373" s="11">
        <v>45021.011805555558</v>
      </c>
      <c r="E1373" t="s">
        <v>191</v>
      </c>
      <c r="F1373" t="s">
        <v>43</v>
      </c>
      <c r="G1373">
        <v>6090</v>
      </c>
      <c r="H1373" s="5" t="s">
        <v>103</v>
      </c>
      <c r="I1373" s="15">
        <v>45021</v>
      </c>
      <c r="J1373" s="15" t="s">
        <v>233</v>
      </c>
      <c r="K1373" s="6">
        <v>0.51180555555555551</v>
      </c>
      <c r="L1373" t="s">
        <v>145</v>
      </c>
      <c r="M1373">
        <v>1000000</v>
      </c>
      <c r="N1373" t="s">
        <v>203</v>
      </c>
      <c r="O1373" t="s">
        <v>152</v>
      </c>
      <c r="P1373">
        <v>83</v>
      </c>
      <c r="Q1373" t="s">
        <v>156</v>
      </c>
    </row>
    <row r="1374" spans="1:17" x14ac:dyDescent="0.2">
      <c r="A1374">
        <v>914647</v>
      </c>
      <c r="B1374">
        <v>1671</v>
      </c>
      <c r="C1374" s="1" t="s">
        <v>99</v>
      </c>
      <c r="D1374" s="11">
        <v>45010.081944444442</v>
      </c>
      <c r="E1374" t="s">
        <v>98</v>
      </c>
      <c r="F1374" t="s">
        <v>92</v>
      </c>
      <c r="G1374">
        <v>7025</v>
      </c>
      <c r="H1374" s="5" t="s">
        <v>99</v>
      </c>
      <c r="I1374" s="15">
        <v>45010</v>
      </c>
      <c r="J1374" s="15" t="s">
        <v>232</v>
      </c>
      <c r="K1374" s="6">
        <v>8.1944444444444445E-2</v>
      </c>
      <c r="L1374" t="s">
        <v>145</v>
      </c>
      <c r="M1374">
        <v>30000</v>
      </c>
      <c r="N1374" t="s">
        <v>226</v>
      </c>
      <c r="O1374" t="s">
        <v>151</v>
      </c>
      <c r="P1374">
        <v>56</v>
      </c>
      <c r="Q1374" t="s">
        <v>157</v>
      </c>
    </row>
    <row r="1375" spans="1:17" x14ac:dyDescent="0.2">
      <c r="A1375">
        <v>914814</v>
      </c>
      <c r="B1375">
        <v>1729</v>
      </c>
      <c r="C1375" s="1" t="s">
        <v>101</v>
      </c>
      <c r="D1375" s="11">
        <v>45235.980555555558</v>
      </c>
      <c r="E1375" t="s">
        <v>191</v>
      </c>
      <c r="F1375" t="s">
        <v>8</v>
      </c>
      <c r="G1375">
        <v>6744</v>
      </c>
      <c r="H1375" s="5" t="s">
        <v>101</v>
      </c>
      <c r="I1375" s="15">
        <v>45235</v>
      </c>
      <c r="J1375" s="15" t="s">
        <v>295</v>
      </c>
      <c r="K1375" s="6">
        <v>0.48055555555555557</v>
      </c>
      <c r="L1375" t="s">
        <v>142</v>
      </c>
      <c r="M1375">
        <v>200000</v>
      </c>
      <c r="N1375" t="s">
        <v>201</v>
      </c>
      <c r="O1375" t="s">
        <v>151</v>
      </c>
      <c r="P1375">
        <v>72</v>
      </c>
      <c r="Q1375" t="s">
        <v>157</v>
      </c>
    </row>
    <row r="1376" spans="1:17" x14ac:dyDescent="0.2">
      <c r="A1376">
        <v>915353</v>
      </c>
      <c r="B1376">
        <v>48</v>
      </c>
      <c r="C1376" s="1" t="s">
        <v>99</v>
      </c>
      <c r="D1376" s="11">
        <v>45131.064583333333</v>
      </c>
      <c r="E1376" t="s">
        <v>191</v>
      </c>
      <c r="F1376" t="s">
        <v>46</v>
      </c>
      <c r="G1376">
        <v>2128</v>
      </c>
      <c r="H1376" s="5" t="s">
        <v>99</v>
      </c>
      <c r="I1376" s="15">
        <v>45131</v>
      </c>
      <c r="J1376" s="15" t="s">
        <v>234</v>
      </c>
      <c r="K1376" s="6">
        <v>6.458333333333334E-2</v>
      </c>
      <c r="L1376" t="s">
        <v>142</v>
      </c>
      <c r="M1376">
        <v>200000</v>
      </c>
      <c r="N1376" t="s">
        <v>211</v>
      </c>
      <c r="O1376" t="s">
        <v>152</v>
      </c>
      <c r="P1376">
        <v>66</v>
      </c>
      <c r="Q1376" t="s">
        <v>154</v>
      </c>
    </row>
    <row r="1377" spans="1:17" x14ac:dyDescent="0.2">
      <c r="A1377">
        <v>916383</v>
      </c>
      <c r="B1377">
        <v>1746</v>
      </c>
      <c r="C1377" s="1" t="s">
        <v>107</v>
      </c>
      <c r="D1377" s="11">
        <v>45287.041666666664</v>
      </c>
      <c r="E1377" t="s">
        <v>191</v>
      </c>
      <c r="F1377" t="s">
        <v>10</v>
      </c>
      <c r="G1377">
        <v>3491</v>
      </c>
      <c r="H1377" s="5" t="s">
        <v>107</v>
      </c>
      <c r="I1377" s="15">
        <v>45287</v>
      </c>
      <c r="J1377" s="15" t="s">
        <v>295</v>
      </c>
      <c r="K1377" s="6">
        <v>4.1666666666666664E-2</v>
      </c>
      <c r="L1377" t="s">
        <v>145</v>
      </c>
      <c r="M1377">
        <v>150000</v>
      </c>
      <c r="N1377" t="s">
        <v>203</v>
      </c>
      <c r="O1377" t="s">
        <v>151</v>
      </c>
      <c r="P1377">
        <v>66</v>
      </c>
      <c r="Q1377" t="s">
        <v>157</v>
      </c>
    </row>
    <row r="1378" spans="1:17" x14ac:dyDescent="0.2">
      <c r="A1378">
        <v>917785</v>
      </c>
      <c r="B1378">
        <v>789</v>
      </c>
      <c r="C1378" s="1" t="s">
        <v>100</v>
      </c>
      <c r="D1378" s="11">
        <v>45053.001388888886</v>
      </c>
      <c r="E1378" t="s">
        <v>191</v>
      </c>
      <c r="F1378" t="s">
        <v>72</v>
      </c>
      <c r="G1378">
        <v>9379</v>
      </c>
      <c r="H1378" s="5" t="s">
        <v>100</v>
      </c>
      <c r="I1378" s="15">
        <v>45053</v>
      </c>
      <c r="J1378" s="15" t="s">
        <v>233</v>
      </c>
      <c r="K1378" s="6">
        <v>0.50138888888888888</v>
      </c>
      <c r="L1378" t="s">
        <v>143</v>
      </c>
      <c r="M1378">
        <v>150000</v>
      </c>
      <c r="N1378" t="s">
        <v>223</v>
      </c>
      <c r="O1378" t="s">
        <v>151</v>
      </c>
      <c r="P1378">
        <v>62</v>
      </c>
      <c r="Q1378" t="s">
        <v>155</v>
      </c>
    </row>
    <row r="1379" spans="1:17" x14ac:dyDescent="0.2">
      <c r="A1379">
        <v>918151</v>
      </c>
      <c r="B1379">
        <v>981</v>
      </c>
      <c r="C1379" s="1" t="s">
        <v>99</v>
      </c>
      <c r="D1379" s="11">
        <v>45043.052777777775</v>
      </c>
      <c r="E1379" t="s">
        <v>97</v>
      </c>
      <c r="F1379" t="s">
        <v>13</v>
      </c>
      <c r="G1379">
        <v>1322</v>
      </c>
      <c r="H1379" s="5" t="s">
        <v>99</v>
      </c>
      <c r="I1379" s="15">
        <v>45043</v>
      </c>
      <c r="J1379" s="15" t="s">
        <v>233</v>
      </c>
      <c r="K1379" s="6">
        <v>5.2777777777777778E-2</v>
      </c>
      <c r="L1379" t="s">
        <v>143</v>
      </c>
      <c r="M1379">
        <v>150000</v>
      </c>
      <c r="N1379" t="s">
        <v>206</v>
      </c>
      <c r="O1379" t="s">
        <v>152</v>
      </c>
      <c r="P1379">
        <v>78</v>
      </c>
      <c r="Q1379" t="s">
        <v>155</v>
      </c>
    </row>
    <row r="1380" spans="1:17" x14ac:dyDescent="0.2">
      <c r="A1380">
        <v>918183</v>
      </c>
      <c r="B1380">
        <v>1795</v>
      </c>
      <c r="C1380" s="1" t="s">
        <v>100</v>
      </c>
      <c r="D1380" s="11">
        <v>45196.047222222223</v>
      </c>
      <c r="E1380" t="s">
        <v>98</v>
      </c>
      <c r="F1380" t="s">
        <v>73</v>
      </c>
      <c r="G1380">
        <v>4196</v>
      </c>
      <c r="H1380" s="5" t="s">
        <v>100</v>
      </c>
      <c r="I1380" s="15">
        <v>45196</v>
      </c>
      <c r="J1380" s="15" t="s">
        <v>234</v>
      </c>
      <c r="K1380" s="6">
        <v>4.7222222222222221E-2</v>
      </c>
      <c r="L1380" t="s">
        <v>146</v>
      </c>
      <c r="M1380">
        <v>150000</v>
      </c>
      <c r="N1380" t="s">
        <v>222</v>
      </c>
      <c r="O1380" t="s">
        <v>151</v>
      </c>
      <c r="P1380">
        <v>53</v>
      </c>
      <c r="Q1380" t="s">
        <v>157</v>
      </c>
    </row>
    <row r="1381" spans="1:17" x14ac:dyDescent="0.2">
      <c r="A1381">
        <v>918347</v>
      </c>
      <c r="B1381">
        <v>449</v>
      </c>
      <c r="C1381" s="1" t="s">
        <v>99</v>
      </c>
      <c r="D1381" s="11">
        <v>45140.990972222222</v>
      </c>
      <c r="E1381" t="s">
        <v>98</v>
      </c>
      <c r="F1381" t="s">
        <v>52</v>
      </c>
      <c r="G1381">
        <v>1241</v>
      </c>
      <c r="H1381" s="5" t="s">
        <v>99</v>
      </c>
      <c r="I1381" s="15">
        <v>45140</v>
      </c>
      <c r="J1381" s="15" t="s">
        <v>234</v>
      </c>
      <c r="K1381" s="6">
        <v>0.4909722222222222</v>
      </c>
      <c r="L1381" t="s">
        <v>143</v>
      </c>
      <c r="M1381">
        <v>100000</v>
      </c>
      <c r="N1381" t="s">
        <v>206</v>
      </c>
      <c r="O1381" t="s">
        <v>151</v>
      </c>
      <c r="P1381">
        <v>53</v>
      </c>
      <c r="Q1381" t="s">
        <v>154</v>
      </c>
    </row>
    <row r="1382" spans="1:17" x14ac:dyDescent="0.2">
      <c r="A1382">
        <v>919424</v>
      </c>
      <c r="B1382">
        <v>1079</v>
      </c>
      <c r="C1382" s="1" t="s">
        <v>113</v>
      </c>
      <c r="D1382" s="11">
        <v>45089.988194444442</v>
      </c>
      <c r="E1382" t="s">
        <v>97</v>
      </c>
      <c r="F1382" t="s">
        <v>13</v>
      </c>
      <c r="G1382">
        <v>9932</v>
      </c>
      <c r="H1382" s="5" t="s">
        <v>113</v>
      </c>
      <c r="I1382" s="15">
        <v>45089</v>
      </c>
      <c r="J1382" s="15" t="s">
        <v>233</v>
      </c>
      <c r="K1382" s="6">
        <v>0.48819444444444443</v>
      </c>
      <c r="L1382" t="s">
        <v>143</v>
      </c>
      <c r="M1382">
        <v>150000</v>
      </c>
      <c r="N1382" t="s">
        <v>206</v>
      </c>
      <c r="O1382" t="s">
        <v>152</v>
      </c>
      <c r="P1382">
        <v>29</v>
      </c>
      <c r="Q1382" t="s">
        <v>156</v>
      </c>
    </row>
    <row r="1383" spans="1:17" x14ac:dyDescent="0.2">
      <c r="A1383">
        <v>920294</v>
      </c>
      <c r="B1383">
        <v>474</v>
      </c>
      <c r="C1383" s="1" t="s">
        <v>102</v>
      </c>
      <c r="D1383" s="11">
        <v>45204.056250000001</v>
      </c>
      <c r="E1383" t="s">
        <v>191</v>
      </c>
      <c r="F1383" t="s">
        <v>62</v>
      </c>
      <c r="G1383">
        <v>6177</v>
      </c>
      <c r="H1383" s="5" t="s">
        <v>102</v>
      </c>
      <c r="I1383" s="15">
        <v>45204</v>
      </c>
      <c r="J1383" s="15" t="s">
        <v>295</v>
      </c>
      <c r="K1383" s="6">
        <v>5.6250000000000001E-2</v>
      </c>
      <c r="L1383" t="s">
        <v>145</v>
      </c>
      <c r="M1383">
        <v>100000</v>
      </c>
      <c r="N1383" t="s">
        <v>217</v>
      </c>
      <c r="O1383" t="s">
        <v>151</v>
      </c>
      <c r="P1383">
        <v>74</v>
      </c>
      <c r="Q1383" t="s">
        <v>154</v>
      </c>
    </row>
    <row r="1384" spans="1:17" x14ac:dyDescent="0.2">
      <c r="A1384">
        <v>920645</v>
      </c>
      <c r="B1384">
        <v>1851</v>
      </c>
      <c r="C1384" s="1" t="s">
        <v>105</v>
      </c>
      <c r="D1384" s="11">
        <v>44990.040277777778</v>
      </c>
      <c r="E1384" t="s">
        <v>98</v>
      </c>
      <c r="F1384" t="s">
        <v>75</v>
      </c>
      <c r="G1384">
        <v>620</v>
      </c>
      <c r="H1384" s="5" t="s">
        <v>105</v>
      </c>
      <c r="I1384" s="15">
        <v>44990</v>
      </c>
      <c r="J1384" s="15" t="s">
        <v>232</v>
      </c>
      <c r="K1384" s="6">
        <v>0.54027777777777775</v>
      </c>
      <c r="L1384" t="s">
        <v>143</v>
      </c>
      <c r="M1384">
        <v>50000</v>
      </c>
      <c r="N1384" t="s">
        <v>205</v>
      </c>
      <c r="O1384" t="s">
        <v>152</v>
      </c>
      <c r="P1384">
        <v>76</v>
      </c>
      <c r="Q1384" t="s">
        <v>157</v>
      </c>
    </row>
    <row r="1385" spans="1:17" x14ac:dyDescent="0.2">
      <c r="A1385">
        <v>921540</v>
      </c>
      <c r="B1385">
        <v>499</v>
      </c>
      <c r="C1385" s="1" t="s">
        <v>101</v>
      </c>
      <c r="D1385" s="11">
        <v>45280.993750000001</v>
      </c>
      <c r="E1385" t="s">
        <v>97</v>
      </c>
      <c r="F1385" t="s">
        <v>73</v>
      </c>
      <c r="G1385">
        <v>2164</v>
      </c>
      <c r="H1385" s="5" t="s">
        <v>101</v>
      </c>
      <c r="I1385" s="15">
        <v>45280</v>
      </c>
      <c r="J1385" s="15" t="s">
        <v>295</v>
      </c>
      <c r="K1385" s="6">
        <v>0.49375000000000002</v>
      </c>
      <c r="L1385" t="s">
        <v>146</v>
      </c>
      <c r="M1385">
        <v>150000</v>
      </c>
      <c r="N1385" t="s">
        <v>222</v>
      </c>
      <c r="O1385" t="s">
        <v>151</v>
      </c>
      <c r="P1385">
        <v>89</v>
      </c>
      <c r="Q1385" t="s">
        <v>154</v>
      </c>
    </row>
    <row r="1386" spans="1:17" x14ac:dyDescent="0.2">
      <c r="A1386">
        <v>921826</v>
      </c>
      <c r="B1386">
        <v>1677</v>
      </c>
      <c r="C1386" s="1" t="s">
        <v>107</v>
      </c>
      <c r="D1386" s="11">
        <v>45027.998611111114</v>
      </c>
      <c r="E1386" t="s">
        <v>96</v>
      </c>
      <c r="F1386" t="s">
        <v>20</v>
      </c>
      <c r="G1386">
        <v>1726</v>
      </c>
      <c r="H1386" s="5" t="s">
        <v>107</v>
      </c>
      <c r="I1386" s="15">
        <v>45027</v>
      </c>
      <c r="J1386" s="15" t="s">
        <v>233</v>
      </c>
      <c r="K1386" s="6">
        <v>0.49861111111111112</v>
      </c>
      <c r="L1386" t="s">
        <v>146</v>
      </c>
      <c r="M1386">
        <v>150000</v>
      </c>
      <c r="N1386" t="s">
        <v>212</v>
      </c>
      <c r="O1386" t="s">
        <v>152</v>
      </c>
      <c r="P1386">
        <v>51</v>
      </c>
      <c r="Q1386" t="s">
        <v>157</v>
      </c>
    </row>
    <row r="1387" spans="1:17" x14ac:dyDescent="0.2">
      <c r="A1387">
        <v>922883</v>
      </c>
      <c r="B1387">
        <v>243</v>
      </c>
      <c r="C1387" s="1" t="s">
        <v>99</v>
      </c>
      <c r="D1387" s="11">
        <v>45278.061805555553</v>
      </c>
      <c r="E1387" t="s">
        <v>191</v>
      </c>
      <c r="F1387" t="s">
        <v>72</v>
      </c>
      <c r="G1387">
        <v>4141</v>
      </c>
      <c r="H1387" s="5" t="s">
        <v>99</v>
      </c>
      <c r="I1387" s="15">
        <v>45278</v>
      </c>
      <c r="J1387" s="15" t="s">
        <v>295</v>
      </c>
      <c r="K1387" s="6">
        <v>6.1805555555555558E-2</v>
      </c>
      <c r="L1387" t="s">
        <v>143</v>
      </c>
      <c r="M1387">
        <v>150000</v>
      </c>
      <c r="N1387" t="s">
        <v>223</v>
      </c>
      <c r="O1387" t="s">
        <v>151</v>
      </c>
      <c r="P1387">
        <v>18</v>
      </c>
      <c r="Q1387" t="s">
        <v>154</v>
      </c>
    </row>
    <row r="1388" spans="1:17" x14ac:dyDescent="0.2">
      <c r="A1388">
        <v>923178</v>
      </c>
      <c r="B1388">
        <v>1561</v>
      </c>
      <c r="C1388" s="1" t="s">
        <v>110</v>
      </c>
      <c r="D1388" s="11">
        <v>45225.998611111114</v>
      </c>
      <c r="E1388" t="s">
        <v>96</v>
      </c>
      <c r="F1388" t="s">
        <v>83</v>
      </c>
      <c r="G1388">
        <v>6590</v>
      </c>
      <c r="H1388" s="5" t="s">
        <v>110</v>
      </c>
      <c r="I1388" s="15">
        <v>45225</v>
      </c>
      <c r="J1388" s="15" t="s">
        <v>295</v>
      </c>
      <c r="K1388" s="6">
        <v>0.49861111111111112</v>
      </c>
      <c r="L1388" t="s">
        <v>143</v>
      </c>
      <c r="M1388">
        <v>200000</v>
      </c>
      <c r="N1388" t="s">
        <v>206</v>
      </c>
      <c r="O1388" t="s">
        <v>152</v>
      </c>
      <c r="P1388">
        <v>28</v>
      </c>
      <c r="Q1388" t="s">
        <v>157</v>
      </c>
    </row>
    <row r="1389" spans="1:17" x14ac:dyDescent="0.2">
      <c r="A1389">
        <v>924191</v>
      </c>
      <c r="B1389">
        <v>1970</v>
      </c>
      <c r="C1389" s="1" t="s">
        <v>100</v>
      </c>
      <c r="D1389" s="11">
        <v>45214.045138888891</v>
      </c>
      <c r="E1389" t="s">
        <v>96</v>
      </c>
      <c r="F1389" t="s">
        <v>70</v>
      </c>
      <c r="G1389">
        <v>925</v>
      </c>
      <c r="H1389" s="5" t="s">
        <v>100</v>
      </c>
      <c r="I1389" s="15">
        <v>45214</v>
      </c>
      <c r="J1389" s="15" t="s">
        <v>295</v>
      </c>
      <c r="K1389" s="6">
        <v>4.5138888888888888E-2</v>
      </c>
      <c r="L1389" t="s">
        <v>143</v>
      </c>
      <c r="M1389">
        <v>100000</v>
      </c>
      <c r="N1389" t="s">
        <v>205</v>
      </c>
      <c r="O1389" t="s">
        <v>151</v>
      </c>
      <c r="P1389">
        <v>79</v>
      </c>
      <c r="Q1389" t="s">
        <v>157</v>
      </c>
    </row>
    <row r="1390" spans="1:17" x14ac:dyDescent="0.2">
      <c r="A1390">
        <v>924407</v>
      </c>
      <c r="B1390">
        <v>1824</v>
      </c>
      <c r="C1390" s="1" t="s">
        <v>99</v>
      </c>
      <c r="D1390" s="11">
        <v>45177.938888888886</v>
      </c>
      <c r="E1390" t="s">
        <v>98</v>
      </c>
      <c r="F1390" t="s">
        <v>14</v>
      </c>
      <c r="G1390">
        <v>2760</v>
      </c>
      <c r="H1390" s="5" t="s">
        <v>99</v>
      </c>
      <c r="I1390" s="15">
        <v>45177</v>
      </c>
      <c r="J1390" s="15" t="s">
        <v>234</v>
      </c>
      <c r="K1390" s="6">
        <v>0.43888888888888888</v>
      </c>
      <c r="L1390" t="s">
        <v>142</v>
      </c>
      <c r="M1390">
        <v>250000</v>
      </c>
      <c r="N1390" t="s">
        <v>207</v>
      </c>
      <c r="O1390" t="s">
        <v>152</v>
      </c>
      <c r="P1390">
        <v>35</v>
      </c>
      <c r="Q1390" t="s">
        <v>157</v>
      </c>
    </row>
    <row r="1391" spans="1:17" x14ac:dyDescent="0.2">
      <c r="A1391">
        <v>924612</v>
      </c>
      <c r="B1391">
        <v>549</v>
      </c>
      <c r="C1391" s="1" t="s">
        <v>99</v>
      </c>
      <c r="D1391" s="11">
        <v>45001.037499999999</v>
      </c>
      <c r="E1391" t="s">
        <v>97</v>
      </c>
      <c r="F1391" t="s">
        <v>27</v>
      </c>
      <c r="G1391">
        <v>7323</v>
      </c>
      <c r="H1391" s="5" t="s">
        <v>99</v>
      </c>
      <c r="I1391" s="15">
        <v>45001</v>
      </c>
      <c r="J1391" s="15" t="s">
        <v>232</v>
      </c>
      <c r="K1391" s="6">
        <v>0.53749999999999998</v>
      </c>
      <c r="L1391" t="s">
        <v>142</v>
      </c>
      <c r="M1391">
        <v>1000000</v>
      </c>
      <c r="N1391" t="s">
        <v>209</v>
      </c>
      <c r="O1391" t="s">
        <v>151</v>
      </c>
      <c r="P1391">
        <v>70</v>
      </c>
      <c r="Q1391" t="s">
        <v>155</v>
      </c>
    </row>
    <row r="1392" spans="1:17" x14ac:dyDescent="0.2">
      <c r="A1392">
        <v>926206</v>
      </c>
      <c r="B1392">
        <v>41</v>
      </c>
      <c r="C1392" s="1" t="s">
        <v>101</v>
      </c>
      <c r="D1392" s="11">
        <v>44982.958333333336</v>
      </c>
      <c r="E1392" t="s">
        <v>97</v>
      </c>
      <c r="F1392" t="s">
        <v>77</v>
      </c>
      <c r="G1392">
        <v>3952</v>
      </c>
      <c r="H1392" s="5" t="s">
        <v>101</v>
      </c>
      <c r="I1392" s="15">
        <v>44982</v>
      </c>
      <c r="J1392" s="15" t="s">
        <v>232</v>
      </c>
      <c r="K1392" s="6">
        <v>0.45833333333333331</v>
      </c>
      <c r="L1392" t="s">
        <v>146</v>
      </c>
      <c r="M1392">
        <v>100000</v>
      </c>
      <c r="N1392" t="s">
        <v>222</v>
      </c>
      <c r="O1392" t="s">
        <v>152</v>
      </c>
      <c r="P1392">
        <v>42</v>
      </c>
      <c r="Q1392" t="s">
        <v>154</v>
      </c>
    </row>
    <row r="1393" spans="1:17" x14ac:dyDescent="0.2">
      <c r="A1393">
        <v>926690</v>
      </c>
      <c r="B1393">
        <v>1286</v>
      </c>
      <c r="C1393" s="1" t="s">
        <v>99</v>
      </c>
      <c r="D1393" s="11">
        <v>45058.00277777778</v>
      </c>
      <c r="E1393" t="s">
        <v>98</v>
      </c>
      <c r="F1393" t="s">
        <v>27</v>
      </c>
      <c r="G1393">
        <v>197</v>
      </c>
      <c r="H1393" s="5" t="s">
        <v>99</v>
      </c>
      <c r="I1393" s="15">
        <v>45058</v>
      </c>
      <c r="J1393" s="15" t="s">
        <v>233</v>
      </c>
      <c r="K1393" s="6">
        <v>0.50277777777777777</v>
      </c>
      <c r="L1393" t="s">
        <v>142</v>
      </c>
      <c r="M1393">
        <v>1000000</v>
      </c>
      <c r="N1393" t="s">
        <v>209</v>
      </c>
      <c r="O1393" t="s">
        <v>151</v>
      </c>
      <c r="P1393">
        <v>61</v>
      </c>
      <c r="Q1393" t="s">
        <v>156</v>
      </c>
    </row>
    <row r="1394" spans="1:17" x14ac:dyDescent="0.2">
      <c r="A1394">
        <v>929955</v>
      </c>
      <c r="B1394">
        <v>349</v>
      </c>
      <c r="C1394" s="1" t="s">
        <v>108</v>
      </c>
      <c r="D1394" s="11">
        <v>44947.987500000003</v>
      </c>
      <c r="E1394" t="s">
        <v>98</v>
      </c>
      <c r="F1394" t="s">
        <v>43</v>
      </c>
      <c r="G1394">
        <v>3242</v>
      </c>
      <c r="H1394" s="5" t="s">
        <v>108</v>
      </c>
      <c r="I1394" s="15">
        <v>44947</v>
      </c>
      <c r="J1394" s="15" t="s">
        <v>232</v>
      </c>
      <c r="K1394" s="6">
        <v>0.48749999999999999</v>
      </c>
      <c r="L1394" t="s">
        <v>145</v>
      </c>
      <c r="M1394">
        <v>1000000</v>
      </c>
      <c r="N1394" t="s">
        <v>203</v>
      </c>
      <c r="O1394" t="s">
        <v>152</v>
      </c>
      <c r="P1394">
        <v>55</v>
      </c>
      <c r="Q1394" t="s">
        <v>154</v>
      </c>
    </row>
    <row r="1395" spans="1:17" x14ac:dyDescent="0.2">
      <c r="A1395">
        <v>930116</v>
      </c>
      <c r="B1395">
        <v>918</v>
      </c>
      <c r="C1395" s="1" t="s">
        <v>101</v>
      </c>
      <c r="D1395" s="11">
        <v>45156.984027777777</v>
      </c>
      <c r="E1395" t="s">
        <v>97</v>
      </c>
      <c r="F1395" t="s">
        <v>81</v>
      </c>
      <c r="G1395">
        <v>4873</v>
      </c>
      <c r="H1395" s="5" t="s">
        <v>101</v>
      </c>
      <c r="I1395" s="15">
        <v>45156</v>
      </c>
      <c r="J1395" s="15" t="s">
        <v>234</v>
      </c>
      <c r="K1395" s="6">
        <v>0.48402777777777778</v>
      </c>
      <c r="L1395" t="s">
        <v>143</v>
      </c>
      <c r="M1395">
        <v>250000</v>
      </c>
      <c r="N1395" t="s">
        <v>221</v>
      </c>
      <c r="O1395" t="s">
        <v>151</v>
      </c>
      <c r="P1395">
        <v>75</v>
      </c>
      <c r="Q1395" t="s">
        <v>155</v>
      </c>
    </row>
    <row r="1396" spans="1:17" x14ac:dyDescent="0.2">
      <c r="A1396">
        <v>930552</v>
      </c>
      <c r="B1396">
        <v>1605</v>
      </c>
      <c r="C1396" s="1" t="s">
        <v>105</v>
      </c>
      <c r="D1396" s="11">
        <v>45021.009722222225</v>
      </c>
      <c r="E1396" t="s">
        <v>96</v>
      </c>
      <c r="F1396" t="s">
        <v>88</v>
      </c>
      <c r="G1396">
        <v>6840</v>
      </c>
      <c r="H1396" s="5" t="s">
        <v>105</v>
      </c>
      <c r="I1396" s="15">
        <v>45021</v>
      </c>
      <c r="J1396" s="15" t="s">
        <v>233</v>
      </c>
      <c r="K1396" s="6">
        <v>0.50972222222222219</v>
      </c>
      <c r="L1396" t="s">
        <v>144</v>
      </c>
      <c r="M1396">
        <v>100000</v>
      </c>
      <c r="N1396" t="s">
        <v>200</v>
      </c>
      <c r="O1396" t="s">
        <v>152</v>
      </c>
      <c r="P1396">
        <v>45</v>
      </c>
      <c r="Q1396" t="s">
        <v>157</v>
      </c>
    </row>
    <row r="1397" spans="1:17" x14ac:dyDescent="0.2">
      <c r="A1397">
        <v>930811</v>
      </c>
      <c r="B1397">
        <v>1778</v>
      </c>
      <c r="C1397" s="1" t="s">
        <v>99</v>
      </c>
      <c r="D1397" s="11">
        <v>44935.993750000001</v>
      </c>
      <c r="E1397" t="s">
        <v>96</v>
      </c>
      <c r="F1397" t="s">
        <v>46</v>
      </c>
      <c r="G1397">
        <v>3666</v>
      </c>
      <c r="H1397" s="5" t="s">
        <v>99</v>
      </c>
      <c r="I1397" s="15">
        <v>44935</v>
      </c>
      <c r="J1397" s="15" t="s">
        <v>232</v>
      </c>
      <c r="K1397" s="6">
        <v>0.49375000000000002</v>
      </c>
      <c r="L1397" t="s">
        <v>142</v>
      </c>
      <c r="M1397">
        <v>200000</v>
      </c>
      <c r="N1397" t="s">
        <v>211</v>
      </c>
      <c r="O1397" t="s">
        <v>151</v>
      </c>
      <c r="P1397">
        <v>20</v>
      </c>
      <c r="Q1397" t="s">
        <v>157</v>
      </c>
    </row>
    <row r="1398" spans="1:17" x14ac:dyDescent="0.2">
      <c r="A1398">
        <v>930878</v>
      </c>
      <c r="B1398">
        <v>1606</v>
      </c>
      <c r="C1398" s="1" t="s">
        <v>100</v>
      </c>
      <c r="D1398" s="11">
        <v>45113.081944444442</v>
      </c>
      <c r="E1398" t="s">
        <v>98</v>
      </c>
      <c r="F1398" t="s">
        <v>82</v>
      </c>
      <c r="G1398">
        <v>3069</v>
      </c>
      <c r="H1398" s="5" t="s">
        <v>100</v>
      </c>
      <c r="I1398" s="15">
        <v>45113</v>
      </c>
      <c r="J1398" s="15" t="s">
        <v>234</v>
      </c>
      <c r="K1398" s="6">
        <v>8.1944444444444445E-2</v>
      </c>
      <c r="L1398" t="s">
        <v>142</v>
      </c>
      <c r="M1398">
        <v>100000</v>
      </c>
      <c r="N1398" t="s">
        <v>209</v>
      </c>
      <c r="O1398" t="s">
        <v>151</v>
      </c>
      <c r="P1398">
        <v>23</v>
      </c>
      <c r="Q1398" t="s">
        <v>157</v>
      </c>
    </row>
    <row r="1399" spans="1:17" x14ac:dyDescent="0.2">
      <c r="A1399">
        <v>931367</v>
      </c>
      <c r="B1399">
        <v>981</v>
      </c>
      <c r="C1399" s="1" t="s">
        <v>99</v>
      </c>
      <c r="D1399" s="11">
        <v>45089.078472222223</v>
      </c>
      <c r="E1399" t="s">
        <v>98</v>
      </c>
      <c r="F1399" t="s">
        <v>90</v>
      </c>
      <c r="G1399">
        <v>2393</v>
      </c>
      <c r="H1399" s="5" t="s">
        <v>99</v>
      </c>
      <c r="I1399" s="15">
        <v>45089</v>
      </c>
      <c r="J1399" s="15" t="s">
        <v>233</v>
      </c>
      <c r="K1399" s="6">
        <v>7.8472222222222221E-2</v>
      </c>
      <c r="L1399" t="s">
        <v>142</v>
      </c>
      <c r="M1399">
        <v>150000</v>
      </c>
      <c r="N1399" t="s">
        <v>208</v>
      </c>
      <c r="O1399" t="s">
        <v>152</v>
      </c>
      <c r="P1399">
        <v>78</v>
      </c>
      <c r="Q1399" t="s">
        <v>155</v>
      </c>
    </row>
    <row r="1400" spans="1:17" x14ac:dyDescent="0.2">
      <c r="A1400">
        <v>931763</v>
      </c>
      <c r="B1400">
        <v>1355</v>
      </c>
      <c r="C1400" s="1" t="s">
        <v>105</v>
      </c>
      <c r="D1400" s="11">
        <v>45072.008333333331</v>
      </c>
      <c r="E1400" t="s">
        <v>96</v>
      </c>
      <c r="F1400" t="s">
        <v>43</v>
      </c>
      <c r="G1400">
        <v>2372</v>
      </c>
      <c r="H1400" s="5" t="s">
        <v>105</v>
      </c>
      <c r="I1400" s="15">
        <v>45072</v>
      </c>
      <c r="J1400" s="15" t="s">
        <v>233</v>
      </c>
      <c r="K1400" s="6">
        <v>0.5083333333333333</v>
      </c>
      <c r="L1400" t="s">
        <v>145</v>
      </c>
      <c r="M1400">
        <v>1000000</v>
      </c>
      <c r="N1400" t="s">
        <v>203</v>
      </c>
      <c r="O1400" t="s">
        <v>151</v>
      </c>
      <c r="P1400">
        <v>83</v>
      </c>
      <c r="Q1400" t="s">
        <v>156</v>
      </c>
    </row>
    <row r="1401" spans="1:17" x14ac:dyDescent="0.2">
      <c r="A1401">
        <v>933463</v>
      </c>
      <c r="B1401">
        <v>1401</v>
      </c>
      <c r="C1401" s="1" t="s">
        <v>102</v>
      </c>
      <c r="D1401" s="11">
        <v>45115.994444444441</v>
      </c>
      <c r="E1401" t="s">
        <v>98</v>
      </c>
      <c r="F1401" t="s">
        <v>91</v>
      </c>
      <c r="G1401">
        <v>7754</v>
      </c>
      <c r="H1401" s="5" t="s">
        <v>102</v>
      </c>
      <c r="I1401" s="15">
        <v>45115</v>
      </c>
      <c r="J1401" s="15" t="s">
        <v>234</v>
      </c>
      <c r="K1401" s="6">
        <v>0.49444444444444446</v>
      </c>
      <c r="L1401" t="s">
        <v>142</v>
      </c>
      <c r="M1401">
        <v>100000</v>
      </c>
      <c r="N1401" t="s">
        <v>213</v>
      </c>
      <c r="O1401" t="s">
        <v>151</v>
      </c>
      <c r="P1401">
        <v>53</v>
      </c>
      <c r="Q1401" t="s">
        <v>156</v>
      </c>
    </row>
    <row r="1402" spans="1:17" x14ac:dyDescent="0.2">
      <c r="A1402">
        <v>935343</v>
      </c>
      <c r="B1402">
        <v>1143</v>
      </c>
      <c r="C1402" s="1" t="s">
        <v>107</v>
      </c>
      <c r="D1402" s="11">
        <v>45196.977777777778</v>
      </c>
      <c r="E1402" t="s">
        <v>98</v>
      </c>
      <c r="F1402" t="s">
        <v>78</v>
      </c>
      <c r="G1402">
        <v>1325</v>
      </c>
      <c r="H1402" s="5" t="s">
        <v>107</v>
      </c>
      <c r="I1402" s="15">
        <v>45196</v>
      </c>
      <c r="J1402" s="15" t="s">
        <v>234</v>
      </c>
      <c r="K1402" s="6">
        <v>0.4777777777777778</v>
      </c>
      <c r="L1402" t="s">
        <v>143</v>
      </c>
      <c r="M1402">
        <v>200000</v>
      </c>
      <c r="N1402" t="s">
        <v>215</v>
      </c>
      <c r="O1402" t="s">
        <v>151</v>
      </c>
      <c r="P1402">
        <v>59</v>
      </c>
      <c r="Q1402" t="s">
        <v>156</v>
      </c>
    </row>
    <row r="1403" spans="1:17" x14ac:dyDescent="0.2">
      <c r="A1403">
        <v>935551</v>
      </c>
      <c r="B1403">
        <v>712</v>
      </c>
      <c r="C1403" s="1" t="s">
        <v>99</v>
      </c>
      <c r="D1403" s="11">
        <v>45274.066666666666</v>
      </c>
      <c r="E1403" t="s">
        <v>191</v>
      </c>
      <c r="F1403" t="s">
        <v>56</v>
      </c>
      <c r="G1403">
        <v>6779</v>
      </c>
      <c r="H1403" s="5" t="s">
        <v>99</v>
      </c>
      <c r="I1403" s="15">
        <v>45274</v>
      </c>
      <c r="J1403" s="15" t="s">
        <v>295</v>
      </c>
      <c r="K1403" s="6">
        <v>6.6666666666666666E-2</v>
      </c>
      <c r="L1403" t="s">
        <v>146</v>
      </c>
      <c r="M1403">
        <v>50000</v>
      </c>
      <c r="N1403" t="s">
        <v>220</v>
      </c>
      <c r="O1403" t="s">
        <v>151</v>
      </c>
      <c r="P1403">
        <v>90</v>
      </c>
      <c r="Q1403" t="s">
        <v>155</v>
      </c>
    </row>
    <row r="1404" spans="1:17" x14ac:dyDescent="0.2">
      <c r="A1404">
        <v>935674</v>
      </c>
      <c r="B1404">
        <v>442</v>
      </c>
      <c r="C1404" s="1" t="s">
        <v>99</v>
      </c>
      <c r="D1404" s="11">
        <v>45142.037499999999</v>
      </c>
      <c r="E1404" t="s">
        <v>96</v>
      </c>
      <c r="F1404" t="s">
        <v>34</v>
      </c>
      <c r="G1404">
        <v>5395</v>
      </c>
      <c r="H1404" s="5" t="s">
        <v>99</v>
      </c>
      <c r="I1404" s="15">
        <v>45142</v>
      </c>
      <c r="J1404" s="15" t="s">
        <v>234</v>
      </c>
      <c r="K1404" s="6">
        <v>0.53749999999999998</v>
      </c>
      <c r="L1404" t="s">
        <v>144</v>
      </c>
      <c r="M1404">
        <v>150000</v>
      </c>
      <c r="N1404" t="s">
        <v>218</v>
      </c>
      <c r="O1404" t="s">
        <v>151</v>
      </c>
      <c r="P1404">
        <v>62</v>
      </c>
      <c r="Q1404" t="s">
        <v>154</v>
      </c>
    </row>
    <row r="1405" spans="1:17" x14ac:dyDescent="0.2">
      <c r="A1405">
        <v>935947</v>
      </c>
      <c r="B1405">
        <v>1267</v>
      </c>
      <c r="C1405" s="1" t="s">
        <v>107</v>
      </c>
      <c r="D1405" s="11">
        <v>45116.054861111108</v>
      </c>
      <c r="E1405" t="s">
        <v>97</v>
      </c>
      <c r="F1405" t="s">
        <v>87</v>
      </c>
      <c r="G1405">
        <v>5054</v>
      </c>
      <c r="H1405" s="5" t="s">
        <v>107</v>
      </c>
      <c r="I1405" s="15">
        <v>45116</v>
      </c>
      <c r="J1405" s="15" t="s">
        <v>234</v>
      </c>
      <c r="K1405" s="6">
        <v>5.486111111111111E-2</v>
      </c>
      <c r="L1405" t="s">
        <v>144</v>
      </c>
      <c r="M1405">
        <v>100000</v>
      </c>
      <c r="N1405" t="s">
        <v>216</v>
      </c>
      <c r="O1405" t="s">
        <v>151</v>
      </c>
      <c r="P1405">
        <v>62</v>
      </c>
      <c r="Q1405" t="s">
        <v>156</v>
      </c>
    </row>
    <row r="1406" spans="1:17" x14ac:dyDescent="0.2">
      <c r="A1406">
        <v>935965</v>
      </c>
      <c r="B1406">
        <v>1578</v>
      </c>
      <c r="C1406" s="1" t="s">
        <v>107</v>
      </c>
      <c r="D1406" s="11">
        <v>45137.997916666667</v>
      </c>
      <c r="E1406" t="s">
        <v>97</v>
      </c>
      <c r="F1406" t="s">
        <v>78</v>
      </c>
      <c r="G1406">
        <v>4078</v>
      </c>
      <c r="H1406" s="5" t="s">
        <v>107</v>
      </c>
      <c r="I1406" s="15">
        <v>45137</v>
      </c>
      <c r="J1406" s="15" t="s">
        <v>234</v>
      </c>
      <c r="K1406" s="6">
        <v>0.49791666666666667</v>
      </c>
      <c r="L1406" t="s">
        <v>143</v>
      </c>
      <c r="M1406">
        <v>200000</v>
      </c>
      <c r="N1406" t="s">
        <v>215</v>
      </c>
      <c r="O1406" t="s">
        <v>151</v>
      </c>
      <c r="P1406">
        <v>24</v>
      </c>
      <c r="Q1406" t="s">
        <v>157</v>
      </c>
    </row>
    <row r="1407" spans="1:17" x14ac:dyDescent="0.2">
      <c r="A1407">
        <v>936199</v>
      </c>
      <c r="B1407">
        <v>734</v>
      </c>
      <c r="C1407" s="1" t="s">
        <v>107</v>
      </c>
      <c r="D1407" s="11">
        <v>45084.015972222223</v>
      </c>
      <c r="E1407" t="s">
        <v>98</v>
      </c>
      <c r="F1407" t="s">
        <v>27</v>
      </c>
      <c r="G1407">
        <v>6734</v>
      </c>
      <c r="H1407" s="5" t="s">
        <v>107</v>
      </c>
      <c r="I1407" s="15">
        <v>45084</v>
      </c>
      <c r="J1407" s="15" t="s">
        <v>233</v>
      </c>
      <c r="K1407" s="6">
        <v>0.51597222222222228</v>
      </c>
      <c r="L1407" t="s">
        <v>142</v>
      </c>
      <c r="M1407">
        <v>1000000</v>
      </c>
      <c r="N1407" t="s">
        <v>209</v>
      </c>
      <c r="O1407" t="s">
        <v>152</v>
      </c>
      <c r="P1407">
        <v>75</v>
      </c>
      <c r="Q1407" t="s">
        <v>155</v>
      </c>
    </row>
    <row r="1408" spans="1:17" x14ac:dyDescent="0.2">
      <c r="A1408">
        <v>936455</v>
      </c>
      <c r="B1408">
        <v>452</v>
      </c>
      <c r="C1408" s="1" t="s">
        <v>105</v>
      </c>
      <c r="D1408" s="11">
        <v>44940.031944444447</v>
      </c>
      <c r="E1408" t="s">
        <v>191</v>
      </c>
      <c r="F1408" t="s">
        <v>69</v>
      </c>
      <c r="G1408">
        <v>9527</v>
      </c>
      <c r="H1408" s="5" t="s">
        <v>105</v>
      </c>
      <c r="I1408" s="15">
        <v>44940</v>
      </c>
      <c r="J1408" s="15" t="s">
        <v>232</v>
      </c>
      <c r="K1408" s="6">
        <v>0.53194444444444444</v>
      </c>
      <c r="L1408" t="s">
        <v>146</v>
      </c>
      <c r="M1408">
        <v>250000</v>
      </c>
      <c r="N1408" t="s">
        <v>225</v>
      </c>
      <c r="O1408" t="s">
        <v>151</v>
      </c>
      <c r="P1408">
        <v>75</v>
      </c>
      <c r="Q1408" t="s">
        <v>154</v>
      </c>
    </row>
    <row r="1409" spans="1:17" x14ac:dyDescent="0.2">
      <c r="A1409">
        <v>937222</v>
      </c>
      <c r="B1409">
        <v>1095</v>
      </c>
      <c r="C1409" s="1" t="s">
        <v>113</v>
      </c>
      <c r="D1409" s="11">
        <v>44953.044444444444</v>
      </c>
      <c r="E1409" t="s">
        <v>96</v>
      </c>
      <c r="F1409" t="s">
        <v>26</v>
      </c>
      <c r="G1409">
        <v>2890</v>
      </c>
      <c r="H1409" s="5" t="s">
        <v>113</v>
      </c>
      <c r="I1409" s="15">
        <v>44953</v>
      </c>
      <c r="J1409" s="15" t="s">
        <v>232</v>
      </c>
      <c r="K1409" s="6">
        <v>4.4444444444444446E-2</v>
      </c>
      <c r="L1409" t="s">
        <v>145</v>
      </c>
      <c r="M1409">
        <v>100000</v>
      </c>
      <c r="N1409" t="s">
        <v>210</v>
      </c>
      <c r="O1409" t="s">
        <v>151</v>
      </c>
      <c r="P1409">
        <v>58</v>
      </c>
      <c r="Q1409" t="s">
        <v>156</v>
      </c>
    </row>
    <row r="1410" spans="1:17" x14ac:dyDescent="0.2">
      <c r="A1410">
        <v>937462</v>
      </c>
      <c r="B1410">
        <v>1858</v>
      </c>
      <c r="C1410" s="1" t="s">
        <v>99</v>
      </c>
      <c r="D1410" s="11">
        <v>45219.995833333334</v>
      </c>
      <c r="E1410" t="s">
        <v>97</v>
      </c>
      <c r="F1410" t="s">
        <v>27</v>
      </c>
      <c r="G1410">
        <v>2327</v>
      </c>
      <c r="H1410" s="5" t="s">
        <v>99</v>
      </c>
      <c r="I1410" s="15">
        <v>45219</v>
      </c>
      <c r="J1410" s="15" t="s">
        <v>295</v>
      </c>
      <c r="K1410" s="6">
        <v>0.49583333333333335</v>
      </c>
      <c r="L1410" t="s">
        <v>142</v>
      </c>
      <c r="M1410">
        <v>1000000</v>
      </c>
      <c r="N1410" t="s">
        <v>209</v>
      </c>
      <c r="O1410" t="s">
        <v>152</v>
      </c>
      <c r="P1410">
        <v>59</v>
      </c>
      <c r="Q1410" t="s">
        <v>157</v>
      </c>
    </row>
    <row r="1411" spans="1:17" x14ac:dyDescent="0.2">
      <c r="A1411">
        <v>938620</v>
      </c>
      <c r="B1411">
        <v>1556</v>
      </c>
      <c r="C1411" s="1" t="s">
        <v>101</v>
      </c>
      <c r="D1411" s="11">
        <v>45020.07916666667</v>
      </c>
      <c r="E1411" t="s">
        <v>98</v>
      </c>
      <c r="F1411" t="s">
        <v>81</v>
      </c>
      <c r="G1411">
        <v>1142</v>
      </c>
      <c r="H1411" s="5" t="s">
        <v>101</v>
      </c>
      <c r="I1411" s="15">
        <v>45020</v>
      </c>
      <c r="J1411" s="15" t="s">
        <v>233</v>
      </c>
      <c r="K1411" s="6">
        <v>7.9166666666666663E-2</v>
      </c>
      <c r="L1411" t="s">
        <v>143</v>
      </c>
      <c r="M1411">
        <v>250000</v>
      </c>
      <c r="N1411" t="s">
        <v>221</v>
      </c>
      <c r="O1411" t="s">
        <v>152</v>
      </c>
      <c r="P1411">
        <v>76</v>
      </c>
      <c r="Q1411" t="s">
        <v>157</v>
      </c>
    </row>
    <row r="1412" spans="1:17" x14ac:dyDescent="0.2">
      <c r="A1412">
        <v>940084</v>
      </c>
      <c r="B1412">
        <v>239</v>
      </c>
      <c r="C1412" s="1" t="s">
        <v>113</v>
      </c>
      <c r="D1412" s="11">
        <v>45188.003472222219</v>
      </c>
      <c r="E1412" t="s">
        <v>191</v>
      </c>
      <c r="F1412" t="s">
        <v>71</v>
      </c>
      <c r="G1412">
        <v>2257</v>
      </c>
      <c r="H1412" s="5" t="s">
        <v>113</v>
      </c>
      <c r="I1412" s="15">
        <v>45188</v>
      </c>
      <c r="J1412" s="15" t="s">
        <v>234</v>
      </c>
      <c r="K1412" s="6">
        <v>0.50347222222222221</v>
      </c>
      <c r="L1412" t="s">
        <v>145</v>
      </c>
      <c r="M1412">
        <v>150000</v>
      </c>
      <c r="N1412" t="s">
        <v>226</v>
      </c>
      <c r="O1412" t="s">
        <v>152</v>
      </c>
      <c r="P1412">
        <v>77</v>
      </c>
      <c r="Q1412" t="s">
        <v>154</v>
      </c>
    </row>
    <row r="1413" spans="1:17" x14ac:dyDescent="0.2">
      <c r="A1413">
        <v>941028</v>
      </c>
      <c r="B1413">
        <v>1311</v>
      </c>
      <c r="C1413" s="1" t="s">
        <v>99</v>
      </c>
      <c r="D1413" s="11">
        <v>45188.977083333331</v>
      </c>
      <c r="E1413" t="s">
        <v>97</v>
      </c>
      <c r="F1413" t="s">
        <v>7</v>
      </c>
      <c r="G1413">
        <v>9422</v>
      </c>
      <c r="H1413" s="5" t="s">
        <v>99</v>
      </c>
      <c r="I1413" s="15">
        <v>45188</v>
      </c>
      <c r="J1413" s="15" t="s">
        <v>234</v>
      </c>
      <c r="K1413" s="6">
        <v>0.47708333333333336</v>
      </c>
      <c r="L1413" t="s">
        <v>144</v>
      </c>
      <c r="M1413">
        <v>150000</v>
      </c>
      <c r="N1413" t="s">
        <v>200</v>
      </c>
      <c r="O1413" t="s">
        <v>151</v>
      </c>
      <c r="P1413">
        <v>20</v>
      </c>
      <c r="Q1413" t="s">
        <v>156</v>
      </c>
    </row>
    <row r="1414" spans="1:17" x14ac:dyDescent="0.2">
      <c r="A1414">
        <v>941315</v>
      </c>
      <c r="B1414">
        <v>1856</v>
      </c>
      <c r="C1414" s="1" t="s">
        <v>99</v>
      </c>
      <c r="D1414" s="11">
        <v>45023.007638888892</v>
      </c>
      <c r="E1414" t="s">
        <v>97</v>
      </c>
      <c r="F1414" t="s">
        <v>27</v>
      </c>
      <c r="G1414">
        <v>6848</v>
      </c>
      <c r="H1414" s="5" t="s">
        <v>99</v>
      </c>
      <c r="I1414" s="15">
        <v>45023</v>
      </c>
      <c r="J1414" s="15" t="s">
        <v>233</v>
      </c>
      <c r="K1414" s="6">
        <v>0.50763888888888886</v>
      </c>
      <c r="L1414" t="s">
        <v>142</v>
      </c>
      <c r="M1414">
        <v>1000000</v>
      </c>
      <c r="N1414" t="s">
        <v>209</v>
      </c>
      <c r="O1414" t="s">
        <v>152</v>
      </c>
      <c r="P1414">
        <v>78</v>
      </c>
      <c r="Q1414" t="s">
        <v>157</v>
      </c>
    </row>
    <row r="1415" spans="1:17" x14ac:dyDescent="0.2">
      <c r="A1415">
        <v>942316</v>
      </c>
      <c r="B1415">
        <v>608</v>
      </c>
      <c r="C1415" s="1" t="s">
        <v>108</v>
      </c>
      <c r="D1415" s="11">
        <v>44930.033333333333</v>
      </c>
      <c r="E1415" t="s">
        <v>191</v>
      </c>
      <c r="F1415" t="s">
        <v>65</v>
      </c>
      <c r="G1415">
        <v>455</v>
      </c>
      <c r="H1415" s="5" t="s">
        <v>108</v>
      </c>
      <c r="I1415" s="15">
        <v>44930</v>
      </c>
      <c r="J1415" s="15" t="s">
        <v>232</v>
      </c>
      <c r="K1415" s="6">
        <v>0.53333333333333333</v>
      </c>
      <c r="L1415" t="s">
        <v>146</v>
      </c>
      <c r="M1415">
        <v>200000</v>
      </c>
      <c r="N1415" t="s">
        <v>225</v>
      </c>
      <c r="O1415" t="s">
        <v>151</v>
      </c>
      <c r="P1415">
        <v>57</v>
      </c>
      <c r="Q1415" t="s">
        <v>155</v>
      </c>
    </row>
    <row r="1416" spans="1:17" x14ac:dyDescent="0.2">
      <c r="A1416">
        <v>942544</v>
      </c>
      <c r="B1416">
        <v>233</v>
      </c>
      <c r="C1416" s="1" t="s">
        <v>107</v>
      </c>
      <c r="D1416" s="11">
        <v>45106.964583333334</v>
      </c>
      <c r="E1416" t="s">
        <v>96</v>
      </c>
      <c r="F1416" t="s">
        <v>24</v>
      </c>
      <c r="G1416">
        <v>5264</v>
      </c>
      <c r="H1416" s="5" t="s">
        <v>107</v>
      </c>
      <c r="I1416" s="15">
        <v>45106</v>
      </c>
      <c r="J1416" s="15" t="s">
        <v>233</v>
      </c>
      <c r="K1416" s="6">
        <v>0.46458333333333335</v>
      </c>
      <c r="L1416" t="s">
        <v>143</v>
      </c>
      <c r="M1416">
        <v>200000</v>
      </c>
      <c r="N1416" t="s">
        <v>214</v>
      </c>
      <c r="O1416" t="s">
        <v>152</v>
      </c>
      <c r="P1416">
        <v>30</v>
      </c>
      <c r="Q1416" t="s">
        <v>154</v>
      </c>
    </row>
    <row r="1417" spans="1:17" x14ac:dyDescent="0.2">
      <c r="A1417">
        <v>942561</v>
      </c>
      <c r="B1417">
        <v>1263</v>
      </c>
      <c r="C1417" s="1" t="s">
        <v>99</v>
      </c>
      <c r="D1417" s="11">
        <v>45212.994444444441</v>
      </c>
      <c r="E1417" t="s">
        <v>96</v>
      </c>
      <c r="F1417" t="s">
        <v>81</v>
      </c>
      <c r="G1417">
        <v>1046</v>
      </c>
      <c r="H1417" s="5" t="s">
        <v>99</v>
      </c>
      <c r="I1417" s="15">
        <v>45212</v>
      </c>
      <c r="J1417" s="15" t="s">
        <v>295</v>
      </c>
      <c r="K1417" s="6">
        <v>0.49444444444444446</v>
      </c>
      <c r="L1417" t="s">
        <v>143</v>
      </c>
      <c r="M1417">
        <v>250000</v>
      </c>
      <c r="N1417" t="s">
        <v>221</v>
      </c>
      <c r="O1417" t="s">
        <v>152</v>
      </c>
      <c r="P1417">
        <v>78</v>
      </c>
      <c r="Q1417" t="s">
        <v>156</v>
      </c>
    </row>
    <row r="1418" spans="1:17" x14ac:dyDescent="0.2">
      <c r="A1418">
        <v>943149</v>
      </c>
      <c r="B1418">
        <v>640</v>
      </c>
      <c r="C1418" s="1" t="s">
        <v>100</v>
      </c>
      <c r="D1418" s="11">
        <v>45193.949305555558</v>
      </c>
      <c r="E1418" t="s">
        <v>191</v>
      </c>
      <c r="F1418" t="s">
        <v>88</v>
      </c>
      <c r="G1418">
        <v>6730</v>
      </c>
      <c r="H1418" s="5" t="s">
        <v>100</v>
      </c>
      <c r="I1418" s="15">
        <v>45193</v>
      </c>
      <c r="J1418" s="15" t="s">
        <v>234</v>
      </c>
      <c r="K1418" s="6">
        <v>0.44930555555555557</v>
      </c>
      <c r="L1418" t="s">
        <v>144</v>
      </c>
      <c r="M1418">
        <v>100000</v>
      </c>
      <c r="N1418" t="s">
        <v>200</v>
      </c>
      <c r="O1418" t="s">
        <v>152</v>
      </c>
      <c r="P1418">
        <v>51</v>
      </c>
      <c r="Q1418" t="s">
        <v>155</v>
      </c>
    </row>
    <row r="1419" spans="1:17" x14ac:dyDescent="0.2">
      <c r="A1419">
        <v>943915</v>
      </c>
      <c r="B1419">
        <v>778</v>
      </c>
      <c r="C1419" s="1" t="s">
        <v>100</v>
      </c>
      <c r="D1419" s="11">
        <v>44989.063888888886</v>
      </c>
      <c r="E1419" t="s">
        <v>96</v>
      </c>
      <c r="F1419" t="s">
        <v>46</v>
      </c>
      <c r="G1419">
        <v>8064</v>
      </c>
      <c r="H1419" s="5" t="s">
        <v>100</v>
      </c>
      <c r="I1419" s="15">
        <v>44989</v>
      </c>
      <c r="J1419" s="15" t="s">
        <v>232</v>
      </c>
      <c r="K1419" s="6">
        <v>6.3888888888888884E-2</v>
      </c>
      <c r="L1419" t="s">
        <v>142</v>
      </c>
      <c r="M1419">
        <v>200000</v>
      </c>
      <c r="N1419" t="s">
        <v>211</v>
      </c>
      <c r="O1419" t="s">
        <v>152</v>
      </c>
      <c r="P1419">
        <v>26</v>
      </c>
      <c r="Q1419" t="s">
        <v>155</v>
      </c>
    </row>
    <row r="1420" spans="1:17" x14ac:dyDescent="0.2">
      <c r="A1420">
        <v>944561</v>
      </c>
      <c r="B1420">
        <v>1343</v>
      </c>
      <c r="C1420" s="1" t="s">
        <v>99</v>
      </c>
      <c r="D1420" s="11">
        <v>44981.958333333336</v>
      </c>
      <c r="E1420" t="s">
        <v>97</v>
      </c>
      <c r="F1420" t="s">
        <v>82</v>
      </c>
      <c r="G1420">
        <v>439</v>
      </c>
      <c r="H1420" s="5" t="s">
        <v>99</v>
      </c>
      <c r="I1420" s="15">
        <v>44981</v>
      </c>
      <c r="J1420" s="15" t="s">
        <v>232</v>
      </c>
      <c r="K1420" s="6">
        <v>0.45833333333333331</v>
      </c>
      <c r="L1420" t="s">
        <v>142</v>
      </c>
      <c r="M1420">
        <v>100000</v>
      </c>
      <c r="N1420" t="s">
        <v>209</v>
      </c>
      <c r="O1420" t="s">
        <v>152</v>
      </c>
      <c r="P1420">
        <v>32</v>
      </c>
      <c r="Q1420" t="s">
        <v>156</v>
      </c>
    </row>
    <row r="1421" spans="1:17" x14ac:dyDescent="0.2">
      <c r="A1421">
        <v>946141</v>
      </c>
      <c r="B1421">
        <v>1208</v>
      </c>
      <c r="C1421" s="1" t="s">
        <v>99</v>
      </c>
      <c r="D1421" s="11">
        <v>45036.05972222222</v>
      </c>
      <c r="E1421" t="s">
        <v>96</v>
      </c>
      <c r="F1421" t="s">
        <v>17</v>
      </c>
      <c r="G1421">
        <v>6931</v>
      </c>
      <c r="H1421" s="5" t="s">
        <v>99</v>
      </c>
      <c r="I1421" s="15">
        <v>45036</v>
      </c>
      <c r="J1421" s="15" t="s">
        <v>233</v>
      </c>
      <c r="K1421" s="6">
        <v>5.9722222222222225E-2</v>
      </c>
      <c r="L1421" t="s">
        <v>142</v>
      </c>
      <c r="M1421">
        <v>100000</v>
      </c>
      <c r="N1421" t="s">
        <v>209</v>
      </c>
      <c r="O1421" t="s">
        <v>151</v>
      </c>
      <c r="P1421">
        <v>73</v>
      </c>
      <c r="Q1421" t="s">
        <v>156</v>
      </c>
    </row>
    <row r="1422" spans="1:17" x14ac:dyDescent="0.2">
      <c r="A1422">
        <v>946167</v>
      </c>
      <c r="B1422">
        <v>1512</v>
      </c>
      <c r="C1422" s="1" t="s">
        <v>108</v>
      </c>
      <c r="D1422" s="11">
        <v>45264.995833333334</v>
      </c>
      <c r="E1422" t="s">
        <v>98</v>
      </c>
      <c r="F1422" t="s">
        <v>43</v>
      </c>
      <c r="G1422">
        <v>236</v>
      </c>
      <c r="H1422" s="5" t="s">
        <v>108</v>
      </c>
      <c r="I1422" s="15">
        <v>45264</v>
      </c>
      <c r="J1422" s="15" t="s">
        <v>295</v>
      </c>
      <c r="K1422" s="6">
        <v>0.49583333333333335</v>
      </c>
      <c r="L1422" t="s">
        <v>145</v>
      </c>
      <c r="M1422">
        <v>1000000</v>
      </c>
      <c r="N1422" t="s">
        <v>203</v>
      </c>
      <c r="O1422" t="s">
        <v>152</v>
      </c>
      <c r="P1422">
        <v>28</v>
      </c>
      <c r="Q1422" t="s">
        <v>157</v>
      </c>
    </row>
    <row r="1423" spans="1:17" x14ac:dyDescent="0.2">
      <c r="A1423">
        <v>946580</v>
      </c>
      <c r="B1423">
        <v>91</v>
      </c>
      <c r="C1423" s="1" t="s">
        <v>105</v>
      </c>
      <c r="D1423" s="11">
        <v>45257.959722222222</v>
      </c>
      <c r="E1423" t="s">
        <v>97</v>
      </c>
      <c r="F1423" t="s">
        <v>44</v>
      </c>
      <c r="G1423">
        <v>8726</v>
      </c>
      <c r="H1423" s="5" t="s">
        <v>105</v>
      </c>
      <c r="I1423" s="15">
        <v>45257</v>
      </c>
      <c r="J1423" s="15" t="s">
        <v>295</v>
      </c>
      <c r="K1423" s="6">
        <v>0.4597222222222222</v>
      </c>
      <c r="L1423" t="s">
        <v>144</v>
      </c>
      <c r="M1423">
        <v>150000</v>
      </c>
      <c r="N1423" t="s">
        <v>199</v>
      </c>
      <c r="O1423" t="s">
        <v>151</v>
      </c>
      <c r="P1423">
        <v>61</v>
      </c>
      <c r="Q1423" t="s">
        <v>154</v>
      </c>
    </row>
    <row r="1424" spans="1:17" x14ac:dyDescent="0.2">
      <c r="A1424">
        <v>946964</v>
      </c>
      <c r="B1424">
        <v>281</v>
      </c>
      <c r="C1424" s="1" t="s">
        <v>99</v>
      </c>
      <c r="D1424" s="11">
        <v>44981.030555555553</v>
      </c>
      <c r="E1424" t="s">
        <v>98</v>
      </c>
      <c r="F1424" t="s">
        <v>78</v>
      </c>
      <c r="G1424">
        <v>6535</v>
      </c>
      <c r="H1424" s="5" t="s">
        <v>99</v>
      </c>
      <c r="I1424" s="15">
        <v>44981</v>
      </c>
      <c r="J1424" s="15" t="s">
        <v>232</v>
      </c>
      <c r="K1424" s="6">
        <v>0.53055555555555556</v>
      </c>
      <c r="L1424" t="s">
        <v>143</v>
      </c>
      <c r="M1424">
        <v>200000</v>
      </c>
      <c r="N1424" t="s">
        <v>215</v>
      </c>
      <c r="O1424" t="s">
        <v>151</v>
      </c>
      <c r="P1424">
        <v>75</v>
      </c>
      <c r="Q1424" t="s">
        <v>154</v>
      </c>
    </row>
    <row r="1425" spans="1:17" x14ac:dyDescent="0.2">
      <c r="A1425">
        <v>947335</v>
      </c>
      <c r="B1425">
        <v>1539</v>
      </c>
      <c r="C1425" s="1" t="s">
        <v>99</v>
      </c>
      <c r="D1425" s="11">
        <v>45154.011805555558</v>
      </c>
      <c r="E1425" t="s">
        <v>98</v>
      </c>
      <c r="F1425" t="s">
        <v>27</v>
      </c>
      <c r="G1425">
        <v>4146</v>
      </c>
      <c r="H1425" s="5" t="s">
        <v>99</v>
      </c>
      <c r="I1425" s="15">
        <v>45154</v>
      </c>
      <c r="J1425" s="15" t="s">
        <v>234</v>
      </c>
      <c r="K1425" s="6">
        <v>0.51180555555555551</v>
      </c>
      <c r="L1425" t="s">
        <v>142</v>
      </c>
      <c r="M1425">
        <v>1000000</v>
      </c>
      <c r="N1425" t="s">
        <v>209</v>
      </c>
      <c r="O1425" t="s">
        <v>152</v>
      </c>
      <c r="P1425">
        <v>73</v>
      </c>
      <c r="Q1425" t="s">
        <v>157</v>
      </c>
    </row>
    <row r="1426" spans="1:17" x14ac:dyDescent="0.2">
      <c r="A1426">
        <v>947369</v>
      </c>
      <c r="B1426">
        <v>1510</v>
      </c>
      <c r="C1426" s="1" t="s">
        <v>103</v>
      </c>
      <c r="D1426" s="11">
        <v>45117.013888888891</v>
      </c>
      <c r="E1426" t="s">
        <v>97</v>
      </c>
      <c r="F1426" t="s">
        <v>59</v>
      </c>
      <c r="G1426">
        <v>5208</v>
      </c>
      <c r="H1426" s="5" t="s">
        <v>103</v>
      </c>
      <c r="I1426" s="15">
        <v>45117</v>
      </c>
      <c r="J1426" s="15" t="s">
        <v>234</v>
      </c>
      <c r="K1426" s="6">
        <v>0.51388888888888884</v>
      </c>
      <c r="L1426" t="s">
        <v>144</v>
      </c>
      <c r="M1426">
        <v>80000</v>
      </c>
      <c r="N1426" t="s">
        <v>224</v>
      </c>
      <c r="O1426" t="s">
        <v>151</v>
      </c>
      <c r="P1426">
        <v>23</v>
      </c>
      <c r="Q1426" t="s">
        <v>157</v>
      </c>
    </row>
    <row r="1427" spans="1:17" x14ac:dyDescent="0.2">
      <c r="A1427">
        <v>950100</v>
      </c>
      <c r="B1427">
        <v>567</v>
      </c>
      <c r="C1427" s="1" t="s">
        <v>101</v>
      </c>
      <c r="D1427" s="11">
        <v>45267.965277777781</v>
      </c>
      <c r="E1427" t="s">
        <v>98</v>
      </c>
      <c r="F1427" t="s">
        <v>87</v>
      </c>
      <c r="G1427">
        <v>4903</v>
      </c>
      <c r="H1427" s="5" t="s">
        <v>101</v>
      </c>
      <c r="I1427" s="15">
        <v>45267</v>
      </c>
      <c r="J1427" s="15" t="s">
        <v>295</v>
      </c>
      <c r="K1427" s="6">
        <v>0.46527777777777779</v>
      </c>
      <c r="L1427" t="s">
        <v>144</v>
      </c>
      <c r="M1427">
        <v>100000</v>
      </c>
      <c r="N1427" t="s">
        <v>216</v>
      </c>
      <c r="O1427" t="s">
        <v>151</v>
      </c>
      <c r="P1427">
        <v>37</v>
      </c>
      <c r="Q1427" t="s">
        <v>155</v>
      </c>
    </row>
    <row r="1428" spans="1:17" x14ac:dyDescent="0.2">
      <c r="A1428">
        <v>950345</v>
      </c>
      <c r="B1428">
        <v>608</v>
      </c>
      <c r="C1428" s="1" t="s">
        <v>108</v>
      </c>
      <c r="D1428" s="11">
        <v>44970.083333333336</v>
      </c>
      <c r="E1428" t="s">
        <v>96</v>
      </c>
      <c r="F1428" t="s">
        <v>78</v>
      </c>
      <c r="G1428">
        <v>4841</v>
      </c>
      <c r="H1428" s="5" t="s">
        <v>108</v>
      </c>
      <c r="I1428" s="15">
        <v>44970</v>
      </c>
      <c r="J1428" s="15" t="s">
        <v>232</v>
      </c>
      <c r="K1428" s="6">
        <v>8.3333333333333329E-2</v>
      </c>
      <c r="L1428" t="s">
        <v>143</v>
      </c>
      <c r="M1428">
        <v>200000</v>
      </c>
      <c r="N1428" t="s">
        <v>215</v>
      </c>
      <c r="O1428" t="s">
        <v>151</v>
      </c>
      <c r="P1428">
        <v>57</v>
      </c>
      <c r="Q1428" t="s">
        <v>155</v>
      </c>
    </row>
    <row r="1429" spans="1:17" x14ac:dyDescent="0.2">
      <c r="A1429">
        <v>951047</v>
      </c>
      <c r="B1429">
        <v>753</v>
      </c>
      <c r="C1429" s="1" t="s">
        <v>99</v>
      </c>
      <c r="D1429" s="11">
        <v>44938.989583333336</v>
      </c>
      <c r="E1429" t="s">
        <v>191</v>
      </c>
      <c r="F1429" t="s">
        <v>27</v>
      </c>
      <c r="G1429">
        <v>1714</v>
      </c>
      <c r="H1429" s="5" t="s">
        <v>99</v>
      </c>
      <c r="I1429" s="15">
        <v>44938</v>
      </c>
      <c r="J1429" s="15" t="s">
        <v>232</v>
      </c>
      <c r="K1429" s="6">
        <v>0.48958333333333331</v>
      </c>
      <c r="L1429" t="s">
        <v>142</v>
      </c>
      <c r="M1429">
        <v>1000000</v>
      </c>
      <c r="N1429" t="s">
        <v>209</v>
      </c>
      <c r="O1429" t="s">
        <v>151</v>
      </c>
      <c r="P1429">
        <v>18</v>
      </c>
      <c r="Q1429" t="s">
        <v>155</v>
      </c>
    </row>
    <row r="1430" spans="1:17" x14ac:dyDescent="0.2">
      <c r="A1430">
        <v>951353</v>
      </c>
      <c r="B1430">
        <v>1243</v>
      </c>
      <c r="C1430" s="1" t="s">
        <v>105</v>
      </c>
      <c r="D1430" s="11">
        <v>45117.020138888889</v>
      </c>
      <c r="E1430" t="s">
        <v>97</v>
      </c>
      <c r="F1430" t="s">
        <v>69</v>
      </c>
      <c r="G1430">
        <v>9524</v>
      </c>
      <c r="H1430" s="5" t="s">
        <v>105</v>
      </c>
      <c r="I1430" s="15">
        <v>45117</v>
      </c>
      <c r="J1430" s="15" t="s">
        <v>234</v>
      </c>
      <c r="K1430" s="6">
        <v>0.52013888888888893</v>
      </c>
      <c r="L1430" t="s">
        <v>146</v>
      </c>
      <c r="M1430">
        <v>250000</v>
      </c>
      <c r="N1430" t="s">
        <v>225</v>
      </c>
      <c r="O1430" t="s">
        <v>151</v>
      </c>
      <c r="P1430">
        <v>24</v>
      </c>
      <c r="Q1430" t="s">
        <v>156</v>
      </c>
    </row>
    <row r="1431" spans="1:17" x14ac:dyDescent="0.2">
      <c r="A1431">
        <v>951780</v>
      </c>
      <c r="B1431">
        <v>1945</v>
      </c>
      <c r="C1431" s="1" t="s">
        <v>99</v>
      </c>
      <c r="D1431" s="11">
        <v>45131.024305555555</v>
      </c>
      <c r="E1431" t="s">
        <v>191</v>
      </c>
      <c r="F1431" t="s">
        <v>89</v>
      </c>
      <c r="G1431">
        <v>6963</v>
      </c>
      <c r="H1431" s="5" t="s">
        <v>99</v>
      </c>
      <c r="I1431" s="15">
        <v>45131</v>
      </c>
      <c r="J1431" s="15" t="s">
        <v>234</v>
      </c>
      <c r="K1431" s="6">
        <v>0.52430555555555558</v>
      </c>
      <c r="L1431" t="s">
        <v>144</v>
      </c>
      <c r="M1431">
        <v>150000</v>
      </c>
      <c r="N1431" t="s">
        <v>218</v>
      </c>
      <c r="O1431" t="s">
        <v>151</v>
      </c>
      <c r="P1431">
        <v>62</v>
      </c>
      <c r="Q1431" t="s">
        <v>157</v>
      </c>
    </row>
    <row r="1432" spans="1:17" x14ac:dyDescent="0.2">
      <c r="A1432">
        <v>952497</v>
      </c>
      <c r="B1432">
        <v>1649</v>
      </c>
      <c r="C1432" s="1" t="s">
        <v>99</v>
      </c>
      <c r="D1432" s="11">
        <v>45215.981249999997</v>
      </c>
      <c r="E1432" t="s">
        <v>96</v>
      </c>
      <c r="F1432" t="s">
        <v>27</v>
      </c>
      <c r="G1432">
        <v>1132</v>
      </c>
      <c r="H1432" s="5" t="s">
        <v>99</v>
      </c>
      <c r="I1432" s="15">
        <v>45215</v>
      </c>
      <c r="J1432" s="15" t="s">
        <v>295</v>
      </c>
      <c r="K1432" s="6">
        <v>0.48125000000000001</v>
      </c>
      <c r="L1432" t="s">
        <v>142</v>
      </c>
      <c r="M1432">
        <v>1000000</v>
      </c>
      <c r="N1432" t="s">
        <v>209</v>
      </c>
      <c r="O1432" t="s">
        <v>151</v>
      </c>
      <c r="P1432">
        <v>27</v>
      </c>
      <c r="Q1432" t="s">
        <v>157</v>
      </c>
    </row>
    <row r="1433" spans="1:17" x14ac:dyDescent="0.2">
      <c r="A1433">
        <v>952618</v>
      </c>
      <c r="B1433">
        <v>1539</v>
      </c>
      <c r="C1433" s="1" t="s">
        <v>99</v>
      </c>
      <c r="D1433" s="11">
        <v>45023.04791666667</v>
      </c>
      <c r="E1433" t="s">
        <v>96</v>
      </c>
      <c r="F1433" t="s">
        <v>25</v>
      </c>
      <c r="G1433">
        <v>1048</v>
      </c>
      <c r="H1433" s="5" t="s">
        <v>99</v>
      </c>
      <c r="I1433" s="15">
        <v>45023</v>
      </c>
      <c r="J1433" s="15" t="s">
        <v>233</v>
      </c>
      <c r="K1433" s="6">
        <v>4.791666666666667E-2</v>
      </c>
      <c r="L1433" t="s">
        <v>142</v>
      </c>
      <c r="M1433">
        <v>100000</v>
      </c>
      <c r="N1433" t="s">
        <v>201</v>
      </c>
      <c r="O1433" t="s">
        <v>152</v>
      </c>
      <c r="P1433">
        <v>73</v>
      </c>
      <c r="Q1433" t="s">
        <v>157</v>
      </c>
    </row>
    <row r="1434" spans="1:17" x14ac:dyDescent="0.2">
      <c r="A1434">
        <v>953006</v>
      </c>
      <c r="B1434">
        <v>1500</v>
      </c>
      <c r="C1434" s="1" t="s">
        <v>99</v>
      </c>
      <c r="D1434" s="11">
        <v>45246.023611111108</v>
      </c>
      <c r="E1434" t="s">
        <v>98</v>
      </c>
      <c r="F1434" t="s">
        <v>81</v>
      </c>
      <c r="G1434">
        <v>9376</v>
      </c>
      <c r="H1434" s="5" t="s">
        <v>99</v>
      </c>
      <c r="I1434" s="15">
        <v>45246</v>
      </c>
      <c r="J1434" s="15" t="s">
        <v>295</v>
      </c>
      <c r="K1434" s="6">
        <v>0.52361111111111114</v>
      </c>
      <c r="L1434" t="s">
        <v>143</v>
      </c>
      <c r="M1434">
        <v>250000</v>
      </c>
      <c r="N1434" t="s">
        <v>221</v>
      </c>
      <c r="O1434" t="s">
        <v>151</v>
      </c>
      <c r="P1434">
        <v>19</v>
      </c>
      <c r="Q1434" t="s">
        <v>156</v>
      </c>
    </row>
    <row r="1435" spans="1:17" x14ac:dyDescent="0.2">
      <c r="A1435">
        <v>953922</v>
      </c>
      <c r="B1435">
        <v>1112</v>
      </c>
      <c r="C1435" s="1" t="s">
        <v>105</v>
      </c>
      <c r="D1435" s="11">
        <v>45206.00277777778</v>
      </c>
      <c r="E1435" t="s">
        <v>98</v>
      </c>
      <c r="F1435" t="s">
        <v>71</v>
      </c>
      <c r="G1435">
        <v>4161</v>
      </c>
      <c r="H1435" s="5" t="s">
        <v>105</v>
      </c>
      <c r="I1435" s="15">
        <v>45206</v>
      </c>
      <c r="J1435" s="15" t="s">
        <v>295</v>
      </c>
      <c r="K1435" s="6">
        <v>0.50277777777777777</v>
      </c>
      <c r="L1435" t="s">
        <v>145</v>
      </c>
      <c r="M1435">
        <v>150000</v>
      </c>
      <c r="N1435" t="s">
        <v>226</v>
      </c>
      <c r="O1435" t="s">
        <v>152</v>
      </c>
      <c r="P1435">
        <v>30</v>
      </c>
      <c r="Q1435" t="s">
        <v>156</v>
      </c>
    </row>
    <row r="1436" spans="1:17" x14ac:dyDescent="0.2">
      <c r="A1436">
        <v>953981</v>
      </c>
      <c r="B1436">
        <v>1513</v>
      </c>
      <c r="C1436" s="1" t="s">
        <v>99</v>
      </c>
      <c r="D1436" s="11">
        <v>45204.019444444442</v>
      </c>
      <c r="E1436" t="s">
        <v>96</v>
      </c>
      <c r="F1436" t="s">
        <v>7</v>
      </c>
      <c r="G1436">
        <v>9670</v>
      </c>
      <c r="H1436" s="5" t="s">
        <v>99</v>
      </c>
      <c r="I1436" s="15">
        <v>45204</v>
      </c>
      <c r="J1436" s="15" t="s">
        <v>295</v>
      </c>
      <c r="K1436" s="6">
        <v>0.51944444444444449</v>
      </c>
      <c r="L1436" t="s">
        <v>144</v>
      </c>
      <c r="M1436">
        <v>150000</v>
      </c>
      <c r="N1436" t="s">
        <v>200</v>
      </c>
      <c r="O1436" t="s">
        <v>152</v>
      </c>
      <c r="P1436">
        <v>76</v>
      </c>
      <c r="Q1436" t="s">
        <v>157</v>
      </c>
    </row>
    <row r="1437" spans="1:17" x14ac:dyDescent="0.2">
      <c r="A1437">
        <v>954429</v>
      </c>
      <c r="B1437">
        <v>1544</v>
      </c>
      <c r="C1437" s="1" t="s">
        <v>99</v>
      </c>
      <c r="D1437" s="11">
        <v>45254.990972222222</v>
      </c>
      <c r="E1437" t="s">
        <v>97</v>
      </c>
      <c r="F1437" t="s">
        <v>27</v>
      </c>
      <c r="G1437">
        <v>4753</v>
      </c>
      <c r="H1437" s="5" t="s">
        <v>99</v>
      </c>
      <c r="I1437" s="15">
        <v>45254</v>
      </c>
      <c r="J1437" s="15" t="s">
        <v>295</v>
      </c>
      <c r="K1437" s="6">
        <v>0.4909722222222222</v>
      </c>
      <c r="L1437" t="s">
        <v>142</v>
      </c>
      <c r="M1437">
        <v>1000000</v>
      </c>
      <c r="N1437" t="s">
        <v>209</v>
      </c>
      <c r="O1437" t="s">
        <v>151</v>
      </c>
      <c r="P1437">
        <v>77</v>
      </c>
      <c r="Q1437" t="s">
        <v>157</v>
      </c>
    </row>
    <row r="1438" spans="1:17" x14ac:dyDescent="0.2">
      <c r="A1438">
        <v>954631</v>
      </c>
      <c r="B1438">
        <v>1868</v>
      </c>
      <c r="C1438" s="1" t="s">
        <v>100</v>
      </c>
      <c r="D1438" s="11">
        <v>44988.019444444442</v>
      </c>
      <c r="E1438" t="s">
        <v>96</v>
      </c>
      <c r="F1438" t="s">
        <v>65</v>
      </c>
      <c r="G1438">
        <v>8020</v>
      </c>
      <c r="H1438" s="5" t="s">
        <v>100</v>
      </c>
      <c r="I1438" s="15">
        <v>44988</v>
      </c>
      <c r="J1438" s="15" t="s">
        <v>232</v>
      </c>
      <c r="K1438" s="6">
        <v>0.51944444444444449</v>
      </c>
      <c r="L1438" t="s">
        <v>146</v>
      </c>
      <c r="M1438">
        <v>200000</v>
      </c>
      <c r="N1438" t="s">
        <v>225</v>
      </c>
      <c r="O1438" t="s">
        <v>151</v>
      </c>
      <c r="P1438">
        <v>49</v>
      </c>
      <c r="Q1438" t="s">
        <v>157</v>
      </c>
    </row>
    <row r="1439" spans="1:17" x14ac:dyDescent="0.2">
      <c r="A1439">
        <v>957373</v>
      </c>
      <c r="B1439">
        <v>580</v>
      </c>
      <c r="C1439" s="1" t="s">
        <v>99</v>
      </c>
      <c r="D1439" s="11">
        <v>45093.961805555555</v>
      </c>
      <c r="E1439" t="s">
        <v>96</v>
      </c>
      <c r="F1439" t="s">
        <v>24</v>
      </c>
      <c r="G1439">
        <v>4659</v>
      </c>
      <c r="H1439" s="5" t="s">
        <v>99</v>
      </c>
      <c r="I1439" s="15">
        <v>45093</v>
      </c>
      <c r="J1439" s="15" t="s">
        <v>233</v>
      </c>
      <c r="K1439" s="6">
        <v>0.46180555555555558</v>
      </c>
      <c r="L1439" t="s">
        <v>143</v>
      </c>
      <c r="M1439">
        <v>200000</v>
      </c>
      <c r="N1439" t="s">
        <v>214</v>
      </c>
      <c r="O1439" t="s">
        <v>152</v>
      </c>
      <c r="P1439">
        <v>24</v>
      </c>
      <c r="Q1439" t="s">
        <v>155</v>
      </c>
    </row>
    <row r="1440" spans="1:17" x14ac:dyDescent="0.2">
      <c r="A1440">
        <v>957446</v>
      </c>
      <c r="B1440">
        <v>49</v>
      </c>
      <c r="C1440" s="1" t="s">
        <v>100</v>
      </c>
      <c r="D1440" s="11">
        <v>45187.011805555558</v>
      </c>
      <c r="E1440" t="s">
        <v>96</v>
      </c>
      <c r="F1440" t="s">
        <v>27</v>
      </c>
      <c r="G1440">
        <v>5585</v>
      </c>
      <c r="H1440" s="5" t="s">
        <v>100</v>
      </c>
      <c r="I1440" s="15">
        <v>45187</v>
      </c>
      <c r="J1440" s="15" t="s">
        <v>234</v>
      </c>
      <c r="K1440" s="6">
        <v>0.51180555555555551</v>
      </c>
      <c r="L1440" t="s">
        <v>142</v>
      </c>
      <c r="M1440">
        <v>1000000</v>
      </c>
      <c r="N1440" t="s">
        <v>209</v>
      </c>
      <c r="O1440" t="s">
        <v>152</v>
      </c>
      <c r="P1440">
        <v>30</v>
      </c>
      <c r="Q1440" t="s">
        <v>154</v>
      </c>
    </row>
    <row r="1441" spans="1:17" x14ac:dyDescent="0.2">
      <c r="A1441">
        <v>958196</v>
      </c>
      <c r="B1441">
        <v>1922</v>
      </c>
      <c r="C1441" s="1" t="s">
        <v>105</v>
      </c>
      <c r="D1441" s="11">
        <v>44934.033333333333</v>
      </c>
      <c r="E1441" t="s">
        <v>96</v>
      </c>
      <c r="F1441" t="s">
        <v>31</v>
      </c>
      <c r="G1441">
        <v>3813</v>
      </c>
      <c r="H1441" s="5" t="s">
        <v>105</v>
      </c>
      <c r="I1441" s="15">
        <v>44934</v>
      </c>
      <c r="J1441" s="15" t="s">
        <v>232</v>
      </c>
      <c r="K1441" s="6">
        <v>0.53333333333333333</v>
      </c>
      <c r="L1441" t="s">
        <v>143</v>
      </c>
      <c r="M1441">
        <v>80000</v>
      </c>
      <c r="N1441" t="s">
        <v>204</v>
      </c>
      <c r="O1441" t="s">
        <v>152</v>
      </c>
      <c r="P1441">
        <v>59</v>
      </c>
      <c r="Q1441" t="s">
        <v>157</v>
      </c>
    </row>
    <row r="1442" spans="1:17" x14ac:dyDescent="0.2">
      <c r="A1442">
        <v>959426</v>
      </c>
      <c r="B1442">
        <v>801</v>
      </c>
      <c r="C1442" s="1" t="s">
        <v>100</v>
      </c>
      <c r="D1442" s="11">
        <v>45236.006249999999</v>
      </c>
      <c r="E1442" t="s">
        <v>97</v>
      </c>
      <c r="F1442" t="s">
        <v>78</v>
      </c>
      <c r="G1442">
        <v>6481</v>
      </c>
      <c r="H1442" s="5" t="s">
        <v>100</v>
      </c>
      <c r="I1442" s="15">
        <v>45236</v>
      </c>
      <c r="J1442" s="15" t="s">
        <v>295</v>
      </c>
      <c r="K1442" s="6">
        <v>0.50624999999999998</v>
      </c>
      <c r="L1442" t="s">
        <v>143</v>
      </c>
      <c r="M1442">
        <v>200000</v>
      </c>
      <c r="N1442" t="s">
        <v>215</v>
      </c>
      <c r="O1442" t="s">
        <v>151</v>
      </c>
      <c r="P1442">
        <v>77</v>
      </c>
      <c r="Q1442" t="s">
        <v>155</v>
      </c>
    </row>
    <row r="1443" spans="1:17" x14ac:dyDescent="0.2">
      <c r="A1443">
        <v>959447</v>
      </c>
      <c r="B1443">
        <v>336</v>
      </c>
      <c r="C1443" s="1" t="s">
        <v>105</v>
      </c>
      <c r="D1443" s="11">
        <v>45026.063194444447</v>
      </c>
      <c r="E1443" t="s">
        <v>191</v>
      </c>
      <c r="F1443" t="s">
        <v>77</v>
      </c>
      <c r="G1443">
        <v>7839</v>
      </c>
      <c r="H1443" s="5" t="s">
        <v>105</v>
      </c>
      <c r="I1443" s="15">
        <v>45026</v>
      </c>
      <c r="J1443" s="15" t="s">
        <v>233</v>
      </c>
      <c r="K1443" s="6">
        <v>6.3194444444444442E-2</v>
      </c>
      <c r="L1443" t="s">
        <v>146</v>
      </c>
      <c r="M1443">
        <v>100000</v>
      </c>
      <c r="N1443" t="s">
        <v>222</v>
      </c>
      <c r="O1443" t="s">
        <v>152</v>
      </c>
      <c r="P1443">
        <v>26</v>
      </c>
      <c r="Q1443" t="s">
        <v>154</v>
      </c>
    </row>
    <row r="1444" spans="1:17" x14ac:dyDescent="0.2">
      <c r="A1444">
        <v>960053</v>
      </c>
      <c r="B1444">
        <v>651</v>
      </c>
      <c r="C1444" s="1" t="s">
        <v>99</v>
      </c>
      <c r="D1444" s="11">
        <v>45139.013888888891</v>
      </c>
      <c r="E1444" t="s">
        <v>98</v>
      </c>
      <c r="F1444" t="s">
        <v>32</v>
      </c>
      <c r="G1444">
        <v>3417</v>
      </c>
      <c r="H1444" s="5" t="s">
        <v>99</v>
      </c>
      <c r="I1444" s="15">
        <v>45139</v>
      </c>
      <c r="J1444" s="15" t="s">
        <v>234</v>
      </c>
      <c r="K1444" s="6">
        <v>0.51388888888888884</v>
      </c>
      <c r="L1444" t="s">
        <v>145</v>
      </c>
      <c r="M1444">
        <v>80000</v>
      </c>
      <c r="N1444" t="s">
        <v>217</v>
      </c>
      <c r="O1444" t="s">
        <v>152</v>
      </c>
      <c r="P1444">
        <v>61</v>
      </c>
      <c r="Q1444" t="s">
        <v>155</v>
      </c>
    </row>
    <row r="1445" spans="1:17" x14ac:dyDescent="0.2">
      <c r="A1445">
        <v>960685</v>
      </c>
      <c r="B1445">
        <v>522</v>
      </c>
      <c r="C1445" s="1" t="s">
        <v>99</v>
      </c>
      <c r="D1445" s="11">
        <v>45254.034722222219</v>
      </c>
      <c r="E1445" t="s">
        <v>191</v>
      </c>
      <c r="F1445" t="s">
        <v>30</v>
      </c>
      <c r="G1445">
        <v>9772</v>
      </c>
      <c r="H1445" s="5" t="s">
        <v>99</v>
      </c>
      <c r="I1445" s="15">
        <v>45254</v>
      </c>
      <c r="J1445" s="15" t="s">
        <v>295</v>
      </c>
      <c r="K1445" s="6">
        <v>0.53472222222222221</v>
      </c>
      <c r="L1445" t="s">
        <v>144</v>
      </c>
      <c r="M1445">
        <v>200000</v>
      </c>
      <c r="N1445" t="s">
        <v>216</v>
      </c>
      <c r="O1445" t="s">
        <v>152</v>
      </c>
      <c r="P1445">
        <v>77</v>
      </c>
      <c r="Q1445" t="s">
        <v>155</v>
      </c>
    </row>
    <row r="1446" spans="1:17" x14ac:dyDescent="0.2">
      <c r="A1446">
        <v>961277</v>
      </c>
      <c r="B1446">
        <v>1721</v>
      </c>
      <c r="C1446" s="1" t="s">
        <v>109</v>
      </c>
      <c r="D1446" s="11">
        <v>45046.98541666667</v>
      </c>
      <c r="E1446" t="s">
        <v>98</v>
      </c>
      <c r="F1446" t="s">
        <v>74</v>
      </c>
      <c r="G1446">
        <v>8615</v>
      </c>
      <c r="H1446" s="5" t="s">
        <v>109</v>
      </c>
      <c r="I1446" s="15">
        <v>45046</v>
      </c>
      <c r="J1446" s="15" t="s">
        <v>233</v>
      </c>
      <c r="K1446" s="6">
        <v>0.48541666666666666</v>
      </c>
      <c r="L1446" t="s">
        <v>145</v>
      </c>
      <c r="M1446">
        <v>150000</v>
      </c>
      <c r="N1446" t="s">
        <v>226</v>
      </c>
      <c r="O1446" t="s">
        <v>152</v>
      </c>
      <c r="P1446">
        <v>22</v>
      </c>
      <c r="Q1446" t="s">
        <v>157</v>
      </c>
    </row>
    <row r="1447" spans="1:17" x14ac:dyDescent="0.2">
      <c r="A1447">
        <v>961533</v>
      </c>
      <c r="B1447">
        <v>424</v>
      </c>
      <c r="C1447" s="1" t="s">
        <v>105</v>
      </c>
      <c r="D1447" s="11">
        <v>45013.038888888892</v>
      </c>
      <c r="E1447" t="s">
        <v>98</v>
      </c>
      <c r="F1447" t="s">
        <v>85</v>
      </c>
      <c r="G1447">
        <v>1084</v>
      </c>
      <c r="H1447" s="5" t="s">
        <v>105</v>
      </c>
      <c r="I1447" s="15">
        <v>45013</v>
      </c>
      <c r="J1447" s="15" t="s">
        <v>232</v>
      </c>
      <c r="K1447" s="6">
        <v>0.53888888888888886</v>
      </c>
      <c r="L1447" t="s">
        <v>146</v>
      </c>
      <c r="M1447">
        <v>100000</v>
      </c>
      <c r="N1447" t="s">
        <v>212</v>
      </c>
      <c r="O1447" t="s">
        <v>151</v>
      </c>
      <c r="P1447">
        <v>66</v>
      </c>
      <c r="Q1447" t="s">
        <v>154</v>
      </c>
    </row>
    <row r="1448" spans="1:17" x14ac:dyDescent="0.2">
      <c r="A1448">
        <v>961949</v>
      </c>
      <c r="B1448">
        <v>1076</v>
      </c>
      <c r="C1448" s="1" t="s">
        <v>113</v>
      </c>
      <c r="D1448" s="11">
        <v>45204.000694444447</v>
      </c>
      <c r="E1448" t="s">
        <v>98</v>
      </c>
      <c r="F1448" t="s">
        <v>51</v>
      </c>
      <c r="G1448">
        <v>2153</v>
      </c>
      <c r="H1448" s="5" t="s">
        <v>113</v>
      </c>
      <c r="I1448" s="15">
        <v>45204</v>
      </c>
      <c r="J1448" s="15" t="s">
        <v>295</v>
      </c>
      <c r="K1448" s="6">
        <v>0.50069444444444444</v>
      </c>
      <c r="L1448" t="s">
        <v>145</v>
      </c>
      <c r="M1448">
        <v>100000</v>
      </c>
      <c r="N1448" t="s">
        <v>217</v>
      </c>
      <c r="O1448" t="s">
        <v>152</v>
      </c>
      <c r="P1448">
        <v>18</v>
      </c>
      <c r="Q1448" t="s">
        <v>156</v>
      </c>
    </row>
    <row r="1449" spans="1:17" x14ac:dyDescent="0.2">
      <c r="A1449">
        <v>962603</v>
      </c>
      <c r="B1449">
        <v>1743</v>
      </c>
      <c r="C1449" s="1" t="s">
        <v>99</v>
      </c>
      <c r="D1449" s="11">
        <v>45053.013888888891</v>
      </c>
      <c r="E1449" t="s">
        <v>98</v>
      </c>
      <c r="F1449" t="s">
        <v>68</v>
      </c>
      <c r="G1449">
        <v>6171</v>
      </c>
      <c r="H1449" s="5" t="s">
        <v>99</v>
      </c>
      <c r="I1449" s="15">
        <v>45053</v>
      </c>
      <c r="J1449" s="15" t="s">
        <v>233</v>
      </c>
      <c r="K1449" s="6">
        <v>0.51388888888888884</v>
      </c>
      <c r="L1449" t="s">
        <v>144</v>
      </c>
      <c r="M1449">
        <v>100000</v>
      </c>
      <c r="N1449" t="s">
        <v>200</v>
      </c>
      <c r="O1449" t="s">
        <v>152</v>
      </c>
      <c r="P1449">
        <v>30</v>
      </c>
      <c r="Q1449" t="s">
        <v>157</v>
      </c>
    </row>
    <row r="1450" spans="1:17" x14ac:dyDescent="0.2">
      <c r="A1450">
        <v>962712</v>
      </c>
      <c r="B1450">
        <v>340</v>
      </c>
      <c r="C1450" s="1" t="s">
        <v>100</v>
      </c>
      <c r="D1450" s="11">
        <v>44993.013194444444</v>
      </c>
      <c r="E1450" t="s">
        <v>98</v>
      </c>
      <c r="F1450" t="s">
        <v>79</v>
      </c>
      <c r="G1450">
        <v>1633</v>
      </c>
      <c r="H1450" s="5" t="s">
        <v>100</v>
      </c>
      <c r="I1450" s="15">
        <v>44993</v>
      </c>
      <c r="J1450" s="15" t="s">
        <v>232</v>
      </c>
      <c r="K1450" s="6">
        <v>0.5131944444444444</v>
      </c>
      <c r="L1450" t="s">
        <v>143</v>
      </c>
      <c r="M1450">
        <v>50000</v>
      </c>
      <c r="N1450" t="s">
        <v>204</v>
      </c>
      <c r="O1450" t="s">
        <v>151</v>
      </c>
      <c r="P1450">
        <v>68</v>
      </c>
      <c r="Q1450" t="s">
        <v>154</v>
      </c>
    </row>
    <row r="1451" spans="1:17" x14ac:dyDescent="0.2">
      <c r="A1451">
        <v>963906</v>
      </c>
      <c r="B1451">
        <v>1098</v>
      </c>
      <c r="C1451" s="1" t="s">
        <v>106</v>
      </c>
      <c r="D1451" s="11">
        <v>45065.027083333334</v>
      </c>
      <c r="E1451" t="s">
        <v>98</v>
      </c>
      <c r="F1451" t="s">
        <v>76</v>
      </c>
      <c r="G1451">
        <v>3431</v>
      </c>
      <c r="H1451" s="5" t="s">
        <v>106</v>
      </c>
      <c r="I1451" s="15">
        <v>45065</v>
      </c>
      <c r="J1451" s="15" t="s">
        <v>233</v>
      </c>
      <c r="K1451" s="6">
        <v>0.52708333333333335</v>
      </c>
      <c r="L1451" t="s">
        <v>142</v>
      </c>
      <c r="M1451">
        <v>80000</v>
      </c>
      <c r="N1451" t="s">
        <v>201</v>
      </c>
      <c r="O1451" t="s">
        <v>151</v>
      </c>
      <c r="P1451">
        <v>31</v>
      </c>
      <c r="Q1451" t="s">
        <v>156</v>
      </c>
    </row>
    <row r="1452" spans="1:17" x14ac:dyDescent="0.2">
      <c r="A1452">
        <v>964075</v>
      </c>
      <c r="B1452">
        <v>162</v>
      </c>
      <c r="C1452" s="1" t="s">
        <v>99</v>
      </c>
      <c r="D1452" s="11">
        <v>45033.973611111112</v>
      </c>
      <c r="E1452" t="s">
        <v>96</v>
      </c>
      <c r="F1452" t="s">
        <v>27</v>
      </c>
      <c r="G1452">
        <v>1275</v>
      </c>
      <c r="H1452" s="5" t="s">
        <v>99</v>
      </c>
      <c r="I1452" s="15">
        <v>45033</v>
      </c>
      <c r="J1452" s="15" t="s">
        <v>233</v>
      </c>
      <c r="K1452" s="6">
        <v>0.47361111111111109</v>
      </c>
      <c r="L1452" t="s">
        <v>142</v>
      </c>
      <c r="M1452">
        <v>1000000</v>
      </c>
      <c r="N1452" t="s">
        <v>209</v>
      </c>
      <c r="O1452" t="s">
        <v>152</v>
      </c>
      <c r="P1452">
        <v>63</v>
      </c>
      <c r="Q1452" t="s">
        <v>154</v>
      </c>
    </row>
    <row r="1453" spans="1:17" x14ac:dyDescent="0.2">
      <c r="A1453">
        <v>964231</v>
      </c>
      <c r="B1453">
        <v>759</v>
      </c>
      <c r="C1453" s="1" t="s">
        <v>99</v>
      </c>
      <c r="D1453" s="11">
        <v>45226.051388888889</v>
      </c>
      <c r="E1453" t="s">
        <v>98</v>
      </c>
      <c r="F1453" t="s">
        <v>69</v>
      </c>
      <c r="G1453">
        <v>6583</v>
      </c>
      <c r="H1453" s="5" t="s">
        <v>99</v>
      </c>
      <c r="I1453" s="15">
        <v>45226</v>
      </c>
      <c r="J1453" s="15" t="s">
        <v>295</v>
      </c>
      <c r="K1453" s="6">
        <v>5.1388888888888887E-2</v>
      </c>
      <c r="L1453" t="s">
        <v>146</v>
      </c>
      <c r="M1453">
        <v>250000</v>
      </c>
      <c r="N1453" t="s">
        <v>225</v>
      </c>
      <c r="O1453" t="s">
        <v>151</v>
      </c>
      <c r="P1453">
        <v>19</v>
      </c>
      <c r="Q1453" t="s">
        <v>155</v>
      </c>
    </row>
    <row r="1454" spans="1:17" x14ac:dyDescent="0.2">
      <c r="A1454">
        <v>964791</v>
      </c>
      <c r="B1454">
        <v>1085</v>
      </c>
      <c r="C1454" s="1" t="s">
        <v>105</v>
      </c>
      <c r="D1454" s="11">
        <v>45226.00277777778</v>
      </c>
      <c r="E1454" t="s">
        <v>191</v>
      </c>
      <c r="F1454" t="s">
        <v>43</v>
      </c>
      <c r="G1454">
        <v>4514</v>
      </c>
      <c r="H1454" s="5" t="s">
        <v>105</v>
      </c>
      <c r="I1454" s="15">
        <v>45226</v>
      </c>
      <c r="J1454" s="15" t="s">
        <v>295</v>
      </c>
      <c r="K1454" s="6">
        <v>0.50277777777777777</v>
      </c>
      <c r="L1454" t="s">
        <v>145</v>
      </c>
      <c r="M1454">
        <v>1000000</v>
      </c>
      <c r="N1454" t="s">
        <v>203</v>
      </c>
      <c r="O1454" t="s">
        <v>151</v>
      </c>
      <c r="P1454">
        <v>78</v>
      </c>
      <c r="Q1454" t="s">
        <v>156</v>
      </c>
    </row>
    <row r="1455" spans="1:17" x14ac:dyDescent="0.2">
      <c r="A1455">
        <v>965923</v>
      </c>
      <c r="B1455">
        <v>1883</v>
      </c>
      <c r="C1455" s="1" t="s">
        <v>99</v>
      </c>
      <c r="D1455" s="11">
        <v>45012.069444444445</v>
      </c>
      <c r="E1455" t="s">
        <v>96</v>
      </c>
      <c r="F1455" t="s">
        <v>43</v>
      </c>
      <c r="G1455">
        <v>1548</v>
      </c>
      <c r="H1455" s="5" t="s">
        <v>99</v>
      </c>
      <c r="I1455" s="15">
        <v>45012</v>
      </c>
      <c r="J1455" s="15" t="s">
        <v>232</v>
      </c>
      <c r="K1455" s="6">
        <v>6.9444444444444448E-2</v>
      </c>
      <c r="L1455" t="s">
        <v>145</v>
      </c>
      <c r="M1455">
        <v>1000000</v>
      </c>
      <c r="N1455" t="s">
        <v>203</v>
      </c>
      <c r="O1455" t="s">
        <v>151</v>
      </c>
      <c r="P1455">
        <v>20</v>
      </c>
      <c r="Q1455" t="s">
        <v>157</v>
      </c>
    </row>
    <row r="1456" spans="1:17" x14ac:dyDescent="0.2">
      <c r="A1456">
        <v>966739</v>
      </c>
      <c r="B1456">
        <v>881</v>
      </c>
      <c r="C1456" s="1" t="s">
        <v>100</v>
      </c>
      <c r="D1456" s="11">
        <v>45158.02847222222</v>
      </c>
      <c r="E1456" t="s">
        <v>96</v>
      </c>
      <c r="F1456" t="s">
        <v>4</v>
      </c>
      <c r="G1456">
        <v>4693</v>
      </c>
      <c r="H1456" s="5" t="s">
        <v>100</v>
      </c>
      <c r="I1456" s="15">
        <v>45158</v>
      </c>
      <c r="J1456" s="15" t="s">
        <v>234</v>
      </c>
      <c r="K1456" s="6">
        <v>0.52847222222222223</v>
      </c>
      <c r="L1456" t="s">
        <v>142</v>
      </c>
      <c r="M1456">
        <v>200000</v>
      </c>
      <c r="N1456" t="s">
        <v>197</v>
      </c>
      <c r="O1456" t="s">
        <v>151</v>
      </c>
      <c r="P1456">
        <v>67</v>
      </c>
      <c r="Q1456" t="s">
        <v>155</v>
      </c>
    </row>
    <row r="1457" spans="1:17" x14ac:dyDescent="0.2">
      <c r="A1457">
        <v>967619</v>
      </c>
      <c r="B1457">
        <v>897</v>
      </c>
      <c r="C1457" s="1" t="s">
        <v>99</v>
      </c>
      <c r="D1457" s="11">
        <v>45104.972916666666</v>
      </c>
      <c r="E1457" t="s">
        <v>97</v>
      </c>
      <c r="F1457" t="s">
        <v>19</v>
      </c>
      <c r="G1457">
        <v>3504</v>
      </c>
      <c r="H1457" s="5" t="s">
        <v>99</v>
      </c>
      <c r="I1457" s="15">
        <v>45104</v>
      </c>
      <c r="J1457" s="15" t="s">
        <v>233</v>
      </c>
      <c r="K1457" s="6">
        <v>0.47291666666666665</v>
      </c>
      <c r="L1457" t="s">
        <v>142</v>
      </c>
      <c r="M1457">
        <v>150000</v>
      </c>
      <c r="N1457" t="s">
        <v>211</v>
      </c>
      <c r="O1457" t="s">
        <v>151</v>
      </c>
      <c r="P1457">
        <v>46</v>
      </c>
      <c r="Q1457" t="s">
        <v>155</v>
      </c>
    </row>
    <row r="1458" spans="1:17" x14ac:dyDescent="0.2">
      <c r="A1458">
        <v>968469</v>
      </c>
      <c r="B1458">
        <v>711</v>
      </c>
      <c r="C1458" s="1" t="s">
        <v>99</v>
      </c>
      <c r="D1458" s="11">
        <v>45186.010416666664</v>
      </c>
      <c r="E1458" t="s">
        <v>97</v>
      </c>
      <c r="F1458" t="s">
        <v>82</v>
      </c>
      <c r="G1458">
        <v>187</v>
      </c>
      <c r="H1458" s="5" t="s">
        <v>99</v>
      </c>
      <c r="I1458" s="15">
        <v>45186</v>
      </c>
      <c r="J1458" s="15" t="s">
        <v>234</v>
      </c>
      <c r="K1458" s="6">
        <v>0.51041666666666663</v>
      </c>
      <c r="L1458" t="s">
        <v>142</v>
      </c>
      <c r="M1458">
        <v>100000</v>
      </c>
      <c r="N1458" t="s">
        <v>209</v>
      </c>
      <c r="O1458" t="s">
        <v>151</v>
      </c>
      <c r="P1458">
        <v>56</v>
      </c>
      <c r="Q1458" t="s">
        <v>155</v>
      </c>
    </row>
    <row r="1459" spans="1:17" x14ac:dyDescent="0.2">
      <c r="A1459">
        <v>968501</v>
      </c>
      <c r="B1459">
        <v>534</v>
      </c>
      <c r="C1459" s="1" t="s">
        <v>113</v>
      </c>
      <c r="D1459" s="11">
        <v>45195.032638888886</v>
      </c>
      <c r="E1459" t="s">
        <v>191</v>
      </c>
      <c r="F1459" t="s">
        <v>15</v>
      </c>
      <c r="G1459">
        <v>98</v>
      </c>
      <c r="H1459" s="5" t="s">
        <v>113</v>
      </c>
      <c r="I1459" s="15">
        <v>45195</v>
      </c>
      <c r="J1459" s="15" t="s">
        <v>234</v>
      </c>
      <c r="K1459" s="6">
        <v>0.53263888888888888</v>
      </c>
      <c r="L1459" t="s">
        <v>143</v>
      </c>
      <c r="M1459">
        <v>150000</v>
      </c>
      <c r="N1459" t="s">
        <v>198</v>
      </c>
      <c r="O1459" t="s">
        <v>151</v>
      </c>
      <c r="P1459">
        <v>90</v>
      </c>
      <c r="Q1459" t="s">
        <v>155</v>
      </c>
    </row>
    <row r="1460" spans="1:17" x14ac:dyDescent="0.2">
      <c r="A1460">
        <v>968680</v>
      </c>
      <c r="B1460">
        <v>362</v>
      </c>
      <c r="C1460" s="1" t="s">
        <v>113</v>
      </c>
      <c r="D1460" s="11">
        <v>45020.953472222223</v>
      </c>
      <c r="E1460" t="s">
        <v>96</v>
      </c>
      <c r="F1460" t="s">
        <v>66</v>
      </c>
      <c r="G1460">
        <v>4761</v>
      </c>
      <c r="H1460" s="5" t="s">
        <v>113</v>
      </c>
      <c r="I1460" s="15">
        <v>45020</v>
      </c>
      <c r="J1460" s="15" t="s">
        <v>233</v>
      </c>
      <c r="K1460" s="6">
        <v>0.45347222222222222</v>
      </c>
      <c r="L1460" t="s">
        <v>144</v>
      </c>
      <c r="M1460">
        <v>150000</v>
      </c>
      <c r="N1460" t="s">
        <v>224</v>
      </c>
      <c r="O1460" t="s">
        <v>151</v>
      </c>
      <c r="P1460">
        <v>68</v>
      </c>
      <c r="Q1460" t="s">
        <v>154</v>
      </c>
    </row>
    <row r="1461" spans="1:17" x14ac:dyDescent="0.2">
      <c r="A1461">
        <v>968730</v>
      </c>
      <c r="B1461">
        <v>407</v>
      </c>
      <c r="C1461" s="1" t="s">
        <v>100</v>
      </c>
      <c r="D1461" s="11">
        <v>45070.037499999999</v>
      </c>
      <c r="E1461" t="s">
        <v>191</v>
      </c>
      <c r="F1461" t="s">
        <v>78</v>
      </c>
      <c r="G1461">
        <v>6326</v>
      </c>
      <c r="H1461" s="5" t="s">
        <v>100</v>
      </c>
      <c r="I1461" s="15">
        <v>45070</v>
      </c>
      <c r="J1461" s="15" t="s">
        <v>233</v>
      </c>
      <c r="K1461" s="6">
        <v>0.53749999999999998</v>
      </c>
      <c r="L1461" t="s">
        <v>143</v>
      </c>
      <c r="M1461">
        <v>200000</v>
      </c>
      <c r="N1461" t="s">
        <v>215</v>
      </c>
      <c r="O1461" t="s">
        <v>152</v>
      </c>
      <c r="P1461">
        <v>90</v>
      </c>
      <c r="Q1461" t="s">
        <v>154</v>
      </c>
    </row>
    <row r="1462" spans="1:17" x14ac:dyDescent="0.2">
      <c r="A1462">
        <v>969517</v>
      </c>
      <c r="B1462">
        <v>1794</v>
      </c>
      <c r="C1462" s="1" t="s">
        <v>101</v>
      </c>
      <c r="D1462" s="11">
        <v>45288.051388888889</v>
      </c>
      <c r="E1462" t="s">
        <v>98</v>
      </c>
      <c r="F1462" t="s">
        <v>27</v>
      </c>
      <c r="G1462">
        <v>7435</v>
      </c>
      <c r="H1462" s="5" t="s">
        <v>101</v>
      </c>
      <c r="I1462" s="15">
        <v>45288</v>
      </c>
      <c r="J1462" s="15" t="s">
        <v>295</v>
      </c>
      <c r="K1462" s="6">
        <v>5.1388888888888887E-2</v>
      </c>
      <c r="L1462" t="s">
        <v>142</v>
      </c>
      <c r="M1462">
        <v>1000000</v>
      </c>
      <c r="N1462" t="s">
        <v>209</v>
      </c>
      <c r="O1462" t="s">
        <v>151</v>
      </c>
      <c r="P1462">
        <v>41</v>
      </c>
      <c r="Q1462" t="s">
        <v>157</v>
      </c>
    </row>
    <row r="1463" spans="1:17" x14ac:dyDescent="0.2">
      <c r="A1463">
        <v>969765</v>
      </c>
      <c r="B1463">
        <v>850</v>
      </c>
      <c r="C1463" s="1" t="s">
        <v>99</v>
      </c>
      <c r="D1463" s="11">
        <v>44973.073611111111</v>
      </c>
      <c r="E1463" t="s">
        <v>97</v>
      </c>
      <c r="F1463" t="s">
        <v>43</v>
      </c>
      <c r="G1463">
        <v>3206</v>
      </c>
      <c r="H1463" s="5" t="s">
        <v>99</v>
      </c>
      <c r="I1463" s="15">
        <v>44973</v>
      </c>
      <c r="J1463" s="15" t="s">
        <v>232</v>
      </c>
      <c r="K1463" s="6">
        <v>7.3611111111111113E-2</v>
      </c>
      <c r="L1463" t="s">
        <v>145</v>
      </c>
      <c r="M1463">
        <v>1000000</v>
      </c>
      <c r="N1463" t="s">
        <v>203</v>
      </c>
      <c r="O1463" t="s">
        <v>152</v>
      </c>
      <c r="P1463">
        <v>52</v>
      </c>
      <c r="Q1463" t="s">
        <v>155</v>
      </c>
    </row>
    <row r="1464" spans="1:17" x14ac:dyDescent="0.2">
      <c r="A1464">
        <v>971123</v>
      </c>
      <c r="B1464">
        <v>197</v>
      </c>
      <c r="C1464" s="1" t="s">
        <v>99</v>
      </c>
      <c r="D1464" s="11">
        <v>44959.022222222222</v>
      </c>
      <c r="E1464" t="s">
        <v>191</v>
      </c>
      <c r="F1464" t="s">
        <v>27</v>
      </c>
      <c r="G1464">
        <v>4194</v>
      </c>
      <c r="H1464" s="5" t="s">
        <v>99</v>
      </c>
      <c r="I1464" s="15">
        <v>44959</v>
      </c>
      <c r="J1464" s="15" t="s">
        <v>232</v>
      </c>
      <c r="K1464" s="6">
        <v>0.52222222222222225</v>
      </c>
      <c r="L1464" t="s">
        <v>142</v>
      </c>
      <c r="M1464">
        <v>1000000</v>
      </c>
      <c r="N1464" t="s">
        <v>209</v>
      </c>
      <c r="O1464" t="s">
        <v>151</v>
      </c>
      <c r="P1464">
        <v>38</v>
      </c>
      <c r="Q1464" t="s">
        <v>154</v>
      </c>
    </row>
    <row r="1465" spans="1:17" x14ac:dyDescent="0.2">
      <c r="A1465">
        <v>971900</v>
      </c>
      <c r="B1465">
        <v>1424</v>
      </c>
      <c r="C1465" s="1" t="s">
        <v>105</v>
      </c>
      <c r="D1465" s="11">
        <v>45004.011111111111</v>
      </c>
      <c r="E1465" t="s">
        <v>191</v>
      </c>
      <c r="F1465" t="s">
        <v>27</v>
      </c>
      <c r="G1465">
        <v>4454</v>
      </c>
      <c r="H1465" s="5" t="s">
        <v>105</v>
      </c>
      <c r="I1465" s="15">
        <v>45004</v>
      </c>
      <c r="J1465" s="15" t="s">
        <v>232</v>
      </c>
      <c r="K1465" s="6">
        <v>0.51111111111111107</v>
      </c>
      <c r="L1465" t="s">
        <v>142</v>
      </c>
      <c r="M1465">
        <v>1000000</v>
      </c>
      <c r="N1465" t="s">
        <v>209</v>
      </c>
      <c r="O1465" t="s">
        <v>151</v>
      </c>
      <c r="P1465">
        <v>39</v>
      </c>
      <c r="Q1465" t="s">
        <v>156</v>
      </c>
    </row>
    <row r="1466" spans="1:17" x14ac:dyDescent="0.2">
      <c r="A1466">
        <v>972030</v>
      </c>
      <c r="B1466">
        <v>854</v>
      </c>
      <c r="C1466" s="1" t="s">
        <v>99</v>
      </c>
      <c r="D1466" s="11">
        <v>45016.073611111111</v>
      </c>
      <c r="E1466" t="s">
        <v>191</v>
      </c>
      <c r="F1466" t="s">
        <v>27</v>
      </c>
      <c r="G1466">
        <v>6426</v>
      </c>
      <c r="H1466" s="5" t="s">
        <v>99</v>
      </c>
      <c r="I1466" s="15">
        <v>45016</v>
      </c>
      <c r="J1466" s="15" t="s">
        <v>232</v>
      </c>
      <c r="K1466" s="6">
        <v>7.3611111111111113E-2</v>
      </c>
      <c r="L1466" t="s">
        <v>142</v>
      </c>
      <c r="M1466">
        <v>1000000</v>
      </c>
      <c r="N1466" t="s">
        <v>209</v>
      </c>
      <c r="O1466" t="s">
        <v>152</v>
      </c>
      <c r="P1466">
        <v>61</v>
      </c>
      <c r="Q1466" t="s">
        <v>155</v>
      </c>
    </row>
    <row r="1467" spans="1:17" x14ac:dyDescent="0.2">
      <c r="A1467">
        <v>973367</v>
      </c>
      <c r="B1467">
        <v>1170</v>
      </c>
      <c r="C1467" s="1" t="s">
        <v>109</v>
      </c>
      <c r="D1467" s="11">
        <v>45170.052777777775</v>
      </c>
      <c r="E1467" t="s">
        <v>97</v>
      </c>
      <c r="F1467" t="s">
        <v>18</v>
      </c>
      <c r="G1467">
        <v>8512</v>
      </c>
      <c r="H1467" s="5" t="s">
        <v>109</v>
      </c>
      <c r="I1467" s="15">
        <v>45170</v>
      </c>
      <c r="J1467" s="15" t="s">
        <v>234</v>
      </c>
      <c r="K1467" s="6">
        <v>5.2777777777777778E-2</v>
      </c>
      <c r="L1467" t="s">
        <v>145</v>
      </c>
      <c r="M1467">
        <v>200000</v>
      </c>
      <c r="N1467" t="s">
        <v>210</v>
      </c>
      <c r="O1467" t="s">
        <v>152</v>
      </c>
      <c r="P1467">
        <v>65</v>
      </c>
      <c r="Q1467" t="s">
        <v>156</v>
      </c>
    </row>
    <row r="1468" spans="1:17" x14ac:dyDescent="0.2">
      <c r="A1468">
        <v>974557</v>
      </c>
      <c r="B1468">
        <v>1874</v>
      </c>
      <c r="C1468" s="1" t="s">
        <v>99</v>
      </c>
      <c r="D1468" s="11">
        <v>44941.047222222223</v>
      </c>
      <c r="E1468" t="s">
        <v>191</v>
      </c>
      <c r="F1468" t="s">
        <v>4</v>
      </c>
      <c r="G1468">
        <v>2721</v>
      </c>
      <c r="H1468" s="5" t="s">
        <v>99</v>
      </c>
      <c r="I1468" s="15">
        <v>44941</v>
      </c>
      <c r="J1468" s="15" t="s">
        <v>232</v>
      </c>
      <c r="K1468" s="6">
        <v>4.7222222222222221E-2</v>
      </c>
      <c r="L1468" t="s">
        <v>142</v>
      </c>
      <c r="M1468">
        <v>200000</v>
      </c>
      <c r="N1468" t="s">
        <v>197</v>
      </c>
      <c r="O1468" t="s">
        <v>151</v>
      </c>
      <c r="P1468">
        <v>51</v>
      </c>
      <c r="Q1468" t="s">
        <v>157</v>
      </c>
    </row>
    <row r="1469" spans="1:17" x14ac:dyDescent="0.2">
      <c r="A1469">
        <v>975249</v>
      </c>
      <c r="B1469">
        <v>1044</v>
      </c>
      <c r="C1469" s="1" t="s">
        <v>113</v>
      </c>
      <c r="D1469" s="11">
        <v>45282.056250000001</v>
      </c>
      <c r="E1469" t="s">
        <v>96</v>
      </c>
      <c r="F1469" t="s">
        <v>14</v>
      </c>
      <c r="G1469">
        <v>3988</v>
      </c>
      <c r="H1469" s="5" t="s">
        <v>113</v>
      </c>
      <c r="I1469" s="15">
        <v>45282</v>
      </c>
      <c r="J1469" s="15" t="s">
        <v>295</v>
      </c>
      <c r="K1469" s="6">
        <v>5.6250000000000001E-2</v>
      </c>
      <c r="L1469" t="s">
        <v>142</v>
      </c>
      <c r="M1469">
        <v>250000</v>
      </c>
      <c r="N1469" t="s">
        <v>207</v>
      </c>
      <c r="O1469" t="s">
        <v>151</v>
      </c>
      <c r="P1469">
        <v>26</v>
      </c>
      <c r="Q1469" t="s">
        <v>156</v>
      </c>
    </row>
    <row r="1470" spans="1:17" x14ac:dyDescent="0.2">
      <c r="A1470">
        <v>976000</v>
      </c>
      <c r="B1470">
        <v>484</v>
      </c>
      <c r="C1470" s="1" t="s">
        <v>99</v>
      </c>
      <c r="D1470" s="11">
        <v>45089.988194444442</v>
      </c>
      <c r="E1470" t="s">
        <v>97</v>
      </c>
      <c r="F1470" t="s">
        <v>6</v>
      </c>
      <c r="G1470">
        <v>6536</v>
      </c>
      <c r="H1470" s="5" t="s">
        <v>99</v>
      </c>
      <c r="I1470" s="15">
        <v>45089</v>
      </c>
      <c r="J1470" s="15" t="s">
        <v>233</v>
      </c>
      <c r="K1470" s="6">
        <v>0.48819444444444443</v>
      </c>
      <c r="L1470" t="s">
        <v>144</v>
      </c>
      <c r="M1470">
        <v>100000</v>
      </c>
      <c r="N1470" t="s">
        <v>199</v>
      </c>
      <c r="O1470" t="s">
        <v>152</v>
      </c>
      <c r="P1470">
        <v>70</v>
      </c>
      <c r="Q1470" t="s">
        <v>154</v>
      </c>
    </row>
    <row r="1471" spans="1:17" x14ac:dyDescent="0.2">
      <c r="A1471">
        <v>976435</v>
      </c>
      <c r="B1471">
        <v>704</v>
      </c>
      <c r="C1471" s="1" t="s">
        <v>99</v>
      </c>
      <c r="D1471" s="11">
        <v>45195.055555555555</v>
      </c>
      <c r="E1471" t="s">
        <v>98</v>
      </c>
      <c r="F1471" t="s">
        <v>7</v>
      </c>
      <c r="G1471">
        <v>5887</v>
      </c>
      <c r="H1471" s="5" t="s">
        <v>99</v>
      </c>
      <c r="I1471" s="15">
        <v>45195</v>
      </c>
      <c r="J1471" s="15" t="s">
        <v>234</v>
      </c>
      <c r="K1471" s="6">
        <v>5.5555555555555552E-2</v>
      </c>
      <c r="L1471" t="s">
        <v>144</v>
      </c>
      <c r="M1471">
        <v>150000</v>
      </c>
      <c r="N1471" t="s">
        <v>200</v>
      </c>
      <c r="O1471" t="s">
        <v>152</v>
      </c>
      <c r="P1471">
        <v>76</v>
      </c>
      <c r="Q1471" t="s">
        <v>155</v>
      </c>
    </row>
    <row r="1472" spans="1:17" x14ac:dyDescent="0.2">
      <c r="A1472">
        <v>976870</v>
      </c>
      <c r="B1472">
        <v>357</v>
      </c>
      <c r="C1472" s="1" t="s">
        <v>103</v>
      </c>
      <c r="D1472" s="11">
        <v>45105.007638888892</v>
      </c>
      <c r="E1472" t="s">
        <v>97</v>
      </c>
      <c r="F1472" t="s">
        <v>8</v>
      </c>
      <c r="G1472">
        <v>1226</v>
      </c>
      <c r="H1472" s="5" t="s">
        <v>103</v>
      </c>
      <c r="I1472" s="15">
        <v>45105</v>
      </c>
      <c r="J1472" s="15" t="s">
        <v>233</v>
      </c>
      <c r="K1472" s="6">
        <v>0.50763888888888886</v>
      </c>
      <c r="L1472" t="s">
        <v>142</v>
      </c>
      <c r="M1472">
        <v>200000</v>
      </c>
      <c r="N1472" t="s">
        <v>201</v>
      </c>
      <c r="O1472" t="s">
        <v>152</v>
      </c>
      <c r="P1472">
        <v>70</v>
      </c>
      <c r="Q1472" t="s">
        <v>154</v>
      </c>
    </row>
    <row r="1473" spans="1:17" x14ac:dyDescent="0.2">
      <c r="A1473">
        <v>978487</v>
      </c>
      <c r="B1473">
        <v>767</v>
      </c>
      <c r="C1473" s="1" t="s">
        <v>99</v>
      </c>
      <c r="D1473" s="11">
        <v>45097.979861111111</v>
      </c>
      <c r="E1473" t="s">
        <v>96</v>
      </c>
      <c r="F1473" t="s">
        <v>9</v>
      </c>
      <c r="G1473">
        <v>8162</v>
      </c>
      <c r="H1473" s="5" t="s">
        <v>99</v>
      </c>
      <c r="I1473" s="15">
        <v>45097</v>
      </c>
      <c r="J1473" s="15" t="s">
        <v>233</v>
      </c>
      <c r="K1473" s="6">
        <v>0.47986111111111113</v>
      </c>
      <c r="L1473" t="s">
        <v>144</v>
      </c>
      <c r="M1473">
        <v>150000</v>
      </c>
      <c r="N1473" t="s">
        <v>202</v>
      </c>
      <c r="O1473" t="s">
        <v>151</v>
      </c>
      <c r="P1473">
        <v>30</v>
      </c>
      <c r="Q1473" t="s">
        <v>155</v>
      </c>
    </row>
    <row r="1474" spans="1:17" x14ac:dyDescent="0.2">
      <c r="A1474">
        <v>978518</v>
      </c>
      <c r="B1474">
        <v>1078</v>
      </c>
      <c r="C1474" s="1" t="s">
        <v>101</v>
      </c>
      <c r="D1474" s="11">
        <v>44927.044444444444</v>
      </c>
      <c r="E1474" t="s">
        <v>98</v>
      </c>
      <c r="F1474" t="s">
        <v>10</v>
      </c>
      <c r="G1474">
        <v>448</v>
      </c>
      <c r="H1474" s="5" t="s">
        <v>101</v>
      </c>
      <c r="I1474" s="15">
        <v>44927</v>
      </c>
      <c r="J1474" s="15" t="s">
        <v>232</v>
      </c>
      <c r="K1474" s="6">
        <v>4.4444444444444446E-2</v>
      </c>
      <c r="L1474" t="s">
        <v>145</v>
      </c>
      <c r="M1474">
        <v>150000</v>
      </c>
      <c r="N1474" t="s">
        <v>203</v>
      </c>
      <c r="O1474" t="s">
        <v>152</v>
      </c>
      <c r="P1474">
        <v>55</v>
      </c>
      <c r="Q1474" t="s">
        <v>156</v>
      </c>
    </row>
    <row r="1475" spans="1:17" x14ac:dyDescent="0.2">
      <c r="A1475">
        <v>978704</v>
      </c>
      <c r="B1475">
        <v>307</v>
      </c>
      <c r="C1475" s="1" t="s">
        <v>100</v>
      </c>
      <c r="D1475" s="11">
        <v>45156.03402777778</v>
      </c>
      <c r="E1475" t="s">
        <v>96</v>
      </c>
      <c r="F1475" t="s">
        <v>11</v>
      </c>
      <c r="G1475">
        <v>5631</v>
      </c>
      <c r="H1475" s="5" t="s">
        <v>100</v>
      </c>
      <c r="I1475" s="15">
        <v>45156</v>
      </c>
      <c r="J1475" s="15" t="s">
        <v>234</v>
      </c>
      <c r="K1475" s="6">
        <v>0.53402777777777777</v>
      </c>
      <c r="L1475" t="s">
        <v>143</v>
      </c>
      <c r="M1475">
        <v>150000</v>
      </c>
      <c r="N1475" t="s">
        <v>204</v>
      </c>
      <c r="O1475" t="s">
        <v>151</v>
      </c>
      <c r="P1475">
        <v>65</v>
      </c>
      <c r="Q1475" t="s">
        <v>154</v>
      </c>
    </row>
    <row r="1476" spans="1:17" x14ac:dyDescent="0.2">
      <c r="A1476">
        <v>979166</v>
      </c>
      <c r="B1476">
        <v>995</v>
      </c>
      <c r="C1476" s="1" t="s">
        <v>100</v>
      </c>
      <c r="D1476" s="11">
        <v>44997.98333333333</v>
      </c>
      <c r="E1476" t="s">
        <v>97</v>
      </c>
      <c r="F1476" t="s">
        <v>12</v>
      </c>
      <c r="G1476">
        <v>6809</v>
      </c>
      <c r="H1476" s="5" t="s">
        <v>100</v>
      </c>
      <c r="I1476" s="15">
        <v>44997</v>
      </c>
      <c r="J1476" s="15" t="s">
        <v>232</v>
      </c>
      <c r="K1476" s="6">
        <v>0.48333333333333334</v>
      </c>
      <c r="L1476" t="s">
        <v>143</v>
      </c>
      <c r="M1476">
        <v>150000</v>
      </c>
      <c r="N1476" t="s">
        <v>205</v>
      </c>
      <c r="O1476" t="s">
        <v>152</v>
      </c>
      <c r="P1476">
        <v>82</v>
      </c>
      <c r="Q1476" t="s">
        <v>155</v>
      </c>
    </row>
    <row r="1477" spans="1:17" x14ac:dyDescent="0.2">
      <c r="A1477">
        <v>982672</v>
      </c>
      <c r="B1477">
        <v>1590</v>
      </c>
      <c r="C1477" s="1" t="s">
        <v>106</v>
      </c>
      <c r="D1477" s="11">
        <v>45281.077777777777</v>
      </c>
      <c r="E1477" t="s">
        <v>191</v>
      </c>
      <c r="F1477" t="s">
        <v>13</v>
      </c>
      <c r="G1477">
        <v>7371</v>
      </c>
      <c r="H1477" s="5" t="s">
        <v>106</v>
      </c>
      <c r="I1477" s="15">
        <v>45281</v>
      </c>
      <c r="J1477" s="15" t="s">
        <v>295</v>
      </c>
      <c r="K1477" s="6">
        <v>7.7777777777777779E-2</v>
      </c>
      <c r="L1477" t="s">
        <v>143</v>
      </c>
      <c r="M1477">
        <v>150000</v>
      </c>
      <c r="N1477" t="s">
        <v>206</v>
      </c>
      <c r="O1477" t="s">
        <v>151</v>
      </c>
      <c r="P1477">
        <v>69</v>
      </c>
      <c r="Q1477" t="s">
        <v>157</v>
      </c>
    </row>
    <row r="1478" spans="1:17" x14ac:dyDescent="0.2">
      <c r="A1478">
        <v>982983</v>
      </c>
      <c r="B1478">
        <v>1842</v>
      </c>
      <c r="C1478" s="1" t="s">
        <v>106</v>
      </c>
      <c r="D1478" s="11">
        <v>44938.023611111108</v>
      </c>
      <c r="E1478" t="s">
        <v>97</v>
      </c>
      <c r="F1478" t="s">
        <v>14</v>
      </c>
      <c r="G1478">
        <v>6411</v>
      </c>
      <c r="H1478" s="5" t="s">
        <v>106</v>
      </c>
      <c r="I1478" s="15">
        <v>44938</v>
      </c>
      <c r="J1478" s="15" t="s">
        <v>232</v>
      </c>
      <c r="K1478" s="6">
        <v>0.52361111111111114</v>
      </c>
      <c r="L1478" t="s">
        <v>142</v>
      </c>
      <c r="M1478">
        <v>250000</v>
      </c>
      <c r="N1478" t="s">
        <v>207</v>
      </c>
      <c r="O1478" t="s">
        <v>151</v>
      </c>
      <c r="P1478">
        <v>61</v>
      </c>
      <c r="Q1478" t="s">
        <v>157</v>
      </c>
    </row>
    <row r="1479" spans="1:17" x14ac:dyDescent="0.2">
      <c r="A1479">
        <v>983456</v>
      </c>
      <c r="B1479">
        <v>177</v>
      </c>
      <c r="C1479" s="1" t="s">
        <v>113</v>
      </c>
      <c r="D1479" s="11">
        <v>45041.067361111112</v>
      </c>
      <c r="E1479" t="s">
        <v>96</v>
      </c>
      <c r="F1479" t="s">
        <v>15</v>
      </c>
      <c r="G1479">
        <v>2938</v>
      </c>
      <c r="H1479" s="5" t="s">
        <v>113</v>
      </c>
      <c r="I1479" s="15">
        <v>45041</v>
      </c>
      <c r="J1479" s="15" t="s">
        <v>233</v>
      </c>
      <c r="K1479" s="6">
        <v>6.7361111111111108E-2</v>
      </c>
      <c r="L1479" t="s">
        <v>143</v>
      </c>
      <c r="M1479">
        <v>150000</v>
      </c>
      <c r="N1479" t="s">
        <v>198</v>
      </c>
      <c r="O1479" t="s">
        <v>151</v>
      </c>
      <c r="P1479">
        <v>75</v>
      </c>
      <c r="Q1479" t="s">
        <v>154</v>
      </c>
    </row>
    <row r="1480" spans="1:17" x14ac:dyDescent="0.2">
      <c r="A1480">
        <v>984155</v>
      </c>
      <c r="B1480">
        <v>1399</v>
      </c>
      <c r="C1480" s="1" t="s">
        <v>101</v>
      </c>
      <c r="D1480" s="11">
        <v>45224.005555555559</v>
      </c>
      <c r="E1480" t="s">
        <v>191</v>
      </c>
      <c r="F1480" t="s">
        <v>16</v>
      </c>
      <c r="G1480">
        <v>5521</v>
      </c>
      <c r="H1480" s="5" t="s">
        <v>101</v>
      </c>
      <c r="I1480" s="15">
        <v>45224</v>
      </c>
      <c r="J1480" s="15" t="s">
        <v>295</v>
      </c>
      <c r="K1480" s="6">
        <v>0.50555555555555554</v>
      </c>
      <c r="L1480" t="s">
        <v>142</v>
      </c>
      <c r="M1480">
        <v>80000</v>
      </c>
      <c r="N1480" t="s">
        <v>208</v>
      </c>
      <c r="O1480" t="s">
        <v>152</v>
      </c>
      <c r="P1480">
        <v>24</v>
      </c>
      <c r="Q1480" t="s">
        <v>156</v>
      </c>
    </row>
    <row r="1481" spans="1:17" x14ac:dyDescent="0.2">
      <c r="A1481">
        <v>985800</v>
      </c>
      <c r="B1481">
        <v>1225</v>
      </c>
      <c r="C1481" s="1" t="s">
        <v>105</v>
      </c>
      <c r="D1481" s="11">
        <v>45276.036805555559</v>
      </c>
      <c r="E1481" t="s">
        <v>98</v>
      </c>
      <c r="F1481" t="s">
        <v>17</v>
      </c>
      <c r="G1481">
        <v>3508</v>
      </c>
      <c r="H1481" s="5" t="s">
        <v>105</v>
      </c>
      <c r="I1481" s="15">
        <v>45276</v>
      </c>
      <c r="J1481" s="15" t="s">
        <v>295</v>
      </c>
      <c r="K1481" s="6">
        <v>0.53680555555555554</v>
      </c>
      <c r="L1481" t="s">
        <v>142</v>
      </c>
      <c r="M1481">
        <v>100000</v>
      </c>
      <c r="N1481" t="s">
        <v>209</v>
      </c>
      <c r="O1481" t="s">
        <v>151</v>
      </c>
      <c r="P1481">
        <v>84</v>
      </c>
      <c r="Q1481" t="s">
        <v>156</v>
      </c>
    </row>
    <row r="1482" spans="1:17" x14ac:dyDescent="0.2">
      <c r="A1482">
        <v>986036</v>
      </c>
      <c r="B1482">
        <v>1064</v>
      </c>
      <c r="C1482" s="1" t="s">
        <v>104</v>
      </c>
      <c r="D1482" s="11">
        <v>45229.939583333333</v>
      </c>
      <c r="E1482" t="s">
        <v>97</v>
      </c>
      <c r="F1482" t="s">
        <v>18</v>
      </c>
      <c r="G1482">
        <v>855</v>
      </c>
      <c r="H1482" s="5" t="s">
        <v>104</v>
      </c>
      <c r="I1482" s="15">
        <v>45229</v>
      </c>
      <c r="J1482" s="15" t="s">
        <v>295</v>
      </c>
      <c r="K1482" s="6">
        <v>0.43958333333333333</v>
      </c>
      <c r="L1482" t="s">
        <v>145</v>
      </c>
      <c r="M1482">
        <v>200000</v>
      </c>
      <c r="N1482" t="s">
        <v>210</v>
      </c>
      <c r="O1482" t="s">
        <v>151</v>
      </c>
      <c r="P1482">
        <v>75</v>
      </c>
      <c r="Q1482" t="s">
        <v>156</v>
      </c>
    </row>
    <row r="1483" spans="1:17" x14ac:dyDescent="0.2">
      <c r="A1483">
        <v>988105</v>
      </c>
      <c r="B1483">
        <v>1877</v>
      </c>
      <c r="C1483" s="1" t="s">
        <v>105</v>
      </c>
      <c r="D1483" s="11">
        <v>45102.052777777775</v>
      </c>
      <c r="E1483" t="s">
        <v>97</v>
      </c>
      <c r="F1483" t="s">
        <v>19</v>
      </c>
      <c r="G1483">
        <v>9254</v>
      </c>
      <c r="H1483" s="5" t="s">
        <v>105</v>
      </c>
      <c r="I1483" s="15">
        <v>45102</v>
      </c>
      <c r="J1483" s="15" t="s">
        <v>233</v>
      </c>
      <c r="K1483" s="6">
        <v>5.2777777777777778E-2</v>
      </c>
      <c r="L1483" t="s">
        <v>142</v>
      </c>
      <c r="M1483">
        <v>150000</v>
      </c>
      <c r="N1483" t="s">
        <v>211</v>
      </c>
      <c r="O1483" t="s">
        <v>151</v>
      </c>
      <c r="P1483">
        <v>22</v>
      </c>
      <c r="Q1483" t="s">
        <v>157</v>
      </c>
    </row>
    <row r="1484" spans="1:17" x14ac:dyDescent="0.2">
      <c r="A1484">
        <v>988444</v>
      </c>
      <c r="B1484">
        <v>430</v>
      </c>
      <c r="C1484" s="1" t="s">
        <v>113</v>
      </c>
      <c r="D1484" s="11">
        <v>45142.04791666667</v>
      </c>
      <c r="E1484" t="s">
        <v>96</v>
      </c>
      <c r="F1484" t="s">
        <v>20</v>
      </c>
      <c r="G1484">
        <v>9958</v>
      </c>
      <c r="H1484" s="5" t="s">
        <v>113</v>
      </c>
      <c r="I1484" s="15">
        <v>45142</v>
      </c>
      <c r="J1484" s="15" t="s">
        <v>234</v>
      </c>
      <c r="K1484" s="6">
        <v>4.791666666666667E-2</v>
      </c>
      <c r="L1484" t="s">
        <v>146</v>
      </c>
      <c r="M1484">
        <v>150000</v>
      </c>
      <c r="N1484" t="s">
        <v>212</v>
      </c>
      <c r="O1484" t="s">
        <v>151</v>
      </c>
      <c r="P1484">
        <v>82</v>
      </c>
      <c r="Q1484" t="s">
        <v>154</v>
      </c>
    </row>
    <row r="1485" spans="1:17" x14ac:dyDescent="0.2">
      <c r="A1485">
        <v>990534</v>
      </c>
      <c r="B1485">
        <v>249</v>
      </c>
      <c r="C1485" s="1" t="s">
        <v>99</v>
      </c>
      <c r="D1485" s="11">
        <v>45122.949305555558</v>
      </c>
      <c r="E1485" t="s">
        <v>191</v>
      </c>
      <c r="F1485" t="s">
        <v>21</v>
      </c>
      <c r="G1485">
        <v>3459</v>
      </c>
      <c r="H1485" s="5" t="s">
        <v>99</v>
      </c>
      <c r="I1485" s="15">
        <v>45122</v>
      </c>
      <c r="J1485" s="15" t="s">
        <v>234</v>
      </c>
      <c r="K1485" s="6">
        <v>0.44930555555555557</v>
      </c>
      <c r="L1485" t="s">
        <v>142</v>
      </c>
      <c r="M1485">
        <v>150000</v>
      </c>
      <c r="N1485" t="s">
        <v>211</v>
      </c>
      <c r="O1485" t="s">
        <v>151</v>
      </c>
      <c r="P1485">
        <v>58</v>
      </c>
      <c r="Q1485" t="s">
        <v>154</v>
      </c>
    </row>
    <row r="1486" spans="1:17" x14ac:dyDescent="0.2">
      <c r="A1486">
        <v>990780</v>
      </c>
      <c r="B1486">
        <v>1068</v>
      </c>
      <c r="C1486" s="1" t="s">
        <v>105</v>
      </c>
      <c r="D1486" s="11">
        <v>45236.990972222222</v>
      </c>
      <c r="E1486" t="s">
        <v>96</v>
      </c>
      <c r="F1486" t="s">
        <v>22</v>
      </c>
      <c r="G1486">
        <v>6407</v>
      </c>
      <c r="H1486" s="5" t="s">
        <v>105</v>
      </c>
      <c r="I1486" s="15">
        <v>45236</v>
      </c>
      <c r="J1486" s="15" t="s">
        <v>295</v>
      </c>
      <c r="K1486" s="6">
        <v>0.4909722222222222</v>
      </c>
      <c r="L1486" t="s">
        <v>144</v>
      </c>
      <c r="M1486">
        <v>100000</v>
      </c>
      <c r="N1486" t="s">
        <v>202</v>
      </c>
      <c r="O1486" t="s">
        <v>151</v>
      </c>
      <c r="P1486">
        <v>56</v>
      </c>
      <c r="Q1486" t="s">
        <v>156</v>
      </c>
    </row>
    <row r="1487" spans="1:17" x14ac:dyDescent="0.2">
      <c r="A1487">
        <v>990832</v>
      </c>
      <c r="B1487">
        <v>9</v>
      </c>
      <c r="C1487" s="1" t="s">
        <v>100</v>
      </c>
      <c r="D1487" s="11">
        <v>45137.012499999997</v>
      </c>
      <c r="E1487" t="s">
        <v>96</v>
      </c>
      <c r="F1487" t="s">
        <v>4</v>
      </c>
      <c r="G1487">
        <v>8202</v>
      </c>
      <c r="H1487" s="5" t="s">
        <v>100</v>
      </c>
      <c r="I1487" s="15">
        <v>45137</v>
      </c>
      <c r="J1487" s="15" t="s">
        <v>234</v>
      </c>
      <c r="K1487" s="6">
        <v>0.51249999999999996</v>
      </c>
      <c r="L1487" t="s">
        <v>142</v>
      </c>
      <c r="M1487">
        <v>200000</v>
      </c>
      <c r="N1487" t="s">
        <v>197</v>
      </c>
      <c r="O1487" t="s">
        <v>152</v>
      </c>
      <c r="P1487">
        <v>75</v>
      </c>
      <c r="Q1487" t="s">
        <v>154</v>
      </c>
    </row>
    <row r="1488" spans="1:17" x14ac:dyDescent="0.2">
      <c r="A1488">
        <v>990950</v>
      </c>
      <c r="B1488">
        <v>1948</v>
      </c>
      <c r="C1488" s="1" t="s">
        <v>99</v>
      </c>
      <c r="D1488" s="11">
        <v>45101.008333333331</v>
      </c>
      <c r="E1488" t="s">
        <v>191</v>
      </c>
      <c r="F1488" t="s">
        <v>39</v>
      </c>
      <c r="G1488">
        <v>2414</v>
      </c>
      <c r="H1488" s="5" t="s">
        <v>99</v>
      </c>
      <c r="I1488" s="15">
        <v>45101</v>
      </c>
      <c r="J1488" s="15" t="s">
        <v>233</v>
      </c>
      <c r="K1488" s="6">
        <v>0.5083333333333333</v>
      </c>
      <c r="L1488" t="s">
        <v>146</v>
      </c>
      <c r="M1488">
        <v>100000</v>
      </c>
      <c r="N1488" t="s">
        <v>212</v>
      </c>
      <c r="O1488" t="s">
        <v>152</v>
      </c>
      <c r="P1488">
        <v>79</v>
      </c>
      <c r="Q1488" t="s">
        <v>157</v>
      </c>
    </row>
    <row r="1489" spans="1:17" x14ac:dyDescent="0.2">
      <c r="A1489">
        <v>991491</v>
      </c>
      <c r="B1489">
        <v>1789</v>
      </c>
      <c r="C1489" s="1" t="s">
        <v>109</v>
      </c>
      <c r="D1489" s="11">
        <v>45239.986805555556</v>
      </c>
      <c r="E1489" t="s">
        <v>98</v>
      </c>
      <c r="F1489" t="s">
        <v>9</v>
      </c>
      <c r="G1489">
        <v>5990</v>
      </c>
      <c r="H1489" s="5" t="s">
        <v>109</v>
      </c>
      <c r="I1489" s="15">
        <v>45239</v>
      </c>
      <c r="J1489" s="15" t="s">
        <v>295</v>
      </c>
      <c r="K1489" s="6">
        <v>0.48680555555555555</v>
      </c>
      <c r="L1489" t="s">
        <v>144</v>
      </c>
      <c r="M1489">
        <v>150000</v>
      </c>
      <c r="N1489" t="s">
        <v>202</v>
      </c>
      <c r="O1489" t="s">
        <v>152</v>
      </c>
      <c r="P1489">
        <v>35</v>
      </c>
      <c r="Q1489" t="s">
        <v>157</v>
      </c>
    </row>
    <row r="1490" spans="1:17" x14ac:dyDescent="0.2">
      <c r="A1490">
        <v>991744</v>
      </c>
      <c r="B1490">
        <v>303</v>
      </c>
      <c r="C1490" s="1" t="s">
        <v>113</v>
      </c>
      <c r="D1490" s="11">
        <v>45216.103472222225</v>
      </c>
      <c r="E1490" t="s">
        <v>96</v>
      </c>
      <c r="F1490" t="s">
        <v>32</v>
      </c>
      <c r="G1490">
        <v>6212</v>
      </c>
      <c r="H1490" s="5" t="s">
        <v>113</v>
      </c>
      <c r="I1490" s="15">
        <v>45216</v>
      </c>
      <c r="J1490" s="15" t="s">
        <v>295</v>
      </c>
      <c r="K1490" s="6">
        <v>0.10347222222222222</v>
      </c>
      <c r="L1490" t="s">
        <v>145</v>
      </c>
      <c r="M1490">
        <v>80000</v>
      </c>
      <c r="N1490" t="s">
        <v>217</v>
      </c>
      <c r="O1490" t="s">
        <v>152</v>
      </c>
      <c r="P1490">
        <v>73</v>
      </c>
      <c r="Q1490" t="s">
        <v>154</v>
      </c>
    </row>
    <row r="1491" spans="1:17" x14ac:dyDescent="0.2">
      <c r="A1491">
        <v>992007</v>
      </c>
      <c r="B1491">
        <v>576</v>
      </c>
      <c r="C1491" s="1" t="s">
        <v>99</v>
      </c>
      <c r="D1491" s="11">
        <v>45140.997916666667</v>
      </c>
      <c r="E1491" t="s">
        <v>97</v>
      </c>
      <c r="F1491" t="s">
        <v>41</v>
      </c>
      <c r="G1491">
        <v>839</v>
      </c>
      <c r="H1491" s="5" t="s">
        <v>99</v>
      </c>
      <c r="I1491" s="15">
        <v>45140</v>
      </c>
      <c r="J1491" s="15" t="s">
        <v>234</v>
      </c>
      <c r="K1491" s="6">
        <v>0.49791666666666667</v>
      </c>
      <c r="L1491" t="s">
        <v>145</v>
      </c>
      <c r="M1491">
        <v>150000</v>
      </c>
      <c r="N1491" t="s">
        <v>203</v>
      </c>
      <c r="O1491" t="s">
        <v>151</v>
      </c>
      <c r="P1491">
        <v>47</v>
      </c>
      <c r="Q1491" t="s">
        <v>155</v>
      </c>
    </row>
    <row r="1492" spans="1:17" x14ac:dyDescent="0.2">
      <c r="A1492">
        <v>992535</v>
      </c>
      <c r="B1492">
        <v>1239</v>
      </c>
      <c r="C1492" s="1" t="s">
        <v>105</v>
      </c>
      <c r="D1492" s="11">
        <v>44938.954861111109</v>
      </c>
      <c r="E1492" t="s">
        <v>96</v>
      </c>
      <c r="F1492" t="s">
        <v>26</v>
      </c>
      <c r="G1492">
        <v>2549</v>
      </c>
      <c r="H1492" s="5" t="s">
        <v>105</v>
      </c>
      <c r="I1492" s="15">
        <v>44938</v>
      </c>
      <c r="J1492" s="15" t="s">
        <v>232</v>
      </c>
      <c r="K1492" s="6">
        <v>0.4548611111111111</v>
      </c>
      <c r="L1492" t="s">
        <v>145</v>
      </c>
      <c r="M1492">
        <v>100000</v>
      </c>
      <c r="N1492" t="s">
        <v>210</v>
      </c>
      <c r="O1492" t="s">
        <v>152</v>
      </c>
      <c r="P1492">
        <v>86</v>
      </c>
      <c r="Q1492" t="s">
        <v>156</v>
      </c>
    </row>
    <row r="1493" spans="1:17" x14ac:dyDescent="0.2">
      <c r="A1493">
        <v>993121</v>
      </c>
      <c r="B1493">
        <v>864</v>
      </c>
      <c r="C1493" s="1" t="s">
        <v>99</v>
      </c>
      <c r="D1493" s="11">
        <v>45054.99722222222</v>
      </c>
      <c r="E1493" t="s">
        <v>96</v>
      </c>
      <c r="F1493" t="s">
        <v>27</v>
      </c>
      <c r="G1493">
        <v>4384</v>
      </c>
      <c r="H1493" s="5" t="s">
        <v>99</v>
      </c>
      <c r="I1493" s="15">
        <v>45054</v>
      </c>
      <c r="J1493" s="15" t="s">
        <v>233</v>
      </c>
      <c r="K1493" s="6">
        <v>0.49722222222222223</v>
      </c>
      <c r="L1493" t="s">
        <v>142</v>
      </c>
      <c r="M1493">
        <v>1000000</v>
      </c>
      <c r="N1493" t="s">
        <v>209</v>
      </c>
      <c r="O1493" t="s">
        <v>152</v>
      </c>
      <c r="P1493">
        <v>78</v>
      </c>
      <c r="Q1493" t="s">
        <v>155</v>
      </c>
    </row>
    <row r="1494" spans="1:17" x14ac:dyDescent="0.2">
      <c r="A1494">
        <v>993369</v>
      </c>
      <c r="B1494">
        <v>1454</v>
      </c>
      <c r="C1494" s="1" t="s">
        <v>105</v>
      </c>
      <c r="D1494" s="11">
        <v>45150.031944444447</v>
      </c>
      <c r="E1494" t="s">
        <v>96</v>
      </c>
      <c r="F1494" t="s">
        <v>81</v>
      </c>
      <c r="G1494">
        <v>8577</v>
      </c>
      <c r="H1494" s="5" t="s">
        <v>105</v>
      </c>
      <c r="I1494" s="15">
        <v>45150</v>
      </c>
      <c r="J1494" s="15" t="s">
        <v>234</v>
      </c>
      <c r="K1494" s="6">
        <v>0.53194444444444444</v>
      </c>
      <c r="L1494" t="s">
        <v>143</v>
      </c>
      <c r="M1494">
        <v>250000</v>
      </c>
      <c r="N1494" t="s">
        <v>221</v>
      </c>
      <c r="O1494" t="s">
        <v>152</v>
      </c>
      <c r="P1494">
        <v>71</v>
      </c>
      <c r="Q1494" t="s">
        <v>156</v>
      </c>
    </row>
    <row r="1495" spans="1:17" x14ac:dyDescent="0.2">
      <c r="A1495">
        <v>993889</v>
      </c>
      <c r="B1495">
        <v>562</v>
      </c>
      <c r="C1495" s="1" t="s">
        <v>106</v>
      </c>
      <c r="D1495" s="11">
        <v>45006.98333333333</v>
      </c>
      <c r="E1495" t="s">
        <v>96</v>
      </c>
      <c r="F1495" t="s">
        <v>50</v>
      </c>
      <c r="G1495">
        <v>2862</v>
      </c>
      <c r="H1495" s="5" t="s">
        <v>106</v>
      </c>
      <c r="I1495" s="15">
        <v>45006</v>
      </c>
      <c r="J1495" s="15" t="s">
        <v>232</v>
      </c>
      <c r="K1495" s="6">
        <v>0.48333333333333334</v>
      </c>
      <c r="L1495" t="s">
        <v>143</v>
      </c>
      <c r="M1495">
        <v>30000</v>
      </c>
      <c r="N1495" t="s">
        <v>223</v>
      </c>
      <c r="O1495" t="s">
        <v>152</v>
      </c>
      <c r="P1495">
        <v>75</v>
      </c>
      <c r="Q1495" t="s">
        <v>155</v>
      </c>
    </row>
    <row r="1496" spans="1:17" x14ac:dyDescent="0.2">
      <c r="A1496">
        <v>993964</v>
      </c>
      <c r="B1496">
        <v>1143</v>
      </c>
      <c r="C1496" s="1" t="s">
        <v>107</v>
      </c>
      <c r="D1496" s="11">
        <v>45288.999305555553</v>
      </c>
      <c r="E1496" t="s">
        <v>191</v>
      </c>
      <c r="F1496" t="s">
        <v>5</v>
      </c>
      <c r="G1496">
        <v>8644</v>
      </c>
      <c r="H1496" s="5" t="s">
        <v>107</v>
      </c>
      <c r="I1496" s="15">
        <v>45288</v>
      </c>
      <c r="J1496" s="15" t="s">
        <v>295</v>
      </c>
      <c r="K1496" s="6">
        <v>0.49930555555555556</v>
      </c>
      <c r="L1496" t="s">
        <v>143</v>
      </c>
      <c r="M1496">
        <v>200000</v>
      </c>
      <c r="N1496" t="s">
        <v>198</v>
      </c>
      <c r="O1496" t="s">
        <v>151</v>
      </c>
      <c r="P1496">
        <v>59</v>
      </c>
      <c r="Q1496" t="s">
        <v>156</v>
      </c>
    </row>
    <row r="1497" spans="1:17" x14ac:dyDescent="0.2">
      <c r="A1497">
        <v>995268</v>
      </c>
      <c r="B1497">
        <v>1434</v>
      </c>
      <c r="C1497" s="1" t="s">
        <v>99</v>
      </c>
      <c r="D1497" s="11">
        <v>45080.020138888889</v>
      </c>
      <c r="E1497" t="s">
        <v>98</v>
      </c>
      <c r="F1497" t="s">
        <v>46</v>
      </c>
      <c r="G1497">
        <v>3688</v>
      </c>
      <c r="H1497" s="5" t="s">
        <v>99</v>
      </c>
      <c r="I1497" s="15">
        <v>45080</v>
      </c>
      <c r="J1497" s="15" t="s">
        <v>233</v>
      </c>
      <c r="K1497" s="6">
        <v>0.52013888888888893</v>
      </c>
      <c r="L1497" t="s">
        <v>142</v>
      </c>
      <c r="M1497">
        <v>200000</v>
      </c>
      <c r="N1497" t="s">
        <v>211</v>
      </c>
      <c r="O1497" t="s">
        <v>152</v>
      </c>
      <c r="P1497">
        <v>65</v>
      </c>
      <c r="Q1497" t="s">
        <v>156</v>
      </c>
    </row>
    <row r="1498" spans="1:17" x14ac:dyDescent="0.2">
      <c r="A1498">
        <v>995410</v>
      </c>
      <c r="B1498">
        <v>1355</v>
      </c>
      <c r="C1498" s="1" t="s">
        <v>105</v>
      </c>
      <c r="D1498" s="11">
        <v>45045.041666666664</v>
      </c>
      <c r="E1498" t="s">
        <v>98</v>
      </c>
      <c r="F1498" t="s">
        <v>82</v>
      </c>
      <c r="G1498">
        <v>114</v>
      </c>
      <c r="H1498" s="5" t="s">
        <v>105</v>
      </c>
      <c r="I1498" s="15">
        <v>45045</v>
      </c>
      <c r="J1498" s="15" t="s">
        <v>233</v>
      </c>
      <c r="K1498" s="6">
        <v>4.1666666666666664E-2</v>
      </c>
      <c r="L1498" t="s">
        <v>142</v>
      </c>
      <c r="M1498">
        <v>100000</v>
      </c>
      <c r="N1498" t="s">
        <v>209</v>
      </c>
      <c r="O1498" t="s">
        <v>151</v>
      </c>
      <c r="P1498">
        <v>83</v>
      </c>
      <c r="Q1498" t="s">
        <v>156</v>
      </c>
    </row>
    <row r="1499" spans="1:17" x14ac:dyDescent="0.2">
      <c r="A1499">
        <v>996729</v>
      </c>
      <c r="B1499">
        <v>1416</v>
      </c>
      <c r="C1499" s="1" t="s">
        <v>99</v>
      </c>
      <c r="D1499" s="11">
        <v>45015.01666666667</v>
      </c>
      <c r="E1499" t="s">
        <v>98</v>
      </c>
      <c r="F1499" t="s">
        <v>17</v>
      </c>
      <c r="G1499">
        <v>3726</v>
      </c>
      <c r="H1499" s="5" t="s">
        <v>99</v>
      </c>
      <c r="I1499" s="15">
        <v>45015</v>
      </c>
      <c r="J1499" s="15" t="s">
        <v>232</v>
      </c>
      <c r="K1499" s="6">
        <v>0.51666666666666672</v>
      </c>
      <c r="L1499" t="s">
        <v>142</v>
      </c>
      <c r="M1499">
        <v>100000</v>
      </c>
      <c r="N1499" t="s">
        <v>209</v>
      </c>
      <c r="O1499" t="s">
        <v>152</v>
      </c>
      <c r="P1499">
        <v>84</v>
      </c>
      <c r="Q1499" t="s">
        <v>156</v>
      </c>
    </row>
    <row r="1500" spans="1:17" x14ac:dyDescent="0.2">
      <c r="A1500">
        <v>996929</v>
      </c>
      <c r="B1500">
        <v>1209</v>
      </c>
      <c r="C1500" s="1" t="s">
        <v>102</v>
      </c>
      <c r="D1500" s="11">
        <v>45073.034722222219</v>
      </c>
      <c r="E1500" t="s">
        <v>191</v>
      </c>
      <c r="F1500" t="s">
        <v>11</v>
      </c>
      <c r="G1500">
        <v>3144</v>
      </c>
      <c r="H1500" s="5" t="s">
        <v>102</v>
      </c>
      <c r="I1500" s="15">
        <v>45073</v>
      </c>
      <c r="J1500" s="15" t="s">
        <v>233</v>
      </c>
      <c r="K1500" s="6">
        <v>0.53472222222222221</v>
      </c>
      <c r="L1500" t="s">
        <v>143</v>
      </c>
      <c r="M1500">
        <v>150000</v>
      </c>
      <c r="N1500" t="s">
        <v>204</v>
      </c>
      <c r="O1500" t="s">
        <v>151</v>
      </c>
      <c r="P1500">
        <v>38</v>
      </c>
      <c r="Q1500" t="s">
        <v>156</v>
      </c>
    </row>
    <row r="1501" spans="1:17" x14ac:dyDescent="0.2">
      <c r="A1501">
        <v>997669</v>
      </c>
      <c r="B1501">
        <v>475</v>
      </c>
      <c r="C1501" s="1" t="s">
        <v>99</v>
      </c>
      <c r="D1501" s="11">
        <v>44948.97152777778</v>
      </c>
      <c r="E1501" t="s">
        <v>97</v>
      </c>
      <c r="F1501" t="s">
        <v>44</v>
      </c>
      <c r="G1501">
        <v>4684</v>
      </c>
      <c r="H1501" s="5" t="s">
        <v>99</v>
      </c>
      <c r="I1501" s="15">
        <v>44948</v>
      </c>
      <c r="J1501" s="15" t="s">
        <v>232</v>
      </c>
      <c r="K1501" s="6">
        <v>0.47152777777777777</v>
      </c>
      <c r="L1501" t="s">
        <v>144</v>
      </c>
      <c r="M1501">
        <v>150000</v>
      </c>
      <c r="N1501" t="s">
        <v>199</v>
      </c>
      <c r="O1501" t="s">
        <v>152</v>
      </c>
      <c r="P1501">
        <v>51</v>
      </c>
      <c r="Q1501" t="s">
        <v>154</v>
      </c>
    </row>
    <row r="1502" spans="1:17" x14ac:dyDescent="0.2">
      <c r="A1502">
        <v>998784</v>
      </c>
      <c r="B1502">
        <v>30</v>
      </c>
      <c r="C1502" s="1" t="s">
        <v>100</v>
      </c>
      <c r="D1502" s="11">
        <v>45054.025000000001</v>
      </c>
      <c r="E1502" t="s">
        <v>96</v>
      </c>
      <c r="F1502" t="s">
        <v>78</v>
      </c>
      <c r="G1502">
        <v>3801</v>
      </c>
      <c r="H1502" s="5" t="s">
        <v>100</v>
      </c>
      <c r="I1502" s="15">
        <v>45054</v>
      </c>
      <c r="J1502" s="15" t="s">
        <v>233</v>
      </c>
      <c r="K1502" s="6">
        <v>0.52500000000000002</v>
      </c>
      <c r="L1502" t="s">
        <v>143</v>
      </c>
      <c r="M1502">
        <v>200000</v>
      </c>
      <c r="N1502" t="s">
        <v>215</v>
      </c>
      <c r="O1502" t="s">
        <v>152</v>
      </c>
      <c r="P1502">
        <v>72</v>
      </c>
      <c r="Q1502" t="s">
        <v>154</v>
      </c>
    </row>
    <row r="1503" spans="1:17" x14ac:dyDescent="0.2">
      <c r="A1503">
        <v>998926</v>
      </c>
      <c r="B1503">
        <v>1677</v>
      </c>
      <c r="C1503" s="1" t="s">
        <v>107</v>
      </c>
      <c r="D1503" s="11">
        <v>45143.061805555553</v>
      </c>
      <c r="E1503" t="s">
        <v>97</v>
      </c>
      <c r="F1503" t="s">
        <v>27</v>
      </c>
      <c r="G1503">
        <v>9356</v>
      </c>
      <c r="H1503" s="5" t="s">
        <v>107</v>
      </c>
      <c r="I1503" s="15">
        <v>45143</v>
      </c>
      <c r="J1503" s="15" t="s">
        <v>234</v>
      </c>
      <c r="K1503" s="6">
        <v>6.1805555555555558E-2</v>
      </c>
      <c r="L1503" t="s">
        <v>142</v>
      </c>
      <c r="M1503">
        <v>1000000</v>
      </c>
      <c r="N1503" t="s">
        <v>209</v>
      </c>
      <c r="O1503" t="s">
        <v>152</v>
      </c>
      <c r="P1503">
        <v>51</v>
      </c>
      <c r="Q1503" t="s">
        <v>157</v>
      </c>
    </row>
    <row r="1504" spans="1:17" x14ac:dyDescent="0.2">
      <c r="A1504">
        <v>999060</v>
      </c>
      <c r="B1504">
        <v>773</v>
      </c>
      <c r="C1504" s="1" t="s">
        <v>99</v>
      </c>
      <c r="D1504" s="11">
        <v>45063.038888888892</v>
      </c>
      <c r="E1504" t="s">
        <v>191</v>
      </c>
      <c r="F1504" t="s">
        <v>59</v>
      </c>
      <c r="G1504">
        <v>2259</v>
      </c>
      <c r="H1504" s="5" t="s">
        <v>99</v>
      </c>
      <c r="I1504" s="15">
        <v>45063</v>
      </c>
      <c r="J1504" s="15" t="s">
        <v>233</v>
      </c>
      <c r="K1504" s="6">
        <v>0.53888888888888886</v>
      </c>
      <c r="L1504" t="s">
        <v>144</v>
      </c>
      <c r="M1504">
        <v>80000</v>
      </c>
      <c r="N1504" t="s">
        <v>224</v>
      </c>
      <c r="O1504" t="s">
        <v>151</v>
      </c>
      <c r="P1504">
        <v>77</v>
      </c>
      <c r="Q1504" t="s">
        <v>155</v>
      </c>
    </row>
    <row r="1505" spans="1:17" x14ac:dyDescent="0.2">
      <c r="A1505">
        <v>999352</v>
      </c>
      <c r="B1505">
        <v>214</v>
      </c>
      <c r="C1505" s="1" t="s">
        <v>99</v>
      </c>
      <c r="D1505" s="11">
        <v>45267.991666666669</v>
      </c>
      <c r="E1505" t="s">
        <v>98</v>
      </c>
      <c r="F1505" t="s">
        <v>87</v>
      </c>
      <c r="G1505">
        <v>8616</v>
      </c>
      <c r="H1505" s="5" t="s">
        <v>99</v>
      </c>
      <c r="I1505" s="15">
        <v>45267</v>
      </c>
      <c r="J1505" s="15" t="s">
        <v>295</v>
      </c>
      <c r="K1505" s="6">
        <v>0.49166666666666664</v>
      </c>
      <c r="L1505" t="s">
        <v>144</v>
      </c>
      <c r="M1505">
        <v>100000</v>
      </c>
      <c r="N1505" t="s">
        <v>216</v>
      </c>
      <c r="O1505" t="s">
        <v>152</v>
      </c>
      <c r="P1505">
        <v>18</v>
      </c>
      <c r="Q1505" t="s">
        <v>154</v>
      </c>
    </row>
    <row r="1506" spans="1:17" x14ac:dyDescent="0.2">
      <c r="A1506">
        <v>999621</v>
      </c>
      <c r="B1506">
        <v>1643</v>
      </c>
      <c r="C1506" s="1" t="s">
        <v>101</v>
      </c>
      <c r="D1506" s="11">
        <v>45138.015972222223</v>
      </c>
      <c r="E1506" t="s">
        <v>98</v>
      </c>
      <c r="F1506" t="s">
        <v>74</v>
      </c>
      <c r="G1506">
        <v>4264</v>
      </c>
      <c r="H1506" s="5" t="s">
        <v>101</v>
      </c>
      <c r="I1506" s="15">
        <v>45138</v>
      </c>
      <c r="J1506" s="15" t="s">
        <v>234</v>
      </c>
      <c r="K1506" s="6">
        <v>0.51597222222222228</v>
      </c>
      <c r="L1506" t="s">
        <v>145</v>
      </c>
      <c r="M1506">
        <v>150000</v>
      </c>
      <c r="N1506" t="s">
        <v>226</v>
      </c>
      <c r="O1506" t="s">
        <v>152</v>
      </c>
      <c r="P1506">
        <v>29</v>
      </c>
      <c r="Q1506" t="s">
        <v>157</v>
      </c>
    </row>
    <row r="1507" spans="1:17" x14ac:dyDescent="0.2">
      <c r="A1507">
        <v>1000209</v>
      </c>
      <c r="B1507">
        <v>240</v>
      </c>
      <c r="C1507" s="1" t="s">
        <v>99</v>
      </c>
      <c r="D1507" s="11">
        <v>45160.041666666664</v>
      </c>
      <c r="E1507" t="s">
        <v>97</v>
      </c>
      <c r="F1507" t="s">
        <v>88</v>
      </c>
      <c r="G1507">
        <v>3641</v>
      </c>
      <c r="H1507" s="5" t="s">
        <v>99</v>
      </c>
      <c r="I1507" s="15">
        <v>45160</v>
      </c>
      <c r="J1507" s="15" t="s">
        <v>234</v>
      </c>
      <c r="K1507" s="6">
        <v>4.1666666666666664E-2</v>
      </c>
      <c r="L1507" t="s">
        <v>144</v>
      </c>
      <c r="M1507">
        <v>100000</v>
      </c>
      <c r="N1507" t="s">
        <v>200</v>
      </c>
      <c r="O1507" t="s">
        <v>151</v>
      </c>
      <c r="P1507">
        <v>63</v>
      </c>
      <c r="Q1507" t="s">
        <v>154</v>
      </c>
    </row>
    <row r="1508" spans="1:17" x14ac:dyDescent="0.2">
      <c r="A1508">
        <v>1000225</v>
      </c>
      <c r="B1508">
        <v>1329</v>
      </c>
      <c r="C1508" s="1" t="s">
        <v>99</v>
      </c>
      <c r="D1508" s="11">
        <v>45163.961111111108</v>
      </c>
      <c r="E1508" t="s">
        <v>98</v>
      </c>
      <c r="F1508" t="s">
        <v>69</v>
      </c>
      <c r="G1508">
        <v>3066</v>
      </c>
      <c r="H1508" s="5" t="s">
        <v>99</v>
      </c>
      <c r="I1508" s="15">
        <v>45163</v>
      </c>
      <c r="J1508" s="15" t="s">
        <v>234</v>
      </c>
      <c r="K1508" s="6">
        <v>0.46111111111111114</v>
      </c>
      <c r="L1508" t="s">
        <v>146</v>
      </c>
      <c r="M1508">
        <v>250000</v>
      </c>
      <c r="N1508" t="s">
        <v>225</v>
      </c>
      <c r="O1508" t="s">
        <v>151</v>
      </c>
      <c r="P1508">
        <v>62</v>
      </c>
      <c r="Q1508" t="s">
        <v>156</v>
      </c>
    </row>
    <row r="1509" spans="1:17" x14ac:dyDescent="0.2">
      <c r="A1509">
        <v>1000578</v>
      </c>
      <c r="B1509">
        <v>1344</v>
      </c>
      <c r="C1509" s="1" t="s">
        <v>105</v>
      </c>
      <c r="D1509" s="11">
        <v>45070.980555555558</v>
      </c>
      <c r="E1509" t="s">
        <v>97</v>
      </c>
      <c r="F1509" t="s">
        <v>89</v>
      </c>
      <c r="G1509">
        <v>2515</v>
      </c>
      <c r="H1509" s="5" t="s">
        <v>105</v>
      </c>
      <c r="I1509" s="15">
        <v>45070</v>
      </c>
      <c r="J1509" s="15" t="s">
        <v>233</v>
      </c>
      <c r="K1509" s="6">
        <v>0.48055555555555557</v>
      </c>
      <c r="L1509" t="s">
        <v>144</v>
      </c>
      <c r="M1509">
        <v>150000</v>
      </c>
      <c r="N1509" t="s">
        <v>218</v>
      </c>
      <c r="O1509" t="s">
        <v>151</v>
      </c>
      <c r="P1509">
        <v>40</v>
      </c>
      <c r="Q1509" t="s">
        <v>156</v>
      </c>
    </row>
    <row r="1510" spans="1:17" x14ac:dyDescent="0.2">
      <c r="A1510">
        <v>1000651</v>
      </c>
      <c r="B1510">
        <v>1883</v>
      </c>
      <c r="C1510" s="1" t="s">
        <v>99</v>
      </c>
      <c r="D1510" s="11">
        <v>45010.949305555558</v>
      </c>
      <c r="E1510" t="s">
        <v>191</v>
      </c>
      <c r="F1510" t="s">
        <v>27</v>
      </c>
      <c r="G1510">
        <v>1594</v>
      </c>
      <c r="H1510" s="5" t="s">
        <v>99</v>
      </c>
      <c r="I1510" s="15">
        <v>45010</v>
      </c>
      <c r="J1510" s="15" t="s">
        <v>232</v>
      </c>
      <c r="K1510" s="6">
        <v>0.44930555555555557</v>
      </c>
      <c r="L1510" t="s">
        <v>142</v>
      </c>
      <c r="M1510">
        <v>1000000</v>
      </c>
      <c r="N1510" t="s">
        <v>209</v>
      </c>
      <c r="O1510" t="s">
        <v>151</v>
      </c>
      <c r="P1510">
        <v>20</v>
      </c>
      <c r="Q1510" t="s">
        <v>157</v>
      </c>
    </row>
    <row r="1511" spans="1:17" x14ac:dyDescent="0.2">
      <c r="A1511">
        <v>1001243</v>
      </c>
      <c r="B1511">
        <v>318</v>
      </c>
      <c r="C1511" s="1" t="s">
        <v>113</v>
      </c>
      <c r="D1511" s="11">
        <v>45062.05</v>
      </c>
      <c r="E1511" t="s">
        <v>191</v>
      </c>
      <c r="F1511" t="s">
        <v>25</v>
      </c>
      <c r="G1511">
        <v>3114</v>
      </c>
      <c r="H1511" s="5" t="s">
        <v>113</v>
      </c>
      <c r="I1511" s="15">
        <v>45062</v>
      </c>
      <c r="J1511" s="15" t="s">
        <v>233</v>
      </c>
      <c r="K1511" s="6">
        <v>0.05</v>
      </c>
      <c r="L1511" t="s">
        <v>142</v>
      </c>
      <c r="M1511">
        <v>100000</v>
      </c>
      <c r="N1511" t="s">
        <v>201</v>
      </c>
      <c r="O1511" t="s">
        <v>152</v>
      </c>
      <c r="P1511">
        <v>35</v>
      </c>
      <c r="Q1511" t="s">
        <v>154</v>
      </c>
    </row>
    <row r="1512" spans="1:17" x14ac:dyDescent="0.2">
      <c r="A1512">
        <v>1001621</v>
      </c>
      <c r="B1512">
        <v>1506</v>
      </c>
      <c r="C1512" s="1" t="s">
        <v>99</v>
      </c>
      <c r="D1512" s="11">
        <v>45268.03125</v>
      </c>
      <c r="E1512" t="s">
        <v>97</v>
      </c>
      <c r="F1512" t="s">
        <v>81</v>
      </c>
      <c r="G1512">
        <v>9768</v>
      </c>
      <c r="H1512" s="5" t="s">
        <v>99</v>
      </c>
      <c r="I1512" s="15">
        <v>45268</v>
      </c>
      <c r="J1512" s="15" t="s">
        <v>295</v>
      </c>
      <c r="K1512" s="6">
        <v>0.53125</v>
      </c>
      <c r="L1512" t="s">
        <v>143</v>
      </c>
      <c r="M1512">
        <v>250000</v>
      </c>
      <c r="N1512" t="s">
        <v>221</v>
      </c>
      <c r="O1512" t="s">
        <v>151</v>
      </c>
      <c r="P1512">
        <v>18</v>
      </c>
      <c r="Q1512" t="s">
        <v>157</v>
      </c>
    </row>
    <row r="1513" spans="1:17" x14ac:dyDescent="0.2">
      <c r="A1513">
        <v>1001825</v>
      </c>
      <c r="B1513">
        <v>1304</v>
      </c>
      <c r="C1513" s="1" t="s">
        <v>107</v>
      </c>
      <c r="D1513" s="11">
        <v>45078.960416666669</v>
      </c>
      <c r="E1513" t="s">
        <v>98</v>
      </c>
      <c r="F1513" t="s">
        <v>5</v>
      </c>
      <c r="G1513">
        <v>7174</v>
      </c>
      <c r="H1513" s="5" t="s">
        <v>107</v>
      </c>
      <c r="I1513" s="15">
        <v>45078</v>
      </c>
      <c r="J1513" s="15" t="s">
        <v>233</v>
      </c>
      <c r="K1513" s="6">
        <v>0.46041666666666664</v>
      </c>
      <c r="L1513" t="s">
        <v>143</v>
      </c>
      <c r="M1513">
        <v>200000</v>
      </c>
      <c r="N1513" t="s">
        <v>198</v>
      </c>
      <c r="O1513" t="s">
        <v>152</v>
      </c>
      <c r="P1513">
        <v>18</v>
      </c>
      <c r="Q1513" t="s">
        <v>156</v>
      </c>
    </row>
    <row r="1514" spans="1:17" x14ac:dyDescent="0.2">
      <c r="A1514">
        <v>1003235</v>
      </c>
      <c r="B1514">
        <v>1435</v>
      </c>
      <c r="C1514" s="1" t="s">
        <v>100</v>
      </c>
      <c r="D1514" s="11">
        <v>45021.098611111112</v>
      </c>
      <c r="E1514" t="s">
        <v>191</v>
      </c>
      <c r="F1514" t="s">
        <v>7</v>
      </c>
      <c r="G1514">
        <v>9029</v>
      </c>
      <c r="H1514" s="5" t="s">
        <v>100</v>
      </c>
      <c r="I1514" s="15">
        <v>45021</v>
      </c>
      <c r="J1514" s="15" t="s">
        <v>233</v>
      </c>
      <c r="K1514" s="6">
        <v>9.8611111111111108E-2</v>
      </c>
      <c r="L1514" t="s">
        <v>144</v>
      </c>
      <c r="M1514">
        <v>150000</v>
      </c>
      <c r="N1514" t="s">
        <v>200</v>
      </c>
      <c r="O1514" t="s">
        <v>152</v>
      </c>
      <c r="P1514">
        <v>45</v>
      </c>
      <c r="Q1514" t="s">
        <v>156</v>
      </c>
    </row>
    <row r="1515" spans="1:17" x14ac:dyDescent="0.2">
      <c r="A1515">
        <v>1003833</v>
      </c>
      <c r="B1515">
        <v>1270</v>
      </c>
      <c r="C1515" s="1" t="s">
        <v>99</v>
      </c>
      <c r="D1515" s="11">
        <v>44999.984027777777</v>
      </c>
      <c r="E1515" t="s">
        <v>97</v>
      </c>
      <c r="F1515" t="s">
        <v>27</v>
      </c>
      <c r="G1515">
        <v>5170</v>
      </c>
      <c r="H1515" s="5" t="s">
        <v>99</v>
      </c>
      <c r="I1515" s="15">
        <v>44999</v>
      </c>
      <c r="J1515" s="15" t="s">
        <v>232</v>
      </c>
      <c r="K1515" s="6">
        <v>0.48402777777777778</v>
      </c>
      <c r="L1515" t="s">
        <v>142</v>
      </c>
      <c r="M1515">
        <v>1000000</v>
      </c>
      <c r="N1515" t="s">
        <v>209</v>
      </c>
      <c r="O1515" t="s">
        <v>151</v>
      </c>
      <c r="P1515">
        <v>48</v>
      </c>
      <c r="Q1515" t="s">
        <v>156</v>
      </c>
    </row>
    <row r="1516" spans="1:17" x14ac:dyDescent="0.2">
      <c r="A1516">
        <v>1004136</v>
      </c>
      <c r="B1516">
        <v>305</v>
      </c>
      <c r="C1516" s="1" t="s">
        <v>101</v>
      </c>
      <c r="D1516" s="11">
        <v>45041.988888888889</v>
      </c>
      <c r="E1516" t="s">
        <v>191</v>
      </c>
      <c r="F1516" t="s">
        <v>65</v>
      </c>
      <c r="G1516">
        <v>4465</v>
      </c>
      <c r="H1516" s="5" t="s">
        <v>101</v>
      </c>
      <c r="I1516" s="15">
        <v>45041</v>
      </c>
      <c r="J1516" s="15" t="s">
        <v>233</v>
      </c>
      <c r="K1516" s="6">
        <v>0.48888888888888887</v>
      </c>
      <c r="L1516" t="s">
        <v>146</v>
      </c>
      <c r="M1516">
        <v>200000</v>
      </c>
      <c r="N1516" t="s">
        <v>225</v>
      </c>
      <c r="O1516" t="s">
        <v>152</v>
      </c>
      <c r="P1516">
        <v>58</v>
      </c>
      <c r="Q1516" t="s">
        <v>154</v>
      </c>
    </row>
    <row r="1517" spans="1:17" x14ac:dyDescent="0.2">
      <c r="A1517">
        <v>1004148</v>
      </c>
      <c r="B1517">
        <v>9</v>
      </c>
      <c r="C1517" s="1" t="s">
        <v>100</v>
      </c>
      <c r="D1517" s="11">
        <v>45200.043749999997</v>
      </c>
      <c r="E1517" t="s">
        <v>191</v>
      </c>
      <c r="F1517" t="s">
        <v>24</v>
      </c>
      <c r="G1517">
        <v>9670</v>
      </c>
      <c r="H1517" s="5" t="s">
        <v>100</v>
      </c>
      <c r="I1517" s="15">
        <v>45200</v>
      </c>
      <c r="J1517" s="15" t="s">
        <v>295</v>
      </c>
      <c r="K1517" s="6">
        <v>4.3749999999999997E-2</v>
      </c>
      <c r="L1517" t="s">
        <v>143</v>
      </c>
      <c r="M1517">
        <v>200000</v>
      </c>
      <c r="N1517" t="s">
        <v>214</v>
      </c>
      <c r="O1517" t="s">
        <v>152</v>
      </c>
      <c r="P1517">
        <v>75</v>
      </c>
      <c r="Q1517" t="s">
        <v>154</v>
      </c>
    </row>
    <row r="1518" spans="1:17" x14ac:dyDescent="0.2">
      <c r="A1518">
        <v>1004722</v>
      </c>
      <c r="B1518">
        <v>1176</v>
      </c>
      <c r="C1518" s="1" t="s">
        <v>99</v>
      </c>
      <c r="D1518" s="11">
        <v>45081.056250000001</v>
      </c>
      <c r="E1518" t="s">
        <v>191</v>
      </c>
      <c r="F1518" t="s">
        <v>90</v>
      </c>
      <c r="G1518">
        <v>315</v>
      </c>
      <c r="H1518" s="5" t="s">
        <v>99</v>
      </c>
      <c r="I1518" s="15">
        <v>45081</v>
      </c>
      <c r="J1518" s="15" t="s">
        <v>233</v>
      </c>
      <c r="K1518" s="6">
        <v>5.6250000000000001E-2</v>
      </c>
      <c r="L1518" t="s">
        <v>142</v>
      </c>
      <c r="M1518">
        <v>150000</v>
      </c>
      <c r="N1518" t="s">
        <v>208</v>
      </c>
      <c r="O1518" t="s">
        <v>152</v>
      </c>
      <c r="P1518">
        <v>89</v>
      </c>
      <c r="Q1518" t="s">
        <v>156</v>
      </c>
    </row>
    <row r="1519" spans="1:17" x14ac:dyDescent="0.2">
      <c r="A1519">
        <v>1004737</v>
      </c>
      <c r="B1519">
        <v>324</v>
      </c>
      <c r="C1519" s="1" t="s">
        <v>101</v>
      </c>
      <c r="D1519" s="11">
        <v>45144.083333333336</v>
      </c>
      <c r="E1519" t="s">
        <v>96</v>
      </c>
      <c r="F1519" t="s">
        <v>14</v>
      </c>
      <c r="G1519">
        <v>9848</v>
      </c>
      <c r="H1519" s="5" t="s">
        <v>101</v>
      </c>
      <c r="I1519" s="15">
        <v>45144</v>
      </c>
      <c r="J1519" s="15" t="s">
        <v>234</v>
      </c>
      <c r="K1519" s="6">
        <v>8.3333333333333329E-2</v>
      </c>
      <c r="L1519" t="s">
        <v>142</v>
      </c>
      <c r="M1519">
        <v>250000</v>
      </c>
      <c r="N1519" t="s">
        <v>207</v>
      </c>
      <c r="O1519" t="s">
        <v>152</v>
      </c>
      <c r="P1519">
        <v>28</v>
      </c>
      <c r="Q1519" t="s">
        <v>154</v>
      </c>
    </row>
    <row r="1520" spans="1:17" x14ac:dyDescent="0.2">
      <c r="A1520">
        <v>1005091</v>
      </c>
      <c r="B1520">
        <v>750</v>
      </c>
      <c r="C1520" s="1" t="s">
        <v>102</v>
      </c>
      <c r="D1520" s="11">
        <v>45014.97152777778</v>
      </c>
      <c r="E1520" t="s">
        <v>97</v>
      </c>
      <c r="F1520" t="s">
        <v>27</v>
      </c>
      <c r="G1520">
        <v>6680</v>
      </c>
      <c r="H1520" s="5" t="s">
        <v>102</v>
      </c>
      <c r="I1520" s="15">
        <v>45014</v>
      </c>
      <c r="J1520" s="15" t="s">
        <v>232</v>
      </c>
      <c r="K1520" s="6">
        <v>0.47152777777777777</v>
      </c>
      <c r="L1520" t="s">
        <v>142</v>
      </c>
      <c r="M1520">
        <v>1000000</v>
      </c>
      <c r="N1520" t="s">
        <v>209</v>
      </c>
      <c r="O1520" t="s">
        <v>151</v>
      </c>
      <c r="P1520">
        <v>40</v>
      </c>
      <c r="Q1520" t="s">
        <v>155</v>
      </c>
    </row>
    <row r="1521" spans="1:17" x14ac:dyDescent="0.2">
      <c r="A1521">
        <v>1006791</v>
      </c>
      <c r="B1521">
        <v>425</v>
      </c>
      <c r="C1521" s="1" t="s">
        <v>113</v>
      </c>
      <c r="D1521" s="11">
        <v>45125.95208333333</v>
      </c>
      <c r="E1521" t="s">
        <v>98</v>
      </c>
      <c r="F1521" t="s">
        <v>7</v>
      </c>
      <c r="G1521">
        <v>8280</v>
      </c>
      <c r="H1521" s="5" t="s">
        <v>113</v>
      </c>
      <c r="I1521" s="15">
        <v>45125</v>
      </c>
      <c r="J1521" s="15" t="s">
        <v>234</v>
      </c>
      <c r="K1521" s="6">
        <v>0.45208333333333334</v>
      </c>
      <c r="L1521" t="s">
        <v>144</v>
      </c>
      <c r="M1521">
        <v>150000</v>
      </c>
      <c r="N1521" t="s">
        <v>200</v>
      </c>
      <c r="O1521" t="s">
        <v>151</v>
      </c>
      <c r="P1521">
        <v>51</v>
      </c>
      <c r="Q1521" t="s">
        <v>154</v>
      </c>
    </row>
    <row r="1522" spans="1:17" x14ac:dyDescent="0.2">
      <c r="A1522">
        <v>1007141</v>
      </c>
      <c r="B1522">
        <v>50</v>
      </c>
      <c r="C1522" s="1" t="s">
        <v>103</v>
      </c>
      <c r="D1522" s="11">
        <v>45272.925000000003</v>
      </c>
      <c r="E1522" t="s">
        <v>97</v>
      </c>
      <c r="F1522" t="s">
        <v>9</v>
      </c>
      <c r="G1522">
        <v>2689</v>
      </c>
      <c r="H1522" s="5" t="s">
        <v>103</v>
      </c>
      <c r="I1522" s="15">
        <v>45272</v>
      </c>
      <c r="J1522" s="15" t="s">
        <v>295</v>
      </c>
      <c r="K1522" s="6">
        <v>0.42499999999999999</v>
      </c>
      <c r="L1522" t="s">
        <v>144</v>
      </c>
      <c r="M1522">
        <v>150000</v>
      </c>
      <c r="N1522" t="s">
        <v>202</v>
      </c>
      <c r="O1522" t="s">
        <v>152</v>
      </c>
      <c r="P1522">
        <v>83</v>
      </c>
      <c r="Q1522" t="s">
        <v>154</v>
      </c>
    </row>
    <row r="1523" spans="1:17" x14ac:dyDescent="0.2">
      <c r="A1523">
        <v>1007700</v>
      </c>
      <c r="B1523">
        <v>841</v>
      </c>
      <c r="C1523" s="1" t="s">
        <v>99</v>
      </c>
      <c r="D1523" s="11">
        <v>45179.981944444444</v>
      </c>
      <c r="E1523" t="s">
        <v>98</v>
      </c>
      <c r="F1523" t="s">
        <v>48</v>
      </c>
      <c r="G1523">
        <v>7646</v>
      </c>
      <c r="H1523" s="5" t="s">
        <v>99</v>
      </c>
      <c r="I1523" s="15">
        <v>45179</v>
      </c>
      <c r="J1523" s="15" t="s">
        <v>234</v>
      </c>
      <c r="K1523" s="6">
        <v>0.48194444444444445</v>
      </c>
      <c r="L1523" t="s">
        <v>142</v>
      </c>
      <c r="M1523">
        <v>100000</v>
      </c>
      <c r="N1523" t="s">
        <v>209</v>
      </c>
      <c r="O1523" t="s">
        <v>152</v>
      </c>
      <c r="P1523">
        <v>42</v>
      </c>
      <c r="Q1523" t="s">
        <v>155</v>
      </c>
    </row>
    <row r="1524" spans="1:17" x14ac:dyDescent="0.2">
      <c r="A1524">
        <v>1008914</v>
      </c>
      <c r="B1524">
        <v>247</v>
      </c>
      <c r="C1524" s="1" t="s">
        <v>100</v>
      </c>
      <c r="D1524" s="11">
        <v>44999.026388888888</v>
      </c>
      <c r="E1524" t="s">
        <v>98</v>
      </c>
      <c r="F1524" t="s">
        <v>14</v>
      </c>
      <c r="G1524">
        <v>1718</v>
      </c>
      <c r="H1524" s="5" t="s">
        <v>100</v>
      </c>
      <c r="I1524" s="15">
        <v>44999</v>
      </c>
      <c r="J1524" s="15" t="s">
        <v>232</v>
      </c>
      <c r="K1524" s="6">
        <v>0.52638888888888891</v>
      </c>
      <c r="L1524" t="s">
        <v>142</v>
      </c>
      <c r="M1524">
        <v>250000</v>
      </c>
      <c r="N1524" t="s">
        <v>207</v>
      </c>
      <c r="O1524" t="s">
        <v>151</v>
      </c>
      <c r="P1524">
        <v>45</v>
      </c>
      <c r="Q1524" t="s">
        <v>154</v>
      </c>
    </row>
    <row r="1525" spans="1:17" x14ac:dyDescent="0.2">
      <c r="A1525">
        <v>1011917</v>
      </c>
      <c r="B1525">
        <v>1586</v>
      </c>
      <c r="C1525" s="1" t="s">
        <v>100</v>
      </c>
      <c r="D1525" s="11">
        <v>45098.052777777775</v>
      </c>
      <c r="E1525" t="s">
        <v>97</v>
      </c>
      <c r="F1525" t="s">
        <v>61</v>
      </c>
      <c r="G1525">
        <v>498</v>
      </c>
      <c r="H1525" s="5" t="s">
        <v>100</v>
      </c>
      <c r="I1525" s="15">
        <v>45098</v>
      </c>
      <c r="J1525" s="15" t="s">
        <v>233</v>
      </c>
      <c r="K1525" s="6">
        <v>5.2777777777777778E-2</v>
      </c>
      <c r="L1525" t="s">
        <v>142</v>
      </c>
      <c r="M1525">
        <v>80000</v>
      </c>
      <c r="N1525" t="s">
        <v>197</v>
      </c>
      <c r="O1525" t="s">
        <v>152</v>
      </c>
      <c r="P1525">
        <v>42</v>
      </c>
      <c r="Q1525" t="s">
        <v>157</v>
      </c>
    </row>
    <row r="1526" spans="1:17" x14ac:dyDescent="0.2">
      <c r="A1526">
        <v>1012304</v>
      </c>
      <c r="B1526">
        <v>1253</v>
      </c>
      <c r="C1526" s="1" t="s">
        <v>99</v>
      </c>
      <c r="D1526" s="11">
        <v>44948.01666666667</v>
      </c>
      <c r="E1526" t="s">
        <v>98</v>
      </c>
      <c r="F1526" t="s">
        <v>65</v>
      </c>
      <c r="G1526">
        <v>6132</v>
      </c>
      <c r="H1526" s="5" t="s">
        <v>99</v>
      </c>
      <c r="I1526" s="15">
        <v>44948</v>
      </c>
      <c r="J1526" s="15" t="s">
        <v>232</v>
      </c>
      <c r="K1526" s="6">
        <v>0.51666666666666672</v>
      </c>
      <c r="L1526" t="s">
        <v>146</v>
      </c>
      <c r="M1526">
        <v>200000</v>
      </c>
      <c r="N1526" t="s">
        <v>225</v>
      </c>
      <c r="O1526" t="s">
        <v>152</v>
      </c>
      <c r="P1526">
        <v>79</v>
      </c>
      <c r="Q1526" t="s">
        <v>156</v>
      </c>
    </row>
    <row r="1527" spans="1:17" x14ac:dyDescent="0.2">
      <c r="A1527">
        <v>1013457</v>
      </c>
      <c r="B1527">
        <v>313</v>
      </c>
      <c r="C1527" s="1" t="s">
        <v>113</v>
      </c>
      <c r="D1527" s="11">
        <v>45124.030555555553</v>
      </c>
      <c r="E1527" t="s">
        <v>98</v>
      </c>
      <c r="F1527" t="s">
        <v>27</v>
      </c>
      <c r="G1527">
        <v>3289</v>
      </c>
      <c r="H1527" s="5" t="s">
        <v>113</v>
      </c>
      <c r="I1527" s="15">
        <v>45124</v>
      </c>
      <c r="J1527" s="15" t="s">
        <v>234</v>
      </c>
      <c r="K1527" s="6">
        <v>0.53055555555555556</v>
      </c>
      <c r="L1527" t="s">
        <v>142</v>
      </c>
      <c r="M1527">
        <v>1000000</v>
      </c>
      <c r="N1527" t="s">
        <v>209</v>
      </c>
      <c r="O1527" t="s">
        <v>152</v>
      </c>
      <c r="P1527">
        <v>61</v>
      </c>
      <c r="Q1527" t="s">
        <v>154</v>
      </c>
    </row>
    <row r="1528" spans="1:17" x14ac:dyDescent="0.2">
      <c r="A1528">
        <v>1013492</v>
      </c>
      <c r="B1528">
        <v>1294</v>
      </c>
      <c r="C1528" s="1" t="s">
        <v>100</v>
      </c>
      <c r="D1528" s="11">
        <v>45253.98541666667</v>
      </c>
      <c r="E1528" t="s">
        <v>97</v>
      </c>
      <c r="F1528" t="s">
        <v>18</v>
      </c>
      <c r="G1528">
        <v>4442</v>
      </c>
      <c r="H1528" s="5" t="s">
        <v>100</v>
      </c>
      <c r="I1528" s="15">
        <v>45253</v>
      </c>
      <c r="J1528" s="15" t="s">
        <v>295</v>
      </c>
      <c r="K1528" s="6">
        <v>0.48541666666666666</v>
      </c>
      <c r="L1528" t="s">
        <v>145</v>
      </c>
      <c r="M1528">
        <v>200000</v>
      </c>
      <c r="N1528" t="s">
        <v>210</v>
      </c>
      <c r="O1528" t="s">
        <v>152</v>
      </c>
      <c r="P1528">
        <v>54</v>
      </c>
      <c r="Q1528" t="s">
        <v>156</v>
      </c>
    </row>
    <row r="1529" spans="1:17" x14ac:dyDescent="0.2">
      <c r="A1529">
        <v>1014185</v>
      </c>
      <c r="B1529">
        <v>1359</v>
      </c>
      <c r="C1529" s="1" t="s">
        <v>99</v>
      </c>
      <c r="D1529" s="11">
        <v>45245.017361111109</v>
      </c>
      <c r="E1529" t="s">
        <v>97</v>
      </c>
      <c r="F1529" t="s">
        <v>89</v>
      </c>
      <c r="G1529">
        <v>2585</v>
      </c>
      <c r="H1529" s="5" t="s">
        <v>99</v>
      </c>
      <c r="I1529" s="15">
        <v>45245</v>
      </c>
      <c r="J1529" s="15" t="s">
        <v>295</v>
      </c>
      <c r="K1529" s="6">
        <v>0.51736111111111116</v>
      </c>
      <c r="L1529" t="s">
        <v>144</v>
      </c>
      <c r="M1529">
        <v>150000</v>
      </c>
      <c r="N1529" t="s">
        <v>218</v>
      </c>
      <c r="O1529" t="s">
        <v>151</v>
      </c>
      <c r="P1529">
        <v>78</v>
      </c>
      <c r="Q1529" t="s">
        <v>156</v>
      </c>
    </row>
    <row r="1530" spans="1:17" x14ac:dyDescent="0.2">
      <c r="A1530">
        <v>1014215</v>
      </c>
      <c r="B1530">
        <v>1558</v>
      </c>
      <c r="C1530" s="1" t="s">
        <v>102</v>
      </c>
      <c r="D1530" s="11">
        <v>45087.043055555558</v>
      </c>
      <c r="E1530" t="s">
        <v>97</v>
      </c>
      <c r="F1530" t="s">
        <v>79</v>
      </c>
      <c r="G1530">
        <v>858</v>
      </c>
      <c r="H1530" s="5" t="s">
        <v>102</v>
      </c>
      <c r="I1530" s="15">
        <v>45087</v>
      </c>
      <c r="J1530" s="15" t="s">
        <v>233</v>
      </c>
      <c r="K1530" s="6">
        <v>4.3055555555555555E-2</v>
      </c>
      <c r="L1530" t="s">
        <v>143</v>
      </c>
      <c r="M1530">
        <v>50000</v>
      </c>
      <c r="N1530" t="s">
        <v>204</v>
      </c>
      <c r="O1530" t="s">
        <v>152</v>
      </c>
      <c r="P1530">
        <v>83</v>
      </c>
      <c r="Q1530" t="s">
        <v>157</v>
      </c>
    </row>
    <row r="1531" spans="1:17" x14ac:dyDescent="0.2">
      <c r="A1531">
        <v>1014724</v>
      </c>
      <c r="B1531">
        <v>744</v>
      </c>
      <c r="C1531" s="1" t="s">
        <v>102</v>
      </c>
      <c r="D1531" s="11">
        <v>45277.995138888888</v>
      </c>
      <c r="E1531" t="s">
        <v>96</v>
      </c>
      <c r="F1531" t="s">
        <v>51</v>
      </c>
      <c r="G1531">
        <v>231</v>
      </c>
      <c r="H1531" s="5" t="s">
        <v>102</v>
      </c>
      <c r="I1531" s="15">
        <v>45277</v>
      </c>
      <c r="J1531" s="15" t="s">
        <v>295</v>
      </c>
      <c r="K1531" s="6">
        <v>0.49513888888888891</v>
      </c>
      <c r="L1531" t="s">
        <v>145</v>
      </c>
      <c r="M1531">
        <v>100000</v>
      </c>
      <c r="N1531" t="s">
        <v>217</v>
      </c>
      <c r="O1531" t="s">
        <v>151</v>
      </c>
      <c r="P1531">
        <v>33</v>
      </c>
      <c r="Q1531" t="s">
        <v>155</v>
      </c>
    </row>
    <row r="1532" spans="1:17" x14ac:dyDescent="0.2">
      <c r="A1532">
        <v>1015146</v>
      </c>
      <c r="B1532">
        <v>1469</v>
      </c>
      <c r="C1532" s="1" t="s">
        <v>107</v>
      </c>
      <c r="D1532" s="11">
        <v>45027.056944444441</v>
      </c>
      <c r="E1532" t="s">
        <v>98</v>
      </c>
      <c r="F1532" t="s">
        <v>63</v>
      </c>
      <c r="G1532">
        <v>9395</v>
      </c>
      <c r="H1532" s="5" t="s">
        <v>107</v>
      </c>
      <c r="I1532" s="15">
        <v>45027</v>
      </c>
      <c r="J1532" s="15" t="s">
        <v>233</v>
      </c>
      <c r="K1532" s="6">
        <v>5.6944444444444443E-2</v>
      </c>
      <c r="L1532" t="s">
        <v>143</v>
      </c>
      <c r="M1532">
        <v>100000</v>
      </c>
      <c r="N1532" t="s">
        <v>198</v>
      </c>
      <c r="O1532" t="s">
        <v>152</v>
      </c>
      <c r="P1532">
        <v>38</v>
      </c>
      <c r="Q1532" t="s">
        <v>156</v>
      </c>
    </row>
    <row r="1533" spans="1:17" x14ac:dyDescent="0.2">
      <c r="A1533">
        <v>1016109</v>
      </c>
      <c r="B1533">
        <v>1256</v>
      </c>
      <c r="C1533" s="1" t="s">
        <v>105</v>
      </c>
      <c r="D1533" s="11">
        <v>45290.968055555553</v>
      </c>
      <c r="E1533" t="s">
        <v>96</v>
      </c>
      <c r="F1533" t="s">
        <v>90</v>
      </c>
      <c r="G1533">
        <v>8981</v>
      </c>
      <c r="H1533" s="5" t="s">
        <v>105</v>
      </c>
      <c r="I1533" s="15">
        <v>45290</v>
      </c>
      <c r="J1533" s="15" t="s">
        <v>295</v>
      </c>
      <c r="K1533" s="6">
        <v>0.46805555555555556</v>
      </c>
      <c r="L1533" t="s">
        <v>142</v>
      </c>
      <c r="M1533">
        <v>150000</v>
      </c>
      <c r="N1533" t="s">
        <v>208</v>
      </c>
      <c r="O1533" t="s">
        <v>151</v>
      </c>
      <c r="P1533">
        <v>29</v>
      </c>
      <c r="Q1533" t="s">
        <v>156</v>
      </c>
    </row>
    <row r="1534" spans="1:17" x14ac:dyDescent="0.2">
      <c r="A1534">
        <v>1016456</v>
      </c>
      <c r="B1534">
        <v>69</v>
      </c>
      <c r="C1534" s="1" t="s">
        <v>99</v>
      </c>
      <c r="D1534" s="11">
        <v>45194.946527777778</v>
      </c>
      <c r="E1534" t="s">
        <v>191</v>
      </c>
      <c r="F1534" t="s">
        <v>39</v>
      </c>
      <c r="G1534">
        <v>1984</v>
      </c>
      <c r="H1534" s="5" t="s">
        <v>99</v>
      </c>
      <c r="I1534" s="15">
        <v>45194</v>
      </c>
      <c r="J1534" s="15" t="s">
        <v>234</v>
      </c>
      <c r="K1534" s="6">
        <v>0.4465277777777778</v>
      </c>
      <c r="L1534" t="s">
        <v>146</v>
      </c>
      <c r="M1534">
        <v>100000</v>
      </c>
      <c r="N1534" t="s">
        <v>212</v>
      </c>
      <c r="O1534" t="s">
        <v>151</v>
      </c>
      <c r="P1534">
        <v>39</v>
      </c>
      <c r="Q1534" t="s">
        <v>154</v>
      </c>
    </row>
    <row r="1535" spans="1:17" x14ac:dyDescent="0.2">
      <c r="A1535">
        <v>1016563</v>
      </c>
      <c r="B1535">
        <v>216</v>
      </c>
      <c r="C1535" s="1" t="s">
        <v>113</v>
      </c>
      <c r="D1535" s="11">
        <v>45238.995138888888</v>
      </c>
      <c r="E1535" t="s">
        <v>97</v>
      </c>
      <c r="F1535" t="s">
        <v>92</v>
      </c>
      <c r="G1535">
        <v>8735</v>
      </c>
      <c r="H1535" s="5" t="s">
        <v>113</v>
      </c>
      <c r="I1535" s="15">
        <v>45238</v>
      </c>
      <c r="J1535" s="15" t="s">
        <v>295</v>
      </c>
      <c r="K1535" s="6">
        <v>0.49513888888888891</v>
      </c>
      <c r="L1535" t="s">
        <v>145</v>
      </c>
      <c r="M1535">
        <v>30000</v>
      </c>
      <c r="N1535" t="s">
        <v>226</v>
      </c>
      <c r="O1535" t="s">
        <v>151</v>
      </c>
      <c r="P1535">
        <v>45</v>
      </c>
      <c r="Q1535" t="s">
        <v>154</v>
      </c>
    </row>
    <row r="1536" spans="1:17" x14ac:dyDescent="0.2">
      <c r="A1536">
        <v>1017548</v>
      </c>
      <c r="B1536">
        <v>187</v>
      </c>
      <c r="C1536" s="1" t="s">
        <v>100</v>
      </c>
      <c r="D1536" s="11">
        <v>44970.057638888888</v>
      </c>
      <c r="E1536" t="s">
        <v>98</v>
      </c>
      <c r="F1536" t="s">
        <v>32</v>
      </c>
      <c r="G1536">
        <v>7555</v>
      </c>
      <c r="H1536" s="5" t="s">
        <v>100</v>
      </c>
      <c r="I1536" s="15">
        <v>44970</v>
      </c>
      <c r="J1536" s="15" t="s">
        <v>232</v>
      </c>
      <c r="K1536" s="6">
        <v>5.7638888888888892E-2</v>
      </c>
      <c r="L1536" t="s">
        <v>145</v>
      </c>
      <c r="M1536">
        <v>80000</v>
      </c>
      <c r="N1536" t="s">
        <v>217</v>
      </c>
      <c r="O1536" t="s">
        <v>152</v>
      </c>
      <c r="P1536">
        <v>68</v>
      </c>
      <c r="Q1536" t="s">
        <v>154</v>
      </c>
    </row>
    <row r="1537" spans="1:17" x14ac:dyDescent="0.2">
      <c r="A1537">
        <v>1018145</v>
      </c>
      <c r="B1537">
        <v>523</v>
      </c>
      <c r="C1537" s="1" t="s">
        <v>99</v>
      </c>
      <c r="D1537" s="11">
        <v>45239.972222222219</v>
      </c>
      <c r="E1537" t="s">
        <v>96</v>
      </c>
      <c r="F1537" t="s">
        <v>27</v>
      </c>
      <c r="G1537">
        <v>9449</v>
      </c>
      <c r="H1537" s="5" t="s">
        <v>99</v>
      </c>
      <c r="I1537" s="15">
        <v>45239</v>
      </c>
      <c r="J1537" s="15" t="s">
        <v>295</v>
      </c>
      <c r="K1537" s="6">
        <v>0.47222222222222221</v>
      </c>
      <c r="L1537" t="s">
        <v>142</v>
      </c>
      <c r="M1537">
        <v>1000000</v>
      </c>
      <c r="N1537" t="s">
        <v>209</v>
      </c>
      <c r="O1537" t="s">
        <v>151</v>
      </c>
      <c r="P1537">
        <v>26</v>
      </c>
      <c r="Q1537" t="s">
        <v>155</v>
      </c>
    </row>
    <row r="1538" spans="1:17" x14ac:dyDescent="0.2">
      <c r="A1538">
        <v>1018282</v>
      </c>
      <c r="B1538">
        <v>814</v>
      </c>
      <c r="C1538" s="1" t="s">
        <v>99</v>
      </c>
      <c r="D1538" s="11">
        <v>45267.022916666669</v>
      </c>
      <c r="E1538" t="s">
        <v>97</v>
      </c>
      <c r="F1538" t="s">
        <v>5</v>
      </c>
      <c r="G1538">
        <v>6590</v>
      </c>
      <c r="H1538" s="5" t="s">
        <v>99</v>
      </c>
      <c r="I1538" s="15">
        <v>45267</v>
      </c>
      <c r="J1538" s="15" t="s">
        <v>295</v>
      </c>
      <c r="K1538" s="6">
        <v>0.5229166666666667</v>
      </c>
      <c r="L1538" t="s">
        <v>143</v>
      </c>
      <c r="M1538">
        <v>200000</v>
      </c>
      <c r="N1538" t="s">
        <v>198</v>
      </c>
      <c r="O1538" t="s">
        <v>152</v>
      </c>
      <c r="P1538">
        <v>60</v>
      </c>
      <c r="Q1538" t="s">
        <v>155</v>
      </c>
    </row>
    <row r="1539" spans="1:17" x14ac:dyDescent="0.2">
      <c r="A1539">
        <v>1018548</v>
      </c>
      <c r="B1539">
        <v>442</v>
      </c>
      <c r="C1539" s="1" t="s">
        <v>99</v>
      </c>
      <c r="D1539" s="11">
        <v>44992.974999999999</v>
      </c>
      <c r="E1539" t="s">
        <v>97</v>
      </c>
      <c r="F1539" t="s">
        <v>16</v>
      </c>
      <c r="G1539">
        <v>8622</v>
      </c>
      <c r="H1539" s="5" t="s">
        <v>99</v>
      </c>
      <c r="I1539" s="15">
        <v>44992</v>
      </c>
      <c r="J1539" s="15" t="s">
        <v>232</v>
      </c>
      <c r="K1539" s="6">
        <v>0.47499999999999998</v>
      </c>
      <c r="L1539" t="s">
        <v>142</v>
      </c>
      <c r="M1539">
        <v>80000</v>
      </c>
      <c r="N1539" t="s">
        <v>208</v>
      </c>
      <c r="O1539" t="s">
        <v>151</v>
      </c>
      <c r="P1539">
        <v>62</v>
      </c>
      <c r="Q1539" t="s">
        <v>154</v>
      </c>
    </row>
    <row r="1540" spans="1:17" x14ac:dyDescent="0.2">
      <c r="A1540">
        <v>1019737</v>
      </c>
      <c r="B1540">
        <v>1970</v>
      </c>
      <c r="C1540" s="1" t="s">
        <v>100</v>
      </c>
      <c r="D1540" s="11">
        <v>45081.989583333336</v>
      </c>
      <c r="E1540" t="s">
        <v>191</v>
      </c>
      <c r="F1540" t="s">
        <v>74</v>
      </c>
      <c r="G1540">
        <v>5789</v>
      </c>
      <c r="H1540" s="5" t="s">
        <v>100</v>
      </c>
      <c r="I1540" s="15">
        <v>45081</v>
      </c>
      <c r="J1540" s="15" t="s">
        <v>233</v>
      </c>
      <c r="K1540" s="6">
        <v>0.48958333333333331</v>
      </c>
      <c r="L1540" t="s">
        <v>145</v>
      </c>
      <c r="M1540">
        <v>150000</v>
      </c>
      <c r="N1540" t="s">
        <v>226</v>
      </c>
      <c r="O1540" t="s">
        <v>151</v>
      </c>
      <c r="P1540">
        <v>79</v>
      </c>
      <c r="Q1540" t="s">
        <v>157</v>
      </c>
    </row>
    <row r="1541" spans="1:17" x14ac:dyDescent="0.2">
      <c r="A1541">
        <v>1020737</v>
      </c>
      <c r="B1541">
        <v>575</v>
      </c>
      <c r="C1541" s="1" t="s">
        <v>113</v>
      </c>
      <c r="D1541" s="11">
        <v>45267.081944444442</v>
      </c>
      <c r="E1541" t="s">
        <v>97</v>
      </c>
      <c r="F1541" t="s">
        <v>76</v>
      </c>
      <c r="G1541">
        <v>7392</v>
      </c>
      <c r="H1541" s="5" t="s">
        <v>113</v>
      </c>
      <c r="I1541" s="15">
        <v>45267</v>
      </c>
      <c r="J1541" s="15" t="s">
        <v>295</v>
      </c>
      <c r="K1541" s="6">
        <v>8.1944444444444445E-2</v>
      </c>
      <c r="L1541" t="s">
        <v>142</v>
      </c>
      <c r="M1541">
        <v>80000</v>
      </c>
      <c r="N1541" t="s">
        <v>201</v>
      </c>
      <c r="O1541" t="s">
        <v>152</v>
      </c>
      <c r="P1541">
        <v>85</v>
      </c>
      <c r="Q1541" t="s">
        <v>155</v>
      </c>
    </row>
    <row r="1542" spans="1:17" x14ac:dyDescent="0.2">
      <c r="A1542">
        <v>1021024</v>
      </c>
      <c r="B1542">
        <v>283</v>
      </c>
      <c r="C1542" s="1" t="s">
        <v>99</v>
      </c>
      <c r="D1542" s="11">
        <v>45112.020138888889</v>
      </c>
      <c r="E1542" t="s">
        <v>191</v>
      </c>
      <c r="F1542" t="s">
        <v>81</v>
      </c>
      <c r="G1542">
        <v>2928</v>
      </c>
      <c r="H1542" s="5" t="s">
        <v>99</v>
      </c>
      <c r="I1542" s="15">
        <v>45112</v>
      </c>
      <c r="J1542" s="15" t="s">
        <v>234</v>
      </c>
      <c r="K1542" s="6">
        <v>0.52013888888888893</v>
      </c>
      <c r="L1542" t="s">
        <v>143</v>
      </c>
      <c r="M1542">
        <v>250000</v>
      </c>
      <c r="N1542" t="s">
        <v>221</v>
      </c>
      <c r="O1542" t="s">
        <v>151</v>
      </c>
      <c r="P1542">
        <v>18</v>
      </c>
      <c r="Q1542" t="s">
        <v>154</v>
      </c>
    </row>
    <row r="1543" spans="1:17" x14ac:dyDescent="0.2">
      <c r="A1543">
        <v>1023043</v>
      </c>
      <c r="B1543">
        <v>1237</v>
      </c>
      <c r="C1543" s="1" t="s">
        <v>99</v>
      </c>
      <c r="D1543" s="11">
        <v>45166.017361111109</v>
      </c>
      <c r="E1543" t="s">
        <v>97</v>
      </c>
      <c r="F1543" t="s">
        <v>88</v>
      </c>
      <c r="G1543">
        <v>534</v>
      </c>
      <c r="H1543" s="5" t="s">
        <v>99</v>
      </c>
      <c r="I1543" s="15">
        <v>45166</v>
      </c>
      <c r="J1543" s="15" t="s">
        <v>234</v>
      </c>
      <c r="K1543" s="6">
        <v>0.51736111111111116</v>
      </c>
      <c r="L1543" t="s">
        <v>144</v>
      </c>
      <c r="M1543">
        <v>100000</v>
      </c>
      <c r="N1543" t="s">
        <v>200</v>
      </c>
      <c r="O1543" t="s">
        <v>152</v>
      </c>
      <c r="P1543">
        <v>87</v>
      </c>
      <c r="Q1543" t="s">
        <v>156</v>
      </c>
    </row>
    <row r="1544" spans="1:17" x14ac:dyDescent="0.2">
      <c r="A1544">
        <v>1024120</v>
      </c>
      <c r="B1544">
        <v>1323</v>
      </c>
      <c r="C1544" s="1" t="s">
        <v>110</v>
      </c>
      <c r="D1544" s="11">
        <v>44964.033333333333</v>
      </c>
      <c r="E1544" t="s">
        <v>98</v>
      </c>
      <c r="F1544" t="s">
        <v>86</v>
      </c>
      <c r="G1544">
        <v>2228</v>
      </c>
      <c r="H1544" s="5" t="s">
        <v>110</v>
      </c>
      <c r="I1544" s="15">
        <v>44964</v>
      </c>
      <c r="J1544" s="15" t="s">
        <v>232</v>
      </c>
      <c r="K1544" s="6">
        <v>0.53333333333333333</v>
      </c>
      <c r="L1544" t="s">
        <v>144</v>
      </c>
      <c r="M1544">
        <v>100000</v>
      </c>
      <c r="N1544" t="s">
        <v>216</v>
      </c>
      <c r="O1544" t="s">
        <v>152</v>
      </c>
      <c r="P1544">
        <v>81</v>
      </c>
      <c r="Q1544" t="s">
        <v>156</v>
      </c>
    </row>
    <row r="1545" spans="1:17" x14ac:dyDescent="0.2">
      <c r="A1545">
        <v>1024270</v>
      </c>
      <c r="B1545">
        <v>1292</v>
      </c>
      <c r="C1545" s="1" t="s">
        <v>99</v>
      </c>
      <c r="D1545" s="11">
        <v>45050.077777777777</v>
      </c>
      <c r="E1545" t="s">
        <v>191</v>
      </c>
      <c r="F1545" t="s">
        <v>8</v>
      </c>
      <c r="G1545">
        <v>114</v>
      </c>
      <c r="H1545" s="5" t="s">
        <v>99</v>
      </c>
      <c r="I1545" s="15">
        <v>45050</v>
      </c>
      <c r="J1545" s="15" t="s">
        <v>233</v>
      </c>
      <c r="K1545" s="6">
        <v>7.7777777777777779E-2</v>
      </c>
      <c r="L1545" t="s">
        <v>142</v>
      </c>
      <c r="M1545">
        <v>200000</v>
      </c>
      <c r="N1545" t="s">
        <v>201</v>
      </c>
      <c r="O1545" t="s">
        <v>152</v>
      </c>
      <c r="P1545">
        <v>38</v>
      </c>
      <c r="Q1545" t="s">
        <v>156</v>
      </c>
    </row>
    <row r="1546" spans="1:17" x14ac:dyDescent="0.2">
      <c r="A1546">
        <v>1025204</v>
      </c>
      <c r="B1546">
        <v>1504</v>
      </c>
      <c r="C1546" s="1" t="s">
        <v>100</v>
      </c>
      <c r="D1546" s="11">
        <v>45122.011805555558</v>
      </c>
      <c r="E1546" t="s">
        <v>98</v>
      </c>
      <c r="F1546" t="s">
        <v>90</v>
      </c>
      <c r="G1546">
        <v>1043</v>
      </c>
      <c r="H1546" s="5" t="s">
        <v>100</v>
      </c>
      <c r="I1546" s="15">
        <v>45122</v>
      </c>
      <c r="J1546" s="15" t="s">
        <v>234</v>
      </c>
      <c r="K1546" s="6">
        <v>0.51180555555555551</v>
      </c>
      <c r="L1546" t="s">
        <v>142</v>
      </c>
      <c r="M1546">
        <v>150000</v>
      </c>
      <c r="N1546" t="s">
        <v>208</v>
      </c>
      <c r="O1546" t="s">
        <v>152</v>
      </c>
      <c r="P1546">
        <v>33</v>
      </c>
      <c r="Q1546" t="s">
        <v>157</v>
      </c>
    </row>
    <row r="1547" spans="1:17" x14ac:dyDescent="0.2">
      <c r="A1547">
        <v>1025560</v>
      </c>
      <c r="B1547">
        <v>1534</v>
      </c>
      <c r="C1547" s="1" t="s">
        <v>99</v>
      </c>
      <c r="D1547" s="11">
        <v>45029.074305555558</v>
      </c>
      <c r="E1547" t="s">
        <v>96</v>
      </c>
      <c r="F1547" t="s">
        <v>43</v>
      </c>
      <c r="G1547">
        <v>3748</v>
      </c>
      <c r="H1547" s="5" t="s">
        <v>99</v>
      </c>
      <c r="I1547" s="15">
        <v>45029</v>
      </c>
      <c r="J1547" s="15" t="s">
        <v>233</v>
      </c>
      <c r="K1547" s="6">
        <v>7.4305555555555555E-2</v>
      </c>
      <c r="L1547" t="s">
        <v>145</v>
      </c>
      <c r="M1547">
        <v>1000000</v>
      </c>
      <c r="N1547" t="s">
        <v>203</v>
      </c>
      <c r="O1547" t="s">
        <v>152</v>
      </c>
      <c r="P1547">
        <v>18</v>
      </c>
      <c r="Q1547" t="s">
        <v>157</v>
      </c>
    </row>
    <row r="1548" spans="1:17" x14ac:dyDescent="0.2">
      <c r="A1548">
        <v>1026131</v>
      </c>
      <c r="B1548">
        <v>1642</v>
      </c>
      <c r="C1548" s="1" t="s">
        <v>107</v>
      </c>
      <c r="D1548" s="11">
        <v>44945.018055555556</v>
      </c>
      <c r="E1548" t="s">
        <v>98</v>
      </c>
      <c r="F1548" t="s">
        <v>91</v>
      </c>
      <c r="G1548">
        <v>2027</v>
      </c>
      <c r="H1548" s="5" t="s">
        <v>107</v>
      </c>
      <c r="I1548" s="15">
        <v>44945</v>
      </c>
      <c r="J1548" s="15" t="s">
        <v>232</v>
      </c>
      <c r="K1548" s="6">
        <v>0.5180555555555556</v>
      </c>
      <c r="L1548" t="s">
        <v>142</v>
      </c>
      <c r="M1548">
        <v>100000</v>
      </c>
      <c r="N1548" t="s">
        <v>213</v>
      </c>
      <c r="O1548" t="s">
        <v>151</v>
      </c>
      <c r="P1548">
        <v>28</v>
      </c>
      <c r="Q1548" t="s">
        <v>157</v>
      </c>
    </row>
    <row r="1549" spans="1:17" x14ac:dyDescent="0.2">
      <c r="A1549">
        <v>1026611</v>
      </c>
      <c r="B1549">
        <v>899</v>
      </c>
      <c r="C1549" s="1" t="s">
        <v>99</v>
      </c>
      <c r="D1549" s="11">
        <v>44957.040277777778</v>
      </c>
      <c r="E1549" t="s">
        <v>98</v>
      </c>
      <c r="F1549" t="s">
        <v>27</v>
      </c>
      <c r="G1549">
        <v>2950</v>
      </c>
      <c r="H1549" s="5" t="s">
        <v>99</v>
      </c>
      <c r="I1549" s="15">
        <v>44957</v>
      </c>
      <c r="J1549" s="15" t="s">
        <v>232</v>
      </c>
      <c r="K1549" s="6">
        <v>0.54027777777777775</v>
      </c>
      <c r="L1549" t="s">
        <v>142</v>
      </c>
      <c r="M1549">
        <v>1000000</v>
      </c>
      <c r="N1549" t="s">
        <v>209</v>
      </c>
      <c r="O1549" t="s">
        <v>152</v>
      </c>
      <c r="P1549">
        <v>75</v>
      </c>
      <c r="Q1549" t="s">
        <v>155</v>
      </c>
    </row>
    <row r="1550" spans="1:17" x14ac:dyDescent="0.2">
      <c r="A1550">
        <v>1028549</v>
      </c>
      <c r="B1550">
        <v>950</v>
      </c>
      <c r="C1550" s="1" t="s">
        <v>100</v>
      </c>
      <c r="D1550" s="11">
        <v>45082.044444444444</v>
      </c>
      <c r="E1550" t="s">
        <v>98</v>
      </c>
      <c r="F1550" t="s">
        <v>29</v>
      </c>
      <c r="G1550">
        <v>6236</v>
      </c>
      <c r="H1550" s="5" t="s">
        <v>100</v>
      </c>
      <c r="I1550" s="15">
        <v>45082</v>
      </c>
      <c r="J1550" s="15" t="s">
        <v>233</v>
      </c>
      <c r="K1550" s="6">
        <v>4.4444444444444446E-2</v>
      </c>
      <c r="L1550" t="s">
        <v>143</v>
      </c>
      <c r="M1550">
        <v>150000</v>
      </c>
      <c r="N1550" t="s">
        <v>214</v>
      </c>
      <c r="O1550" t="s">
        <v>151</v>
      </c>
      <c r="P1550">
        <v>72</v>
      </c>
      <c r="Q1550" t="s">
        <v>155</v>
      </c>
    </row>
    <row r="1551" spans="1:17" x14ac:dyDescent="0.2">
      <c r="A1551">
        <v>1028877</v>
      </c>
      <c r="B1551">
        <v>1695</v>
      </c>
      <c r="C1551" s="1" t="s">
        <v>105</v>
      </c>
      <c r="D1551" s="11">
        <v>45138.980555555558</v>
      </c>
      <c r="E1551" t="s">
        <v>98</v>
      </c>
      <c r="F1551" t="s">
        <v>34</v>
      </c>
      <c r="G1551">
        <v>8062</v>
      </c>
      <c r="H1551" s="5" t="s">
        <v>105</v>
      </c>
      <c r="I1551" s="15">
        <v>45138</v>
      </c>
      <c r="J1551" s="15" t="s">
        <v>234</v>
      </c>
      <c r="K1551" s="6">
        <v>0.48055555555555557</v>
      </c>
      <c r="L1551" t="s">
        <v>144</v>
      </c>
      <c r="M1551">
        <v>150000</v>
      </c>
      <c r="N1551" t="s">
        <v>218</v>
      </c>
      <c r="O1551" t="s">
        <v>152</v>
      </c>
      <c r="P1551">
        <v>37</v>
      </c>
      <c r="Q1551" t="s">
        <v>157</v>
      </c>
    </row>
    <row r="1552" spans="1:17" x14ac:dyDescent="0.2">
      <c r="A1552">
        <v>1029432</v>
      </c>
      <c r="B1552">
        <v>169</v>
      </c>
      <c r="C1552" s="1" t="s">
        <v>100</v>
      </c>
      <c r="D1552" s="11">
        <v>45148.960416666669</v>
      </c>
      <c r="E1552" t="s">
        <v>97</v>
      </c>
      <c r="F1552" t="s">
        <v>68</v>
      </c>
      <c r="G1552">
        <v>9527</v>
      </c>
      <c r="H1552" s="5" t="s">
        <v>100</v>
      </c>
      <c r="I1552" s="15">
        <v>45148</v>
      </c>
      <c r="J1552" s="15" t="s">
        <v>234</v>
      </c>
      <c r="K1552" s="6">
        <v>0.46041666666666664</v>
      </c>
      <c r="L1552" t="s">
        <v>144</v>
      </c>
      <c r="M1552">
        <v>100000</v>
      </c>
      <c r="N1552" t="s">
        <v>200</v>
      </c>
      <c r="O1552" t="s">
        <v>152</v>
      </c>
      <c r="P1552">
        <v>42</v>
      </c>
      <c r="Q1552" t="s">
        <v>154</v>
      </c>
    </row>
    <row r="1553" spans="1:17" x14ac:dyDescent="0.2">
      <c r="A1553">
        <v>1031465</v>
      </c>
      <c r="B1553">
        <v>808</v>
      </c>
      <c r="C1553" s="1" t="s">
        <v>99</v>
      </c>
      <c r="D1553" s="11">
        <v>45252.970138888886</v>
      </c>
      <c r="E1553" t="s">
        <v>98</v>
      </c>
      <c r="F1553" t="s">
        <v>40</v>
      </c>
      <c r="G1553">
        <v>7817</v>
      </c>
      <c r="H1553" s="5" t="s">
        <v>99</v>
      </c>
      <c r="I1553" s="15">
        <v>45252</v>
      </c>
      <c r="J1553" s="15" t="s">
        <v>295</v>
      </c>
      <c r="K1553" s="6">
        <v>0.47013888888888888</v>
      </c>
      <c r="L1553" t="s">
        <v>142</v>
      </c>
      <c r="M1553">
        <v>150000</v>
      </c>
      <c r="N1553" t="s">
        <v>207</v>
      </c>
      <c r="O1553" t="s">
        <v>152</v>
      </c>
      <c r="P1553">
        <v>41</v>
      </c>
      <c r="Q1553" t="s">
        <v>155</v>
      </c>
    </row>
    <row r="1554" spans="1:17" x14ac:dyDescent="0.2">
      <c r="A1554">
        <v>1031756</v>
      </c>
      <c r="B1554">
        <v>1053</v>
      </c>
      <c r="C1554" s="1" t="s">
        <v>113</v>
      </c>
      <c r="D1554" s="11">
        <v>45024.99722222222</v>
      </c>
      <c r="E1554" t="s">
        <v>98</v>
      </c>
      <c r="F1554" t="s">
        <v>69</v>
      </c>
      <c r="G1554">
        <v>8172</v>
      </c>
      <c r="H1554" s="5" t="s">
        <v>113</v>
      </c>
      <c r="I1554" s="15">
        <v>45024</v>
      </c>
      <c r="J1554" s="15" t="s">
        <v>233</v>
      </c>
      <c r="K1554" s="6">
        <v>0.49722222222222223</v>
      </c>
      <c r="L1554" t="s">
        <v>146</v>
      </c>
      <c r="M1554">
        <v>250000</v>
      </c>
      <c r="N1554" t="s">
        <v>225</v>
      </c>
      <c r="O1554" t="s">
        <v>152</v>
      </c>
      <c r="P1554">
        <v>67</v>
      </c>
      <c r="Q1554" t="s">
        <v>156</v>
      </c>
    </row>
    <row r="1555" spans="1:17" x14ac:dyDescent="0.2">
      <c r="A1555">
        <v>1032588</v>
      </c>
      <c r="B1555">
        <v>588</v>
      </c>
      <c r="C1555" s="1" t="s">
        <v>107</v>
      </c>
      <c r="D1555" s="11">
        <v>45241.034722222219</v>
      </c>
      <c r="E1555" t="s">
        <v>96</v>
      </c>
      <c r="F1555" t="s">
        <v>42</v>
      </c>
      <c r="G1555">
        <v>6085</v>
      </c>
      <c r="H1555" s="5" t="s">
        <v>107</v>
      </c>
      <c r="I1555" s="15">
        <v>45241</v>
      </c>
      <c r="J1555" s="15" t="s">
        <v>295</v>
      </c>
      <c r="K1555" s="6">
        <v>0.53472222222222221</v>
      </c>
      <c r="L1555" t="s">
        <v>144</v>
      </c>
      <c r="M1555">
        <v>100000</v>
      </c>
      <c r="N1555" t="s">
        <v>219</v>
      </c>
      <c r="O1555" t="s">
        <v>152</v>
      </c>
      <c r="P1555">
        <v>42</v>
      </c>
      <c r="Q1555" t="s">
        <v>155</v>
      </c>
    </row>
    <row r="1556" spans="1:17" x14ac:dyDescent="0.2">
      <c r="A1556">
        <v>1033000</v>
      </c>
      <c r="B1556">
        <v>327</v>
      </c>
      <c r="C1556" s="1" t="s">
        <v>113</v>
      </c>
      <c r="D1556" s="11">
        <v>44995.976388888892</v>
      </c>
      <c r="E1556" t="s">
        <v>191</v>
      </c>
      <c r="F1556" t="s">
        <v>43</v>
      </c>
      <c r="G1556">
        <v>3478</v>
      </c>
      <c r="H1556" s="5" t="s">
        <v>113</v>
      </c>
      <c r="I1556" s="15">
        <v>44995</v>
      </c>
      <c r="J1556" s="15" t="s">
        <v>232</v>
      </c>
      <c r="K1556" s="6">
        <v>0.47638888888888886</v>
      </c>
      <c r="L1556" t="s">
        <v>145</v>
      </c>
      <c r="M1556">
        <v>1000000</v>
      </c>
      <c r="N1556" t="s">
        <v>203</v>
      </c>
      <c r="O1556" t="s">
        <v>152</v>
      </c>
      <c r="P1556">
        <v>32</v>
      </c>
      <c r="Q1556" t="s">
        <v>154</v>
      </c>
    </row>
    <row r="1557" spans="1:17" x14ac:dyDescent="0.2">
      <c r="A1557">
        <v>1033341</v>
      </c>
      <c r="B1557">
        <v>537</v>
      </c>
      <c r="C1557" s="1" t="s">
        <v>101</v>
      </c>
      <c r="D1557" s="11">
        <v>45266.030555555553</v>
      </c>
      <c r="E1557" t="s">
        <v>96</v>
      </c>
      <c r="F1557" t="s">
        <v>44</v>
      </c>
      <c r="G1557">
        <v>1935</v>
      </c>
      <c r="H1557" s="5" t="s">
        <v>101</v>
      </c>
      <c r="I1557" s="15">
        <v>45266</v>
      </c>
      <c r="J1557" s="15" t="s">
        <v>295</v>
      </c>
      <c r="K1557" s="6">
        <v>0.53055555555555556</v>
      </c>
      <c r="L1557" t="s">
        <v>144</v>
      </c>
      <c r="M1557">
        <v>150000</v>
      </c>
      <c r="N1557" t="s">
        <v>199</v>
      </c>
      <c r="O1557" t="s">
        <v>152</v>
      </c>
      <c r="P1557">
        <v>58</v>
      </c>
      <c r="Q1557" t="s">
        <v>155</v>
      </c>
    </row>
    <row r="1558" spans="1:17" x14ac:dyDescent="0.2">
      <c r="A1558">
        <v>1033877</v>
      </c>
      <c r="B1558">
        <v>13</v>
      </c>
      <c r="C1558" s="1" t="s">
        <v>105</v>
      </c>
      <c r="D1558" s="11">
        <v>44983.070833333331</v>
      </c>
      <c r="E1558" t="s">
        <v>191</v>
      </c>
      <c r="F1558" t="s">
        <v>81</v>
      </c>
      <c r="G1558">
        <v>4612</v>
      </c>
      <c r="H1558" s="5" t="s">
        <v>105</v>
      </c>
      <c r="I1558" s="15">
        <v>44983</v>
      </c>
      <c r="J1558" s="15" t="s">
        <v>232</v>
      </c>
      <c r="K1558" s="6">
        <v>7.0833333333333331E-2</v>
      </c>
      <c r="L1558" t="s">
        <v>143</v>
      </c>
      <c r="M1558">
        <v>250000</v>
      </c>
      <c r="N1558" t="s">
        <v>221</v>
      </c>
      <c r="O1558" t="s">
        <v>152</v>
      </c>
      <c r="P1558">
        <v>84</v>
      </c>
      <c r="Q1558" t="s">
        <v>154</v>
      </c>
    </row>
    <row r="1559" spans="1:17" x14ac:dyDescent="0.2">
      <c r="A1559">
        <v>1034415</v>
      </c>
      <c r="B1559">
        <v>427</v>
      </c>
      <c r="C1559" s="1" t="s">
        <v>113</v>
      </c>
      <c r="D1559" s="11">
        <v>45019.040972222225</v>
      </c>
      <c r="E1559" t="s">
        <v>98</v>
      </c>
      <c r="F1559" t="s">
        <v>71</v>
      </c>
      <c r="G1559">
        <v>3464</v>
      </c>
      <c r="H1559" s="5" t="s">
        <v>113</v>
      </c>
      <c r="I1559" s="15">
        <v>45019</v>
      </c>
      <c r="J1559" s="15" t="s">
        <v>233</v>
      </c>
      <c r="K1559" s="6">
        <v>0.54097222222222219</v>
      </c>
      <c r="L1559" t="s">
        <v>145</v>
      </c>
      <c r="M1559">
        <v>150000</v>
      </c>
      <c r="N1559" t="s">
        <v>226</v>
      </c>
      <c r="O1559" t="s">
        <v>151</v>
      </c>
      <c r="P1559">
        <v>59</v>
      </c>
      <c r="Q1559" t="s">
        <v>154</v>
      </c>
    </row>
    <row r="1560" spans="1:17" x14ac:dyDescent="0.2">
      <c r="A1560">
        <v>1036614</v>
      </c>
      <c r="B1560">
        <v>898</v>
      </c>
      <c r="C1560" s="1" t="s">
        <v>99</v>
      </c>
      <c r="D1560" s="11">
        <v>44946</v>
      </c>
      <c r="E1560" t="s">
        <v>191</v>
      </c>
      <c r="F1560" t="s">
        <v>6</v>
      </c>
      <c r="G1560">
        <v>4272</v>
      </c>
      <c r="H1560" s="5" t="s">
        <v>99</v>
      </c>
      <c r="I1560" s="15">
        <v>44946</v>
      </c>
      <c r="J1560" s="15" t="s">
        <v>232</v>
      </c>
      <c r="K1560" s="6">
        <v>0.5</v>
      </c>
      <c r="L1560" t="s">
        <v>144</v>
      </c>
      <c r="M1560">
        <v>100000</v>
      </c>
      <c r="N1560" t="s">
        <v>199</v>
      </c>
      <c r="O1560" t="s">
        <v>151</v>
      </c>
      <c r="P1560">
        <v>64</v>
      </c>
      <c r="Q1560" t="s">
        <v>155</v>
      </c>
    </row>
    <row r="1561" spans="1:17" x14ac:dyDescent="0.2">
      <c r="A1561">
        <v>1036624</v>
      </c>
      <c r="B1561">
        <v>1607</v>
      </c>
      <c r="C1561" s="1" t="s">
        <v>101</v>
      </c>
      <c r="D1561" s="11">
        <v>45129.030555555553</v>
      </c>
      <c r="E1561" t="s">
        <v>97</v>
      </c>
      <c r="F1561" t="s">
        <v>7</v>
      </c>
      <c r="G1561">
        <v>667</v>
      </c>
      <c r="H1561" s="5" t="s">
        <v>101</v>
      </c>
      <c r="I1561" s="15">
        <v>45129</v>
      </c>
      <c r="J1561" s="15" t="s">
        <v>234</v>
      </c>
      <c r="K1561" s="6">
        <v>0.53055555555555556</v>
      </c>
      <c r="L1561" t="s">
        <v>144</v>
      </c>
      <c r="M1561">
        <v>150000</v>
      </c>
      <c r="N1561" t="s">
        <v>200</v>
      </c>
      <c r="O1561" t="s">
        <v>151</v>
      </c>
      <c r="P1561">
        <v>65</v>
      </c>
      <c r="Q1561" t="s">
        <v>157</v>
      </c>
    </row>
    <row r="1562" spans="1:17" x14ac:dyDescent="0.2">
      <c r="A1562">
        <v>1036642</v>
      </c>
      <c r="B1562">
        <v>24</v>
      </c>
      <c r="C1562" s="1" t="s">
        <v>105</v>
      </c>
      <c r="D1562" s="11">
        <v>45049.057638888888</v>
      </c>
      <c r="E1562" t="s">
        <v>96</v>
      </c>
      <c r="F1562" t="s">
        <v>27</v>
      </c>
      <c r="G1562">
        <v>9159</v>
      </c>
      <c r="H1562" s="5" t="s">
        <v>105</v>
      </c>
      <c r="I1562" s="15">
        <v>45049</v>
      </c>
      <c r="J1562" s="15" t="s">
        <v>233</v>
      </c>
      <c r="K1562" s="6">
        <v>5.7638888888888892E-2</v>
      </c>
      <c r="L1562" t="s">
        <v>142</v>
      </c>
      <c r="M1562">
        <v>1000000</v>
      </c>
      <c r="N1562" t="s">
        <v>209</v>
      </c>
      <c r="O1562" t="s">
        <v>152</v>
      </c>
      <c r="P1562">
        <v>47</v>
      </c>
      <c r="Q1562" t="s">
        <v>154</v>
      </c>
    </row>
    <row r="1563" spans="1:17" x14ac:dyDescent="0.2">
      <c r="A1563">
        <v>1038558</v>
      </c>
      <c r="B1563">
        <v>840</v>
      </c>
      <c r="C1563" s="1" t="s">
        <v>102</v>
      </c>
      <c r="D1563" s="11">
        <v>45110.073611111111</v>
      </c>
      <c r="E1563" t="s">
        <v>97</v>
      </c>
      <c r="F1563" t="s">
        <v>46</v>
      </c>
      <c r="G1563">
        <v>5596</v>
      </c>
      <c r="H1563" s="5" t="s">
        <v>102</v>
      </c>
      <c r="I1563" s="15">
        <v>45110</v>
      </c>
      <c r="J1563" s="15" t="s">
        <v>234</v>
      </c>
      <c r="K1563" s="6">
        <v>7.3611111111111113E-2</v>
      </c>
      <c r="L1563" t="s">
        <v>142</v>
      </c>
      <c r="M1563">
        <v>200000</v>
      </c>
      <c r="N1563" t="s">
        <v>211</v>
      </c>
      <c r="O1563" t="s">
        <v>152</v>
      </c>
      <c r="P1563">
        <v>47</v>
      </c>
      <c r="Q1563" t="s">
        <v>155</v>
      </c>
    </row>
    <row r="1564" spans="1:17" x14ac:dyDescent="0.2">
      <c r="A1564">
        <v>1038672</v>
      </c>
      <c r="B1564">
        <v>1878</v>
      </c>
      <c r="C1564" s="1" t="s">
        <v>105</v>
      </c>
      <c r="D1564" s="11">
        <v>45233.947916666664</v>
      </c>
      <c r="E1564" t="s">
        <v>96</v>
      </c>
      <c r="F1564" t="s">
        <v>69</v>
      </c>
      <c r="G1564">
        <v>5918</v>
      </c>
      <c r="H1564" s="5" t="s">
        <v>105</v>
      </c>
      <c r="I1564" s="15">
        <v>45233</v>
      </c>
      <c r="J1564" s="15" t="s">
        <v>295</v>
      </c>
      <c r="K1564" s="6">
        <v>0.44791666666666669</v>
      </c>
      <c r="L1564" t="s">
        <v>146</v>
      </c>
      <c r="M1564">
        <v>250000</v>
      </c>
      <c r="N1564" t="s">
        <v>225</v>
      </c>
      <c r="O1564" t="s">
        <v>151</v>
      </c>
      <c r="P1564">
        <v>24</v>
      </c>
      <c r="Q1564" t="s">
        <v>157</v>
      </c>
    </row>
    <row r="1565" spans="1:17" x14ac:dyDescent="0.2">
      <c r="A1565">
        <v>1039481</v>
      </c>
      <c r="B1565">
        <v>194</v>
      </c>
      <c r="C1565" s="1" t="s">
        <v>113</v>
      </c>
      <c r="D1565" s="11">
        <v>45060.961111111108</v>
      </c>
      <c r="E1565" t="s">
        <v>191</v>
      </c>
      <c r="F1565" t="s">
        <v>24</v>
      </c>
      <c r="G1565">
        <v>8428</v>
      </c>
      <c r="H1565" s="5" t="s">
        <v>113</v>
      </c>
      <c r="I1565" s="15">
        <v>45060</v>
      </c>
      <c r="J1565" s="15" t="s">
        <v>233</v>
      </c>
      <c r="K1565" s="6">
        <v>0.46111111111111114</v>
      </c>
      <c r="L1565" t="s">
        <v>143</v>
      </c>
      <c r="M1565">
        <v>200000</v>
      </c>
      <c r="N1565" t="s">
        <v>214</v>
      </c>
      <c r="O1565" t="s">
        <v>152</v>
      </c>
      <c r="P1565">
        <v>64</v>
      </c>
      <c r="Q1565" t="s">
        <v>154</v>
      </c>
    </row>
    <row r="1566" spans="1:17" x14ac:dyDescent="0.2">
      <c r="A1566">
        <v>1039541</v>
      </c>
      <c r="B1566">
        <v>694</v>
      </c>
      <c r="C1566" s="1" t="s">
        <v>102</v>
      </c>
      <c r="D1566" s="11">
        <v>44949.015972222223</v>
      </c>
      <c r="E1566" t="s">
        <v>96</v>
      </c>
      <c r="F1566" t="s">
        <v>4</v>
      </c>
      <c r="G1566">
        <v>8648</v>
      </c>
      <c r="H1566" s="5" t="s">
        <v>102</v>
      </c>
      <c r="I1566" s="15">
        <v>44949</v>
      </c>
      <c r="J1566" s="15" t="s">
        <v>232</v>
      </c>
      <c r="K1566" s="6">
        <v>0.51597222222222228</v>
      </c>
      <c r="L1566" t="s">
        <v>142</v>
      </c>
      <c r="M1566">
        <v>200000</v>
      </c>
      <c r="N1566" t="s">
        <v>197</v>
      </c>
      <c r="O1566" t="s">
        <v>151</v>
      </c>
      <c r="P1566">
        <v>36</v>
      </c>
      <c r="Q1566" t="s">
        <v>155</v>
      </c>
    </row>
    <row r="1567" spans="1:17" x14ac:dyDescent="0.2">
      <c r="A1567">
        <v>1041039</v>
      </c>
      <c r="B1567">
        <v>1826</v>
      </c>
      <c r="C1567" s="1" t="s">
        <v>107</v>
      </c>
      <c r="D1567" s="11">
        <v>44930.970138888886</v>
      </c>
      <c r="E1567" t="s">
        <v>191</v>
      </c>
      <c r="F1567" t="s">
        <v>14</v>
      </c>
      <c r="G1567">
        <v>7801</v>
      </c>
      <c r="H1567" s="5" t="s">
        <v>107</v>
      </c>
      <c r="I1567" s="15">
        <v>44930</v>
      </c>
      <c r="J1567" s="15" t="s">
        <v>232</v>
      </c>
      <c r="K1567" s="6">
        <v>0.47013888888888888</v>
      </c>
      <c r="L1567" t="s">
        <v>142</v>
      </c>
      <c r="M1567">
        <v>250000</v>
      </c>
      <c r="N1567" t="s">
        <v>207</v>
      </c>
      <c r="O1567" t="s">
        <v>151</v>
      </c>
      <c r="P1567">
        <v>21</v>
      </c>
      <c r="Q1567" t="s">
        <v>157</v>
      </c>
    </row>
    <row r="1568" spans="1:17" x14ac:dyDescent="0.2">
      <c r="A1568">
        <v>1041266</v>
      </c>
      <c r="B1568">
        <v>1598</v>
      </c>
      <c r="C1568" s="1" t="s">
        <v>110</v>
      </c>
      <c r="D1568" s="11">
        <v>45069.029861111114</v>
      </c>
      <c r="E1568" t="s">
        <v>96</v>
      </c>
      <c r="F1568" t="s">
        <v>6</v>
      </c>
      <c r="G1568">
        <v>1369</v>
      </c>
      <c r="H1568" s="5" t="s">
        <v>110</v>
      </c>
      <c r="I1568" s="15">
        <v>45069</v>
      </c>
      <c r="J1568" s="15" t="s">
        <v>233</v>
      </c>
      <c r="K1568" s="6">
        <v>0.52986111111111112</v>
      </c>
      <c r="L1568" t="s">
        <v>144</v>
      </c>
      <c r="M1568">
        <v>100000</v>
      </c>
      <c r="N1568" t="s">
        <v>199</v>
      </c>
      <c r="O1568" t="s">
        <v>152</v>
      </c>
      <c r="P1568">
        <v>29</v>
      </c>
      <c r="Q1568" t="s">
        <v>157</v>
      </c>
    </row>
    <row r="1569" spans="1:17" x14ac:dyDescent="0.2">
      <c r="A1569">
        <v>1042847</v>
      </c>
      <c r="B1569">
        <v>1524</v>
      </c>
      <c r="C1569" s="1" t="s">
        <v>100</v>
      </c>
      <c r="D1569" s="11">
        <v>44961.980555555558</v>
      </c>
      <c r="E1569" t="s">
        <v>98</v>
      </c>
      <c r="F1569" t="s">
        <v>7</v>
      </c>
      <c r="G1569">
        <v>2979</v>
      </c>
      <c r="H1569" s="5" t="s">
        <v>100</v>
      </c>
      <c r="I1569" s="15">
        <v>44961</v>
      </c>
      <c r="J1569" s="15" t="s">
        <v>232</v>
      </c>
      <c r="K1569" s="6">
        <v>0.48055555555555557</v>
      </c>
      <c r="L1569" t="s">
        <v>144</v>
      </c>
      <c r="M1569">
        <v>150000</v>
      </c>
      <c r="N1569" t="s">
        <v>200</v>
      </c>
      <c r="O1569" t="s">
        <v>152</v>
      </c>
      <c r="P1569">
        <v>75</v>
      </c>
      <c r="Q1569" t="s">
        <v>157</v>
      </c>
    </row>
    <row r="1570" spans="1:17" x14ac:dyDescent="0.2">
      <c r="A1570">
        <v>1043105</v>
      </c>
      <c r="B1570">
        <v>288</v>
      </c>
      <c r="C1570" s="1" t="s">
        <v>99</v>
      </c>
      <c r="D1570" s="11">
        <v>45146.954861111109</v>
      </c>
      <c r="E1570" t="s">
        <v>96</v>
      </c>
      <c r="F1570" t="s">
        <v>21</v>
      </c>
      <c r="G1570">
        <v>9185</v>
      </c>
      <c r="H1570" s="5" t="s">
        <v>99</v>
      </c>
      <c r="I1570" s="15">
        <v>45146</v>
      </c>
      <c r="J1570" s="15" t="s">
        <v>234</v>
      </c>
      <c r="K1570" s="6">
        <v>0.4548611111111111</v>
      </c>
      <c r="L1570" t="s">
        <v>142</v>
      </c>
      <c r="M1570">
        <v>150000</v>
      </c>
      <c r="N1570" t="s">
        <v>211</v>
      </c>
      <c r="O1570" t="s">
        <v>151</v>
      </c>
      <c r="P1570">
        <v>38</v>
      </c>
      <c r="Q1570" t="s">
        <v>154</v>
      </c>
    </row>
    <row r="1571" spans="1:17" x14ac:dyDescent="0.2">
      <c r="A1571">
        <v>1043175</v>
      </c>
      <c r="B1571">
        <v>644</v>
      </c>
      <c r="C1571" s="1" t="s">
        <v>106</v>
      </c>
      <c r="D1571" s="11">
        <v>45106.981944444444</v>
      </c>
      <c r="E1571" t="s">
        <v>98</v>
      </c>
      <c r="F1571" t="s">
        <v>9</v>
      </c>
      <c r="G1571">
        <v>3317</v>
      </c>
      <c r="H1571" s="5" t="s">
        <v>106</v>
      </c>
      <c r="I1571" s="15">
        <v>45106</v>
      </c>
      <c r="J1571" s="15" t="s">
        <v>233</v>
      </c>
      <c r="K1571" s="6">
        <v>0.48194444444444445</v>
      </c>
      <c r="L1571" t="s">
        <v>144</v>
      </c>
      <c r="M1571">
        <v>150000</v>
      </c>
      <c r="N1571" t="s">
        <v>202</v>
      </c>
      <c r="O1571" t="s">
        <v>151</v>
      </c>
      <c r="P1571">
        <v>61</v>
      </c>
      <c r="Q1571" t="s">
        <v>155</v>
      </c>
    </row>
    <row r="1572" spans="1:17" x14ac:dyDescent="0.2">
      <c r="A1572">
        <v>1044084</v>
      </c>
      <c r="B1572">
        <v>1073</v>
      </c>
      <c r="C1572" s="1" t="s">
        <v>105</v>
      </c>
      <c r="D1572" s="11">
        <v>45040.05</v>
      </c>
      <c r="E1572" t="s">
        <v>191</v>
      </c>
      <c r="F1572" t="s">
        <v>10</v>
      </c>
      <c r="G1572">
        <v>1891</v>
      </c>
      <c r="H1572" s="5" t="s">
        <v>105</v>
      </c>
      <c r="I1572" s="15">
        <v>45040</v>
      </c>
      <c r="J1572" s="15" t="s">
        <v>233</v>
      </c>
      <c r="K1572" s="6">
        <v>0.05</v>
      </c>
      <c r="L1572" t="s">
        <v>145</v>
      </c>
      <c r="M1572">
        <v>150000</v>
      </c>
      <c r="N1572" t="s">
        <v>203</v>
      </c>
      <c r="O1572" t="s">
        <v>152</v>
      </c>
      <c r="P1572">
        <v>60</v>
      </c>
      <c r="Q1572" t="s">
        <v>156</v>
      </c>
    </row>
    <row r="1573" spans="1:17" x14ac:dyDescent="0.2">
      <c r="A1573">
        <v>1044744</v>
      </c>
      <c r="B1573">
        <v>1780</v>
      </c>
      <c r="C1573" s="1" t="s">
        <v>106</v>
      </c>
      <c r="D1573" s="11">
        <v>44968.002083333333</v>
      </c>
      <c r="E1573" t="s">
        <v>98</v>
      </c>
      <c r="F1573" t="s">
        <v>11</v>
      </c>
      <c r="G1573">
        <v>5782</v>
      </c>
      <c r="H1573" s="5" t="s">
        <v>106</v>
      </c>
      <c r="I1573" s="15">
        <v>44968</v>
      </c>
      <c r="J1573" s="15" t="s">
        <v>232</v>
      </c>
      <c r="K1573" s="6">
        <v>0.50208333333333333</v>
      </c>
      <c r="L1573" t="s">
        <v>143</v>
      </c>
      <c r="M1573">
        <v>150000</v>
      </c>
      <c r="N1573" t="s">
        <v>204</v>
      </c>
      <c r="O1573" t="s">
        <v>152</v>
      </c>
      <c r="P1573">
        <v>49</v>
      </c>
      <c r="Q1573" t="s">
        <v>157</v>
      </c>
    </row>
    <row r="1574" spans="1:17" x14ac:dyDescent="0.2">
      <c r="A1574">
        <v>1045182</v>
      </c>
      <c r="B1574">
        <v>862</v>
      </c>
      <c r="C1574" s="1" t="s">
        <v>99</v>
      </c>
      <c r="D1574" s="11">
        <v>44983.069444444445</v>
      </c>
      <c r="E1574" t="s">
        <v>191</v>
      </c>
      <c r="F1574" t="s">
        <v>12</v>
      </c>
      <c r="G1574">
        <v>8821</v>
      </c>
      <c r="H1574" s="5" t="s">
        <v>99</v>
      </c>
      <c r="I1574" s="15">
        <v>44983</v>
      </c>
      <c r="J1574" s="15" t="s">
        <v>232</v>
      </c>
      <c r="K1574" s="6">
        <v>6.9444444444444448E-2</v>
      </c>
      <c r="L1574" t="s">
        <v>143</v>
      </c>
      <c r="M1574">
        <v>150000</v>
      </c>
      <c r="N1574" t="s">
        <v>205</v>
      </c>
      <c r="O1574" t="s">
        <v>152</v>
      </c>
      <c r="P1574">
        <v>68</v>
      </c>
      <c r="Q1574" t="s">
        <v>155</v>
      </c>
    </row>
    <row r="1575" spans="1:17" x14ac:dyDescent="0.2">
      <c r="A1575">
        <v>1045700</v>
      </c>
      <c r="B1575">
        <v>539</v>
      </c>
      <c r="C1575" s="1" t="s">
        <v>113</v>
      </c>
      <c r="D1575" s="11">
        <v>45262.026388888888</v>
      </c>
      <c r="E1575" t="s">
        <v>191</v>
      </c>
      <c r="F1575" t="s">
        <v>48</v>
      </c>
      <c r="G1575">
        <v>5012</v>
      </c>
      <c r="H1575" s="5" t="s">
        <v>113</v>
      </c>
      <c r="I1575" s="15">
        <v>45262</v>
      </c>
      <c r="J1575" s="15" t="s">
        <v>295</v>
      </c>
      <c r="K1575" s="6">
        <v>0.52638888888888891</v>
      </c>
      <c r="L1575" t="s">
        <v>142</v>
      </c>
      <c r="M1575">
        <v>100000</v>
      </c>
      <c r="N1575" t="s">
        <v>209</v>
      </c>
      <c r="O1575" t="s">
        <v>152</v>
      </c>
      <c r="P1575">
        <v>24</v>
      </c>
      <c r="Q1575" t="s">
        <v>155</v>
      </c>
    </row>
    <row r="1576" spans="1:17" x14ac:dyDescent="0.2">
      <c r="A1576">
        <v>1046125</v>
      </c>
      <c r="B1576">
        <v>1258</v>
      </c>
      <c r="C1576" s="1" t="s">
        <v>99</v>
      </c>
      <c r="D1576" s="11">
        <v>45024.020138888889</v>
      </c>
      <c r="E1576" t="s">
        <v>96</v>
      </c>
      <c r="F1576" t="s">
        <v>14</v>
      </c>
      <c r="G1576">
        <v>9104</v>
      </c>
      <c r="H1576" s="5" t="s">
        <v>99</v>
      </c>
      <c r="I1576" s="15">
        <v>45024</v>
      </c>
      <c r="J1576" s="15" t="s">
        <v>233</v>
      </c>
      <c r="K1576" s="6">
        <v>0.52013888888888893</v>
      </c>
      <c r="L1576" t="s">
        <v>142</v>
      </c>
      <c r="M1576">
        <v>250000</v>
      </c>
      <c r="N1576" t="s">
        <v>207</v>
      </c>
      <c r="O1576" t="s">
        <v>151</v>
      </c>
      <c r="P1576">
        <v>87</v>
      </c>
      <c r="Q1576" t="s">
        <v>156</v>
      </c>
    </row>
    <row r="1577" spans="1:17" x14ac:dyDescent="0.2">
      <c r="A1577">
        <v>1046974</v>
      </c>
      <c r="B1577">
        <v>1060</v>
      </c>
      <c r="C1577" s="1" t="s">
        <v>113</v>
      </c>
      <c r="D1577" s="11">
        <v>45280.957638888889</v>
      </c>
      <c r="E1577" t="s">
        <v>97</v>
      </c>
      <c r="F1577" t="s">
        <v>49</v>
      </c>
      <c r="G1577">
        <v>2067</v>
      </c>
      <c r="H1577" s="5" t="s">
        <v>113</v>
      </c>
      <c r="I1577" s="15">
        <v>45280</v>
      </c>
      <c r="J1577" s="15" t="s">
        <v>295</v>
      </c>
      <c r="K1577" s="6">
        <v>0.45763888888888887</v>
      </c>
      <c r="L1577" t="s">
        <v>146</v>
      </c>
      <c r="M1577">
        <v>100000</v>
      </c>
      <c r="N1577" t="s">
        <v>222</v>
      </c>
      <c r="O1577" t="s">
        <v>152</v>
      </c>
      <c r="P1577">
        <v>62</v>
      </c>
      <c r="Q1577" t="s">
        <v>156</v>
      </c>
    </row>
    <row r="1578" spans="1:17" x14ac:dyDescent="0.2">
      <c r="A1578">
        <v>1047821</v>
      </c>
      <c r="B1578">
        <v>1259</v>
      </c>
      <c r="C1578" s="1" t="s">
        <v>99</v>
      </c>
      <c r="D1578" s="11">
        <v>45104.961805555555</v>
      </c>
      <c r="E1578" t="s">
        <v>191</v>
      </c>
      <c r="F1578" t="s">
        <v>65</v>
      </c>
      <c r="G1578">
        <v>4812</v>
      </c>
      <c r="H1578" s="5" t="s">
        <v>99</v>
      </c>
      <c r="I1578" s="15">
        <v>45104</v>
      </c>
      <c r="J1578" s="15" t="s">
        <v>233</v>
      </c>
      <c r="K1578" s="6">
        <v>0.46180555555555558</v>
      </c>
      <c r="L1578" t="s">
        <v>146</v>
      </c>
      <c r="M1578">
        <v>200000</v>
      </c>
      <c r="N1578" t="s">
        <v>225</v>
      </c>
      <c r="O1578" t="s">
        <v>151</v>
      </c>
      <c r="P1578">
        <v>45</v>
      </c>
      <c r="Q1578" t="s">
        <v>156</v>
      </c>
    </row>
    <row r="1579" spans="1:17" x14ac:dyDescent="0.2">
      <c r="A1579">
        <v>1047874</v>
      </c>
      <c r="B1579">
        <v>420</v>
      </c>
      <c r="C1579" s="1" t="s">
        <v>105</v>
      </c>
      <c r="D1579" s="11">
        <v>45181.958333333336</v>
      </c>
      <c r="E1579" t="s">
        <v>97</v>
      </c>
      <c r="F1579" t="s">
        <v>17</v>
      </c>
      <c r="G1579">
        <v>4920</v>
      </c>
      <c r="H1579" s="5" t="s">
        <v>105</v>
      </c>
      <c r="I1579" s="15">
        <v>45181</v>
      </c>
      <c r="J1579" s="15" t="s">
        <v>234</v>
      </c>
      <c r="K1579" s="6">
        <v>0.45833333333333331</v>
      </c>
      <c r="L1579" t="s">
        <v>142</v>
      </c>
      <c r="M1579">
        <v>100000</v>
      </c>
      <c r="N1579" t="s">
        <v>209</v>
      </c>
      <c r="O1579" t="s">
        <v>152</v>
      </c>
      <c r="P1579">
        <v>72</v>
      </c>
      <c r="Q1579" t="s">
        <v>154</v>
      </c>
    </row>
    <row r="1580" spans="1:17" x14ac:dyDescent="0.2">
      <c r="A1580">
        <v>1050256</v>
      </c>
      <c r="B1580">
        <v>1770</v>
      </c>
      <c r="C1580" s="1" t="s">
        <v>104</v>
      </c>
      <c r="D1580" s="11">
        <v>45041.063888888886</v>
      </c>
      <c r="E1580" t="s">
        <v>96</v>
      </c>
      <c r="F1580" t="s">
        <v>18</v>
      </c>
      <c r="G1580">
        <v>9723</v>
      </c>
      <c r="H1580" s="5" t="s">
        <v>104</v>
      </c>
      <c r="I1580" s="15">
        <v>45041</v>
      </c>
      <c r="J1580" s="15" t="s">
        <v>233</v>
      </c>
      <c r="K1580" s="6">
        <v>6.3888888888888884E-2</v>
      </c>
      <c r="L1580" t="s">
        <v>145</v>
      </c>
      <c r="M1580">
        <v>200000</v>
      </c>
      <c r="N1580" t="s">
        <v>210</v>
      </c>
      <c r="O1580" t="s">
        <v>151</v>
      </c>
      <c r="P1580">
        <v>88</v>
      </c>
      <c r="Q1580" t="s">
        <v>157</v>
      </c>
    </row>
    <row r="1581" spans="1:17" x14ac:dyDescent="0.2">
      <c r="A1581">
        <v>1050351</v>
      </c>
      <c r="B1581">
        <v>497</v>
      </c>
      <c r="C1581" s="1" t="s">
        <v>99</v>
      </c>
      <c r="D1581" s="11">
        <v>45121.000694444447</v>
      </c>
      <c r="E1581" t="s">
        <v>97</v>
      </c>
      <c r="F1581" t="s">
        <v>19</v>
      </c>
      <c r="G1581">
        <v>9863</v>
      </c>
      <c r="H1581" s="5" t="s">
        <v>99</v>
      </c>
      <c r="I1581" s="15">
        <v>45121</v>
      </c>
      <c r="J1581" s="15" t="s">
        <v>234</v>
      </c>
      <c r="K1581" s="6">
        <v>0.50069444444444444</v>
      </c>
      <c r="L1581" t="s">
        <v>142</v>
      </c>
      <c r="M1581">
        <v>150000</v>
      </c>
      <c r="N1581" t="s">
        <v>211</v>
      </c>
      <c r="O1581" t="s">
        <v>151</v>
      </c>
      <c r="P1581">
        <v>88</v>
      </c>
      <c r="Q1581" t="s">
        <v>154</v>
      </c>
    </row>
    <row r="1582" spans="1:17" x14ac:dyDescent="0.2">
      <c r="A1582">
        <v>1050970</v>
      </c>
      <c r="B1582">
        <v>47</v>
      </c>
      <c r="C1582" s="1" t="s">
        <v>105</v>
      </c>
      <c r="D1582" s="11">
        <v>45055.050694444442</v>
      </c>
      <c r="E1582" t="s">
        <v>98</v>
      </c>
      <c r="F1582" t="s">
        <v>79</v>
      </c>
      <c r="G1582">
        <v>2859</v>
      </c>
      <c r="H1582" s="5" t="s">
        <v>105</v>
      </c>
      <c r="I1582" s="15">
        <v>45055</v>
      </c>
      <c r="J1582" s="15" t="s">
        <v>233</v>
      </c>
      <c r="K1582" s="6">
        <v>5.0694444444444445E-2</v>
      </c>
      <c r="L1582" t="s">
        <v>143</v>
      </c>
      <c r="M1582">
        <v>50000</v>
      </c>
      <c r="N1582" t="s">
        <v>204</v>
      </c>
      <c r="O1582" t="s">
        <v>151</v>
      </c>
      <c r="P1582">
        <v>25</v>
      </c>
      <c r="Q1582" t="s">
        <v>154</v>
      </c>
    </row>
    <row r="1583" spans="1:17" x14ac:dyDescent="0.2">
      <c r="A1583">
        <v>1051057</v>
      </c>
      <c r="B1583">
        <v>482</v>
      </c>
      <c r="C1583" s="1" t="s">
        <v>100</v>
      </c>
      <c r="D1583" s="11">
        <v>45048.997916666667</v>
      </c>
      <c r="E1583" t="s">
        <v>96</v>
      </c>
      <c r="F1583" t="s">
        <v>51</v>
      </c>
      <c r="G1583">
        <v>4768</v>
      </c>
      <c r="H1583" s="5" t="s">
        <v>100</v>
      </c>
      <c r="I1583" s="15">
        <v>45048</v>
      </c>
      <c r="J1583" s="15" t="s">
        <v>233</v>
      </c>
      <c r="K1583" s="6">
        <v>0.49791666666666667</v>
      </c>
      <c r="L1583" t="s">
        <v>145</v>
      </c>
      <c r="M1583">
        <v>100000</v>
      </c>
      <c r="N1583" t="s">
        <v>217</v>
      </c>
      <c r="O1583" t="s">
        <v>151</v>
      </c>
      <c r="P1583">
        <v>82</v>
      </c>
      <c r="Q1583" t="s">
        <v>154</v>
      </c>
    </row>
    <row r="1584" spans="1:17" x14ac:dyDescent="0.2">
      <c r="A1584">
        <v>1051553</v>
      </c>
      <c r="B1584">
        <v>231</v>
      </c>
      <c r="C1584" s="1" t="s">
        <v>99</v>
      </c>
      <c r="D1584" s="11">
        <v>45198.018055555556</v>
      </c>
      <c r="E1584" t="s">
        <v>191</v>
      </c>
      <c r="F1584" t="s">
        <v>22</v>
      </c>
      <c r="G1584">
        <v>8153</v>
      </c>
      <c r="H1584" s="5" t="s">
        <v>99</v>
      </c>
      <c r="I1584" s="15">
        <v>45198</v>
      </c>
      <c r="J1584" s="15" t="s">
        <v>234</v>
      </c>
      <c r="K1584" s="6">
        <v>0.5180555555555556</v>
      </c>
      <c r="L1584" t="s">
        <v>144</v>
      </c>
      <c r="M1584">
        <v>100000</v>
      </c>
      <c r="N1584" t="s">
        <v>202</v>
      </c>
      <c r="O1584" t="s">
        <v>151</v>
      </c>
      <c r="P1584">
        <v>41</v>
      </c>
      <c r="Q1584" t="s">
        <v>154</v>
      </c>
    </row>
    <row r="1585" spans="1:17" x14ac:dyDescent="0.2">
      <c r="A1585">
        <v>1052119</v>
      </c>
      <c r="B1585">
        <v>634</v>
      </c>
      <c r="C1585" s="1" t="s">
        <v>99</v>
      </c>
      <c r="D1585" s="11">
        <v>45153.006944444445</v>
      </c>
      <c r="E1585" t="s">
        <v>191</v>
      </c>
      <c r="F1585" t="s">
        <v>4</v>
      </c>
      <c r="G1585">
        <v>4462</v>
      </c>
      <c r="H1585" s="5" t="s">
        <v>99</v>
      </c>
      <c r="I1585" s="15">
        <v>45153</v>
      </c>
      <c r="J1585" s="15" t="s">
        <v>234</v>
      </c>
      <c r="K1585" s="6">
        <v>0.50694444444444442</v>
      </c>
      <c r="L1585" t="s">
        <v>142</v>
      </c>
      <c r="M1585">
        <v>200000</v>
      </c>
      <c r="N1585" t="s">
        <v>197</v>
      </c>
      <c r="O1585" t="s">
        <v>151</v>
      </c>
      <c r="P1585">
        <v>62</v>
      </c>
      <c r="Q1585" t="s">
        <v>155</v>
      </c>
    </row>
    <row r="1586" spans="1:17" x14ac:dyDescent="0.2">
      <c r="A1586">
        <v>1052606</v>
      </c>
      <c r="B1586">
        <v>577</v>
      </c>
      <c r="C1586" s="1" t="s">
        <v>100</v>
      </c>
      <c r="D1586" s="11">
        <v>45233.006944444445</v>
      </c>
      <c r="E1586" t="s">
        <v>97</v>
      </c>
      <c r="F1586" t="s">
        <v>57</v>
      </c>
      <c r="G1586">
        <v>701</v>
      </c>
      <c r="H1586" s="5" t="s">
        <v>100</v>
      </c>
      <c r="I1586" s="15">
        <v>45233</v>
      </c>
      <c r="J1586" s="15" t="s">
        <v>295</v>
      </c>
      <c r="K1586" s="6">
        <v>0.50694444444444442</v>
      </c>
      <c r="L1586" t="s">
        <v>142</v>
      </c>
      <c r="M1586">
        <v>50000</v>
      </c>
      <c r="N1586" t="s">
        <v>208</v>
      </c>
      <c r="O1586" t="s">
        <v>152</v>
      </c>
      <c r="P1586">
        <v>74</v>
      </c>
      <c r="Q1586" t="s">
        <v>155</v>
      </c>
    </row>
    <row r="1587" spans="1:17" x14ac:dyDescent="0.2">
      <c r="A1587">
        <v>1053680</v>
      </c>
      <c r="B1587">
        <v>1618</v>
      </c>
      <c r="C1587" s="1" t="s">
        <v>99</v>
      </c>
      <c r="D1587" s="11">
        <v>45233.082638888889</v>
      </c>
      <c r="E1587" t="s">
        <v>96</v>
      </c>
      <c r="F1587" t="s">
        <v>77</v>
      </c>
      <c r="G1587">
        <v>6474</v>
      </c>
      <c r="H1587" s="5" t="s">
        <v>99</v>
      </c>
      <c r="I1587" s="15">
        <v>45233</v>
      </c>
      <c r="J1587" s="15" t="s">
        <v>295</v>
      </c>
      <c r="K1587" s="6">
        <v>8.2638888888888887E-2</v>
      </c>
      <c r="L1587" t="s">
        <v>146</v>
      </c>
      <c r="M1587">
        <v>100000</v>
      </c>
      <c r="N1587" t="s">
        <v>222</v>
      </c>
      <c r="O1587" t="s">
        <v>151</v>
      </c>
      <c r="P1587">
        <v>50</v>
      </c>
      <c r="Q1587" t="s">
        <v>157</v>
      </c>
    </row>
    <row r="1588" spans="1:17" x14ac:dyDescent="0.2">
      <c r="A1588">
        <v>1054349</v>
      </c>
      <c r="B1588">
        <v>1473</v>
      </c>
      <c r="C1588" s="1" t="s">
        <v>99</v>
      </c>
      <c r="D1588" s="11">
        <v>45026.978472222225</v>
      </c>
      <c r="E1588" t="s">
        <v>96</v>
      </c>
      <c r="F1588" t="s">
        <v>18</v>
      </c>
      <c r="G1588">
        <v>4060</v>
      </c>
      <c r="H1588" s="5" t="s">
        <v>99</v>
      </c>
      <c r="I1588" s="15">
        <v>45026</v>
      </c>
      <c r="J1588" s="15" t="s">
        <v>233</v>
      </c>
      <c r="K1588" s="6">
        <v>0.47847222222222224</v>
      </c>
      <c r="L1588" t="s">
        <v>145</v>
      </c>
      <c r="M1588">
        <v>200000</v>
      </c>
      <c r="N1588" t="s">
        <v>210</v>
      </c>
      <c r="O1588" t="s">
        <v>152</v>
      </c>
      <c r="P1588">
        <v>40</v>
      </c>
      <c r="Q1588" t="s">
        <v>156</v>
      </c>
    </row>
    <row r="1589" spans="1:17" x14ac:dyDescent="0.2">
      <c r="A1589">
        <v>1054639</v>
      </c>
      <c r="B1589">
        <v>1865</v>
      </c>
      <c r="C1589" s="1" t="s">
        <v>100</v>
      </c>
      <c r="D1589" s="11">
        <v>44983</v>
      </c>
      <c r="E1589" t="s">
        <v>191</v>
      </c>
      <c r="F1589" t="s">
        <v>41</v>
      </c>
      <c r="G1589">
        <v>4421</v>
      </c>
      <c r="H1589" s="5" t="s">
        <v>100</v>
      </c>
      <c r="I1589" s="15">
        <v>44983</v>
      </c>
      <c r="J1589" s="15" t="s">
        <v>232</v>
      </c>
      <c r="K1589" s="6">
        <v>0.5</v>
      </c>
      <c r="L1589" t="s">
        <v>145</v>
      </c>
      <c r="M1589">
        <v>150000</v>
      </c>
      <c r="N1589" t="s">
        <v>203</v>
      </c>
      <c r="O1589" t="s">
        <v>151</v>
      </c>
      <c r="P1589">
        <v>90</v>
      </c>
      <c r="Q1589" t="s">
        <v>157</v>
      </c>
    </row>
    <row r="1590" spans="1:17" x14ac:dyDescent="0.2">
      <c r="A1590">
        <v>1055786</v>
      </c>
      <c r="B1590">
        <v>1205</v>
      </c>
      <c r="C1590" s="1" t="s">
        <v>105</v>
      </c>
      <c r="D1590" s="11">
        <v>45143.052777777775</v>
      </c>
      <c r="E1590" t="s">
        <v>97</v>
      </c>
      <c r="F1590" t="s">
        <v>13</v>
      </c>
      <c r="G1590">
        <v>7809</v>
      </c>
      <c r="H1590" s="5" t="s">
        <v>105</v>
      </c>
      <c r="I1590" s="15">
        <v>45143</v>
      </c>
      <c r="J1590" s="15" t="s">
        <v>234</v>
      </c>
      <c r="K1590" s="6">
        <v>5.2777777777777778E-2</v>
      </c>
      <c r="L1590" t="s">
        <v>143</v>
      </c>
      <c r="M1590">
        <v>150000</v>
      </c>
      <c r="N1590" t="s">
        <v>206</v>
      </c>
      <c r="O1590" t="s">
        <v>152</v>
      </c>
      <c r="P1590">
        <v>89</v>
      </c>
      <c r="Q1590" t="s">
        <v>156</v>
      </c>
    </row>
    <row r="1591" spans="1:17" x14ac:dyDescent="0.2">
      <c r="A1591">
        <v>1055810</v>
      </c>
      <c r="B1591">
        <v>1362</v>
      </c>
      <c r="C1591" s="1" t="s">
        <v>102</v>
      </c>
      <c r="D1591" s="11">
        <v>44935.992361111108</v>
      </c>
      <c r="E1591" t="s">
        <v>97</v>
      </c>
      <c r="F1591" t="s">
        <v>74</v>
      </c>
      <c r="G1591">
        <v>563</v>
      </c>
      <c r="H1591" s="5" t="s">
        <v>102</v>
      </c>
      <c r="I1591" s="15">
        <v>44935</v>
      </c>
      <c r="J1591" s="15" t="s">
        <v>232</v>
      </c>
      <c r="K1591" s="6">
        <v>0.49236111111111114</v>
      </c>
      <c r="L1591" t="s">
        <v>145</v>
      </c>
      <c r="M1591">
        <v>150000</v>
      </c>
      <c r="N1591" t="s">
        <v>226</v>
      </c>
      <c r="O1591" t="s">
        <v>151</v>
      </c>
      <c r="P1591">
        <v>40</v>
      </c>
      <c r="Q1591" t="s">
        <v>156</v>
      </c>
    </row>
    <row r="1592" spans="1:17" x14ac:dyDescent="0.2">
      <c r="A1592">
        <v>1055817</v>
      </c>
      <c r="B1592">
        <v>1697</v>
      </c>
      <c r="C1592" s="1" t="s">
        <v>100</v>
      </c>
      <c r="D1592" s="11">
        <v>45079.958333333336</v>
      </c>
      <c r="E1592" t="s">
        <v>98</v>
      </c>
      <c r="F1592" t="s">
        <v>52</v>
      </c>
      <c r="G1592">
        <v>8477</v>
      </c>
      <c r="H1592" s="5" t="s">
        <v>100</v>
      </c>
      <c r="I1592" s="15">
        <v>45079</v>
      </c>
      <c r="J1592" s="15" t="s">
        <v>233</v>
      </c>
      <c r="K1592" s="6">
        <v>0.45833333333333331</v>
      </c>
      <c r="L1592" t="s">
        <v>143</v>
      </c>
      <c r="M1592">
        <v>100000</v>
      </c>
      <c r="N1592" t="s">
        <v>206</v>
      </c>
      <c r="O1592" t="s">
        <v>152</v>
      </c>
      <c r="P1592">
        <v>65</v>
      </c>
      <c r="Q1592" t="s">
        <v>157</v>
      </c>
    </row>
    <row r="1593" spans="1:17" x14ac:dyDescent="0.2">
      <c r="A1593">
        <v>1056320</v>
      </c>
      <c r="B1593">
        <v>856</v>
      </c>
      <c r="C1593" s="1" t="s">
        <v>99</v>
      </c>
      <c r="D1593" s="11">
        <v>45024.050694444442</v>
      </c>
      <c r="E1593" t="s">
        <v>191</v>
      </c>
      <c r="F1593" t="s">
        <v>30</v>
      </c>
      <c r="G1593">
        <v>6535</v>
      </c>
      <c r="H1593" s="5" t="s">
        <v>99</v>
      </c>
      <c r="I1593" s="15">
        <v>45024</v>
      </c>
      <c r="J1593" s="15" t="s">
        <v>233</v>
      </c>
      <c r="K1593" s="6">
        <v>5.0694444444444445E-2</v>
      </c>
      <c r="L1593" t="s">
        <v>144</v>
      </c>
      <c r="M1593">
        <v>200000</v>
      </c>
      <c r="N1593" t="s">
        <v>216</v>
      </c>
      <c r="O1593" t="s">
        <v>151</v>
      </c>
      <c r="P1593">
        <v>59</v>
      </c>
      <c r="Q1593" t="s">
        <v>155</v>
      </c>
    </row>
    <row r="1594" spans="1:17" x14ac:dyDescent="0.2">
      <c r="A1594">
        <v>1056575</v>
      </c>
      <c r="B1594">
        <v>1149</v>
      </c>
      <c r="C1594" s="1" t="s">
        <v>99</v>
      </c>
      <c r="D1594" s="11">
        <v>45017.057638888888</v>
      </c>
      <c r="E1594" t="s">
        <v>192</v>
      </c>
      <c r="F1594" t="s">
        <v>53</v>
      </c>
      <c r="G1594">
        <v>1439</v>
      </c>
      <c r="H1594" s="5" t="s">
        <v>99</v>
      </c>
      <c r="I1594" s="15">
        <v>45017</v>
      </c>
      <c r="J1594" s="15" t="s">
        <v>233</v>
      </c>
      <c r="K1594" s="6">
        <v>5.7638888888888892E-2</v>
      </c>
      <c r="L1594" t="s">
        <v>142</v>
      </c>
      <c r="M1594">
        <v>100000</v>
      </c>
      <c r="N1594" t="s">
        <v>207</v>
      </c>
      <c r="O1594" t="s">
        <v>151</v>
      </c>
      <c r="P1594">
        <v>31</v>
      </c>
      <c r="Q1594" t="s">
        <v>156</v>
      </c>
    </row>
    <row r="1595" spans="1:17" x14ac:dyDescent="0.2">
      <c r="A1595">
        <v>1056710</v>
      </c>
      <c r="B1595">
        <v>1243</v>
      </c>
      <c r="C1595" s="1" t="s">
        <v>105</v>
      </c>
      <c r="D1595" s="11">
        <v>45138.027777777781</v>
      </c>
      <c r="E1595" t="s">
        <v>191</v>
      </c>
      <c r="F1595" t="s">
        <v>43</v>
      </c>
      <c r="G1595">
        <v>1855</v>
      </c>
      <c r="H1595" s="5" t="s">
        <v>105</v>
      </c>
      <c r="I1595" s="15">
        <v>45138</v>
      </c>
      <c r="J1595" s="15" t="s">
        <v>234</v>
      </c>
      <c r="K1595" s="6">
        <v>0.52777777777777779</v>
      </c>
      <c r="L1595" t="s">
        <v>145</v>
      </c>
      <c r="M1595">
        <v>1000000</v>
      </c>
      <c r="N1595" t="s">
        <v>203</v>
      </c>
      <c r="O1595" t="s">
        <v>151</v>
      </c>
      <c r="P1595">
        <v>24</v>
      </c>
      <c r="Q1595" t="s">
        <v>156</v>
      </c>
    </row>
    <row r="1596" spans="1:17" x14ac:dyDescent="0.2">
      <c r="A1596">
        <v>1057228</v>
      </c>
      <c r="B1596">
        <v>1029</v>
      </c>
      <c r="C1596" s="1" t="s">
        <v>105</v>
      </c>
      <c r="D1596" s="11">
        <v>45199.993055555555</v>
      </c>
      <c r="E1596" t="s">
        <v>98</v>
      </c>
      <c r="F1596" t="s">
        <v>27</v>
      </c>
      <c r="G1596">
        <v>9442</v>
      </c>
      <c r="H1596" s="5" t="s">
        <v>105</v>
      </c>
      <c r="I1596" s="15">
        <v>45199</v>
      </c>
      <c r="J1596" s="15" t="s">
        <v>234</v>
      </c>
      <c r="K1596" s="6">
        <v>0.49305555555555558</v>
      </c>
      <c r="L1596" t="s">
        <v>142</v>
      </c>
      <c r="M1596">
        <v>1000000</v>
      </c>
      <c r="N1596" t="s">
        <v>209</v>
      </c>
      <c r="O1596" t="s">
        <v>152</v>
      </c>
      <c r="P1596">
        <v>45</v>
      </c>
      <c r="Q1596" t="s">
        <v>156</v>
      </c>
    </row>
    <row r="1597" spans="1:17" x14ac:dyDescent="0.2">
      <c r="A1597">
        <v>1058164</v>
      </c>
      <c r="B1597">
        <v>1215</v>
      </c>
      <c r="C1597" s="1" t="s">
        <v>99</v>
      </c>
      <c r="D1597" s="11">
        <v>45129.069444444445</v>
      </c>
      <c r="E1597" t="s">
        <v>97</v>
      </c>
      <c r="F1597" t="s">
        <v>41</v>
      </c>
      <c r="G1597">
        <v>4073</v>
      </c>
      <c r="H1597" s="5" t="s">
        <v>99</v>
      </c>
      <c r="I1597" s="15">
        <v>45129</v>
      </c>
      <c r="J1597" s="15" t="s">
        <v>234</v>
      </c>
      <c r="K1597" s="6">
        <v>6.9444444444444448E-2</v>
      </c>
      <c r="L1597" t="s">
        <v>145</v>
      </c>
      <c r="M1597">
        <v>150000</v>
      </c>
      <c r="N1597" t="s">
        <v>203</v>
      </c>
      <c r="O1597" t="s">
        <v>151</v>
      </c>
      <c r="P1597">
        <v>33</v>
      </c>
      <c r="Q1597" t="s">
        <v>156</v>
      </c>
    </row>
    <row r="1598" spans="1:17" x14ac:dyDescent="0.2">
      <c r="A1598">
        <v>1058847</v>
      </c>
      <c r="B1598">
        <v>977</v>
      </c>
      <c r="C1598" s="1" t="s">
        <v>113</v>
      </c>
      <c r="D1598" s="11">
        <v>45178.965277777781</v>
      </c>
      <c r="E1598" t="s">
        <v>98</v>
      </c>
      <c r="F1598" t="s">
        <v>80</v>
      </c>
      <c r="G1598">
        <v>2786</v>
      </c>
      <c r="H1598" s="5" t="s">
        <v>113</v>
      </c>
      <c r="I1598" s="15">
        <v>45178</v>
      </c>
      <c r="J1598" s="15" t="s">
        <v>234</v>
      </c>
      <c r="K1598" s="6">
        <v>0.46527777777777779</v>
      </c>
      <c r="L1598" t="s">
        <v>146</v>
      </c>
      <c r="M1598">
        <v>50000</v>
      </c>
      <c r="N1598" t="s">
        <v>212</v>
      </c>
      <c r="O1598" t="s">
        <v>151</v>
      </c>
      <c r="P1598">
        <v>31</v>
      </c>
      <c r="Q1598" t="s">
        <v>155</v>
      </c>
    </row>
    <row r="1599" spans="1:17" x14ac:dyDescent="0.2">
      <c r="A1599">
        <v>1059637</v>
      </c>
      <c r="B1599">
        <v>463</v>
      </c>
      <c r="C1599" s="1" t="s">
        <v>109</v>
      </c>
      <c r="D1599" s="11">
        <v>45147.05972222222</v>
      </c>
      <c r="E1599" t="s">
        <v>97</v>
      </c>
      <c r="F1599" t="s">
        <v>54</v>
      </c>
      <c r="G1599">
        <v>3285</v>
      </c>
      <c r="H1599" s="5" t="s">
        <v>109</v>
      </c>
      <c r="I1599" s="15">
        <v>45147</v>
      </c>
      <c r="J1599" s="15" t="s">
        <v>234</v>
      </c>
      <c r="K1599" s="6">
        <v>5.9722222222222225E-2</v>
      </c>
      <c r="L1599" t="s">
        <v>144</v>
      </c>
      <c r="M1599">
        <v>100000</v>
      </c>
      <c r="N1599" t="s">
        <v>224</v>
      </c>
      <c r="O1599" t="s">
        <v>151</v>
      </c>
      <c r="P1599">
        <v>55</v>
      </c>
      <c r="Q1599" t="s">
        <v>154</v>
      </c>
    </row>
    <row r="1600" spans="1:17" x14ac:dyDescent="0.2">
      <c r="A1600">
        <v>1059711</v>
      </c>
      <c r="B1600">
        <v>1479</v>
      </c>
      <c r="C1600" s="1" t="s">
        <v>99</v>
      </c>
      <c r="D1600" s="11">
        <v>45000.042361111111</v>
      </c>
      <c r="E1600" t="s">
        <v>96</v>
      </c>
      <c r="F1600" t="s">
        <v>57</v>
      </c>
      <c r="G1600">
        <v>5593</v>
      </c>
      <c r="H1600" s="5" t="s">
        <v>99</v>
      </c>
      <c r="I1600" s="15">
        <v>45000</v>
      </c>
      <c r="J1600" s="15" t="s">
        <v>232</v>
      </c>
      <c r="K1600" s="6">
        <v>4.2361111111111113E-2</v>
      </c>
      <c r="L1600" t="s">
        <v>142</v>
      </c>
      <c r="M1600">
        <v>50000</v>
      </c>
      <c r="N1600" t="s">
        <v>208</v>
      </c>
      <c r="O1600" t="s">
        <v>152</v>
      </c>
      <c r="P1600">
        <v>87</v>
      </c>
      <c r="Q1600" t="s">
        <v>156</v>
      </c>
    </row>
    <row r="1601" spans="1:17" x14ac:dyDescent="0.2">
      <c r="A1601">
        <v>1060684</v>
      </c>
      <c r="B1601">
        <v>1252</v>
      </c>
      <c r="C1601" s="1" t="s">
        <v>99</v>
      </c>
      <c r="D1601" s="11">
        <v>45023.993055555555</v>
      </c>
      <c r="E1601" t="s">
        <v>96</v>
      </c>
      <c r="F1601" t="s">
        <v>34</v>
      </c>
      <c r="G1601">
        <v>4684</v>
      </c>
      <c r="H1601" s="5" t="s">
        <v>99</v>
      </c>
      <c r="I1601" s="15">
        <v>45023</v>
      </c>
      <c r="J1601" s="15" t="s">
        <v>233</v>
      </c>
      <c r="K1601" s="6">
        <v>0.49305555555555558</v>
      </c>
      <c r="L1601" t="s">
        <v>144</v>
      </c>
      <c r="M1601">
        <v>150000</v>
      </c>
      <c r="N1601" t="s">
        <v>218</v>
      </c>
      <c r="O1601" t="s">
        <v>152</v>
      </c>
      <c r="P1601">
        <v>66</v>
      </c>
      <c r="Q1601" t="s">
        <v>156</v>
      </c>
    </row>
    <row r="1602" spans="1:17" x14ac:dyDescent="0.2">
      <c r="A1602">
        <v>1061016</v>
      </c>
      <c r="B1602">
        <v>1561</v>
      </c>
      <c r="C1602" s="1" t="s">
        <v>110</v>
      </c>
      <c r="D1602" s="11">
        <v>45179.063194444447</v>
      </c>
      <c r="E1602" t="s">
        <v>97</v>
      </c>
      <c r="F1602" t="s">
        <v>60</v>
      </c>
      <c r="G1602">
        <v>7486</v>
      </c>
      <c r="H1602" s="5" t="s">
        <v>110</v>
      </c>
      <c r="I1602" s="15">
        <v>45179</v>
      </c>
      <c r="J1602" s="15" t="s">
        <v>234</v>
      </c>
      <c r="K1602" s="6">
        <v>6.3194444444444442E-2</v>
      </c>
      <c r="L1602" t="s">
        <v>146</v>
      </c>
      <c r="M1602">
        <v>100000</v>
      </c>
      <c r="N1602" t="s">
        <v>225</v>
      </c>
      <c r="O1602" t="s">
        <v>152</v>
      </c>
      <c r="P1602">
        <v>28</v>
      </c>
      <c r="Q1602" t="s">
        <v>157</v>
      </c>
    </row>
    <row r="1603" spans="1:17" x14ac:dyDescent="0.2">
      <c r="A1603">
        <v>1061210</v>
      </c>
      <c r="B1603">
        <v>721</v>
      </c>
      <c r="C1603" s="1" t="s">
        <v>113</v>
      </c>
      <c r="D1603" s="11">
        <v>45267.006249999999</v>
      </c>
      <c r="E1603" t="s">
        <v>191</v>
      </c>
      <c r="F1603" t="s">
        <v>63</v>
      </c>
      <c r="G1603">
        <v>1496</v>
      </c>
      <c r="H1603" s="5" t="s">
        <v>113</v>
      </c>
      <c r="I1603" s="15">
        <v>45267</v>
      </c>
      <c r="J1603" s="15" t="s">
        <v>295</v>
      </c>
      <c r="K1603" s="6">
        <v>0.50624999999999998</v>
      </c>
      <c r="L1603" t="s">
        <v>143</v>
      </c>
      <c r="M1603">
        <v>100000</v>
      </c>
      <c r="N1603" t="s">
        <v>198</v>
      </c>
      <c r="O1603" t="s">
        <v>151</v>
      </c>
      <c r="P1603">
        <v>46</v>
      </c>
      <c r="Q1603" t="s">
        <v>155</v>
      </c>
    </row>
    <row r="1604" spans="1:17" x14ac:dyDescent="0.2">
      <c r="A1604">
        <v>1061320</v>
      </c>
      <c r="B1604">
        <v>1874</v>
      </c>
      <c r="C1604" s="1" t="s">
        <v>99</v>
      </c>
      <c r="D1604" s="11">
        <v>45102.026388888888</v>
      </c>
      <c r="E1604" t="s">
        <v>191</v>
      </c>
      <c r="F1604" t="s">
        <v>4</v>
      </c>
      <c r="G1604">
        <v>2899</v>
      </c>
      <c r="H1604" s="5" t="s">
        <v>99</v>
      </c>
      <c r="I1604" s="15">
        <v>45102</v>
      </c>
      <c r="J1604" s="15" t="s">
        <v>233</v>
      </c>
      <c r="K1604" s="6">
        <v>0.52638888888888891</v>
      </c>
      <c r="L1604" t="s">
        <v>142</v>
      </c>
      <c r="M1604">
        <v>200000</v>
      </c>
      <c r="N1604" t="s">
        <v>197</v>
      </c>
      <c r="O1604" t="s">
        <v>151</v>
      </c>
      <c r="P1604">
        <v>51</v>
      </c>
      <c r="Q1604" t="s">
        <v>157</v>
      </c>
    </row>
    <row r="1605" spans="1:17" x14ac:dyDescent="0.2">
      <c r="A1605">
        <v>1061512</v>
      </c>
      <c r="B1605">
        <v>666</v>
      </c>
      <c r="C1605" s="1" t="s">
        <v>100</v>
      </c>
      <c r="D1605" s="11">
        <v>44987.058333333334</v>
      </c>
      <c r="E1605" t="s">
        <v>191</v>
      </c>
      <c r="F1605" t="s">
        <v>47</v>
      </c>
      <c r="G1605">
        <v>1743</v>
      </c>
      <c r="H1605" s="5" t="s">
        <v>100</v>
      </c>
      <c r="I1605" s="15">
        <v>44987</v>
      </c>
      <c r="J1605" s="15" t="s">
        <v>232</v>
      </c>
      <c r="K1605" s="6">
        <v>5.8333333333333334E-2</v>
      </c>
      <c r="L1605" t="s">
        <v>144</v>
      </c>
      <c r="M1605">
        <v>100000</v>
      </c>
      <c r="N1605" t="s">
        <v>218</v>
      </c>
      <c r="O1605" t="s">
        <v>152</v>
      </c>
      <c r="P1605">
        <v>24</v>
      </c>
      <c r="Q1605" t="s">
        <v>155</v>
      </c>
    </row>
    <row r="1606" spans="1:17" x14ac:dyDescent="0.2">
      <c r="A1606">
        <v>1062871</v>
      </c>
      <c r="B1606">
        <v>1248</v>
      </c>
      <c r="C1606" s="1" t="s">
        <v>99</v>
      </c>
      <c r="D1606" s="11">
        <v>44963.059027777781</v>
      </c>
      <c r="E1606" t="s">
        <v>98</v>
      </c>
      <c r="F1606" t="s">
        <v>60</v>
      </c>
      <c r="G1606">
        <v>6459</v>
      </c>
      <c r="H1606" s="5" t="s">
        <v>99</v>
      </c>
      <c r="I1606" s="15">
        <v>44963</v>
      </c>
      <c r="J1606" s="15" t="s">
        <v>232</v>
      </c>
      <c r="K1606" s="6">
        <v>5.9027777777777776E-2</v>
      </c>
      <c r="L1606" t="s">
        <v>146</v>
      </c>
      <c r="M1606">
        <v>100000</v>
      </c>
      <c r="N1606" t="s">
        <v>225</v>
      </c>
      <c r="O1606" t="s">
        <v>151</v>
      </c>
      <c r="P1606">
        <v>87</v>
      </c>
      <c r="Q1606" t="s">
        <v>156</v>
      </c>
    </row>
    <row r="1607" spans="1:17" x14ac:dyDescent="0.2">
      <c r="A1607">
        <v>1063239</v>
      </c>
      <c r="B1607">
        <v>1639</v>
      </c>
      <c r="C1607" s="1" t="s">
        <v>101</v>
      </c>
      <c r="D1607" s="11">
        <v>45194.977083333331</v>
      </c>
      <c r="E1607" t="s">
        <v>96</v>
      </c>
      <c r="F1607" t="s">
        <v>61</v>
      </c>
      <c r="G1607">
        <v>3101</v>
      </c>
      <c r="H1607" s="5" t="s">
        <v>101</v>
      </c>
      <c r="I1607" s="15">
        <v>45194</v>
      </c>
      <c r="J1607" s="15" t="s">
        <v>234</v>
      </c>
      <c r="K1607" s="6">
        <v>0.47708333333333336</v>
      </c>
      <c r="L1607" t="s">
        <v>142</v>
      </c>
      <c r="M1607">
        <v>80000</v>
      </c>
      <c r="N1607" t="s">
        <v>197</v>
      </c>
      <c r="O1607" t="s">
        <v>151</v>
      </c>
      <c r="P1607">
        <v>57</v>
      </c>
      <c r="Q1607" t="s">
        <v>157</v>
      </c>
    </row>
    <row r="1608" spans="1:17" x14ac:dyDescent="0.2">
      <c r="A1608">
        <v>1063742</v>
      </c>
      <c r="B1608">
        <v>212</v>
      </c>
      <c r="C1608" s="1" t="s">
        <v>109</v>
      </c>
      <c r="D1608" s="11">
        <v>45216.030555555553</v>
      </c>
      <c r="E1608" t="s">
        <v>191</v>
      </c>
      <c r="F1608" t="s">
        <v>40</v>
      </c>
      <c r="G1608">
        <v>359</v>
      </c>
      <c r="H1608" s="5" t="s">
        <v>109</v>
      </c>
      <c r="I1608" s="15">
        <v>45216</v>
      </c>
      <c r="J1608" s="15" t="s">
        <v>295</v>
      </c>
      <c r="K1608" s="6">
        <v>0.53055555555555556</v>
      </c>
      <c r="L1608" t="s">
        <v>142</v>
      </c>
      <c r="M1608">
        <v>150000</v>
      </c>
      <c r="N1608" t="s">
        <v>207</v>
      </c>
      <c r="O1608" t="s">
        <v>152</v>
      </c>
      <c r="P1608">
        <v>19</v>
      </c>
      <c r="Q1608" t="s">
        <v>154</v>
      </c>
    </row>
    <row r="1609" spans="1:17" x14ac:dyDescent="0.2">
      <c r="A1609">
        <v>1063767</v>
      </c>
      <c r="B1609">
        <v>1616</v>
      </c>
      <c r="C1609" s="1" t="s">
        <v>99</v>
      </c>
      <c r="D1609" s="11">
        <v>45133.988888888889</v>
      </c>
      <c r="E1609" t="s">
        <v>97</v>
      </c>
      <c r="F1609" t="s">
        <v>81</v>
      </c>
      <c r="G1609">
        <v>1893</v>
      </c>
      <c r="H1609" s="5" t="s">
        <v>99</v>
      </c>
      <c r="I1609" s="15">
        <v>45133</v>
      </c>
      <c r="J1609" s="15" t="s">
        <v>234</v>
      </c>
      <c r="K1609" s="6">
        <v>0.48888888888888887</v>
      </c>
      <c r="L1609" t="s">
        <v>143</v>
      </c>
      <c r="M1609">
        <v>250000</v>
      </c>
      <c r="N1609" t="s">
        <v>221</v>
      </c>
      <c r="O1609" t="s">
        <v>152</v>
      </c>
      <c r="P1609">
        <v>38</v>
      </c>
      <c r="Q1609" t="s">
        <v>157</v>
      </c>
    </row>
    <row r="1610" spans="1:17" x14ac:dyDescent="0.2">
      <c r="A1610">
        <v>1064483</v>
      </c>
      <c r="B1610">
        <v>1571</v>
      </c>
      <c r="C1610" s="1" t="s">
        <v>99</v>
      </c>
      <c r="D1610" s="11">
        <v>45097.076388888891</v>
      </c>
      <c r="E1610" t="s">
        <v>96</v>
      </c>
      <c r="F1610" t="s">
        <v>18</v>
      </c>
      <c r="G1610">
        <v>6345</v>
      </c>
      <c r="H1610" s="5" t="s">
        <v>99</v>
      </c>
      <c r="I1610" s="15">
        <v>45097</v>
      </c>
      <c r="J1610" s="15" t="s">
        <v>233</v>
      </c>
      <c r="K1610" s="6">
        <v>7.6388888888888895E-2</v>
      </c>
      <c r="L1610" t="s">
        <v>145</v>
      </c>
      <c r="M1610">
        <v>200000</v>
      </c>
      <c r="N1610" t="s">
        <v>210</v>
      </c>
      <c r="O1610" t="s">
        <v>152</v>
      </c>
      <c r="P1610">
        <v>71</v>
      </c>
      <c r="Q1610" t="s">
        <v>157</v>
      </c>
    </row>
    <row r="1611" spans="1:17" x14ac:dyDescent="0.2">
      <c r="A1611">
        <v>1064762</v>
      </c>
      <c r="B1611">
        <v>1018</v>
      </c>
      <c r="C1611" s="1" t="s">
        <v>100</v>
      </c>
      <c r="D1611" s="11">
        <v>45224.036805555559</v>
      </c>
      <c r="E1611" t="s">
        <v>191</v>
      </c>
      <c r="F1611" t="s">
        <v>28</v>
      </c>
      <c r="G1611">
        <v>1726</v>
      </c>
      <c r="H1611" s="5" t="s">
        <v>100</v>
      </c>
      <c r="I1611" s="15">
        <v>45224</v>
      </c>
      <c r="J1611" s="15" t="s">
        <v>295</v>
      </c>
      <c r="K1611" s="6">
        <v>0.53680555555555554</v>
      </c>
      <c r="L1611" t="s">
        <v>143</v>
      </c>
      <c r="M1611">
        <v>100000</v>
      </c>
      <c r="N1611" t="s">
        <v>215</v>
      </c>
      <c r="O1611" t="s">
        <v>152</v>
      </c>
      <c r="P1611">
        <v>52</v>
      </c>
      <c r="Q1611" t="s">
        <v>156</v>
      </c>
    </row>
    <row r="1612" spans="1:17" x14ac:dyDescent="0.2">
      <c r="A1612">
        <v>1064785</v>
      </c>
      <c r="B1612">
        <v>1063</v>
      </c>
      <c r="C1612" s="1" t="s">
        <v>113</v>
      </c>
      <c r="D1612" s="11">
        <v>45010.040277777778</v>
      </c>
      <c r="E1612" t="s">
        <v>191</v>
      </c>
      <c r="F1612" t="s">
        <v>31</v>
      </c>
      <c r="G1612">
        <v>9830</v>
      </c>
      <c r="H1612" s="5" t="s">
        <v>113</v>
      </c>
      <c r="I1612" s="15">
        <v>45010</v>
      </c>
      <c r="J1612" s="15" t="s">
        <v>232</v>
      </c>
      <c r="K1612" s="6">
        <v>0.54027777777777775</v>
      </c>
      <c r="L1612" t="s">
        <v>143</v>
      </c>
      <c r="M1612">
        <v>80000</v>
      </c>
      <c r="N1612" t="s">
        <v>204</v>
      </c>
      <c r="O1612" t="s">
        <v>152</v>
      </c>
      <c r="P1612">
        <v>82</v>
      </c>
      <c r="Q1612" t="s">
        <v>156</v>
      </c>
    </row>
    <row r="1613" spans="1:17" x14ac:dyDescent="0.2">
      <c r="A1613">
        <v>1064900</v>
      </c>
      <c r="B1613">
        <v>1928</v>
      </c>
      <c r="C1613" s="1" t="s">
        <v>101</v>
      </c>
      <c r="D1613" s="11">
        <v>45211.030555555553</v>
      </c>
      <c r="E1613" t="s">
        <v>98</v>
      </c>
      <c r="F1613" t="s">
        <v>27</v>
      </c>
      <c r="G1613">
        <v>7612</v>
      </c>
      <c r="H1613" s="5" t="s">
        <v>101</v>
      </c>
      <c r="I1613" s="15">
        <v>45211</v>
      </c>
      <c r="J1613" s="15" t="s">
        <v>295</v>
      </c>
      <c r="K1613" s="6">
        <v>0.53055555555555556</v>
      </c>
      <c r="L1613" t="s">
        <v>142</v>
      </c>
      <c r="M1613">
        <v>1000000</v>
      </c>
      <c r="N1613" t="s">
        <v>209</v>
      </c>
      <c r="O1613" t="s">
        <v>151</v>
      </c>
      <c r="P1613">
        <v>62</v>
      </c>
      <c r="Q1613" t="s">
        <v>157</v>
      </c>
    </row>
    <row r="1614" spans="1:17" x14ac:dyDescent="0.2">
      <c r="A1614">
        <v>1068168</v>
      </c>
      <c r="B1614">
        <v>1101</v>
      </c>
      <c r="C1614" s="1" t="s">
        <v>113</v>
      </c>
      <c r="D1614" s="11">
        <v>44993.056944444441</v>
      </c>
      <c r="E1614" t="s">
        <v>97</v>
      </c>
      <c r="F1614" t="s">
        <v>39</v>
      </c>
      <c r="G1614">
        <v>5967</v>
      </c>
      <c r="H1614" s="5" t="s">
        <v>113</v>
      </c>
      <c r="I1614" s="15">
        <v>44993</v>
      </c>
      <c r="J1614" s="15" t="s">
        <v>232</v>
      </c>
      <c r="K1614" s="6">
        <v>5.6944444444444443E-2</v>
      </c>
      <c r="L1614" t="s">
        <v>146</v>
      </c>
      <c r="M1614">
        <v>100000</v>
      </c>
      <c r="N1614" t="s">
        <v>212</v>
      </c>
      <c r="O1614" t="s">
        <v>152</v>
      </c>
      <c r="P1614">
        <v>27</v>
      </c>
      <c r="Q1614" t="s">
        <v>156</v>
      </c>
    </row>
    <row r="1615" spans="1:17" x14ac:dyDescent="0.2">
      <c r="A1615">
        <v>1068397</v>
      </c>
      <c r="B1615">
        <v>3</v>
      </c>
      <c r="C1615" s="1" t="s">
        <v>99</v>
      </c>
      <c r="D1615" s="11">
        <v>45028.042361111111</v>
      </c>
      <c r="E1615" t="s">
        <v>96</v>
      </c>
      <c r="F1615" t="s">
        <v>8</v>
      </c>
      <c r="G1615">
        <v>9183</v>
      </c>
      <c r="H1615" s="5" t="s">
        <v>99</v>
      </c>
      <c r="I1615" s="15">
        <v>45028</v>
      </c>
      <c r="J1615" s="15" t="s">
        <v>233</v>
      </c>
      <c r="K1615" s="6">
        <v>4.2361111111111113E-2</v>
      </c>
      <c r="L1615" t="s">
        <v>142</v>
      </c>
      <c r="M1615">
        <v>200000</v>
      </c>
      <c r="N1615" t="s">
        <v>201</v>
      </c>
      <c r="O1615" t="s">
        <v>151</v>
      </c>
      <c r="P1615">
        <v>39</v>
      </c>
      <c r="Q1615" t="s">
        <v>154</v>
      </c>
    </row>
    <row r="1616" spans="1:17" x14ac:dyDescent="0.2">
      <c r="A1616">
        <v>1069023</v>
      </c>
      <c r="B1616">
        <v>739</v>
      </c>
      <c r="C1616" s="1" t="s">
        <v>113</v>
      </c>
      <c r="D1616" s="11">
        <v>44971.02847222222</v>
      </c>
      <c r="E1616" t="s">
        <v>97</v>
      </c>
      <c r="F1616" t="s">
        <v>43</v>
      </c>
      <c r="G1616">
        <v>4804</v>
      </c>
      <c r="H1616" s="5" t="s">
        <v>113</v>
      </c>
      <c r="I1616" s="15">
        <v>44971</v>
      </c>
      <c r="J1616" s="15" t="s">
        <v>232</v>
      </c>
      <c r="K1616" s="6">
        <v>0.52847222222222223</v>
      </c>
      <c r="L1616" t="s">
        <v>145</v>
      </c>
      <c r="M1616">
        <v>1000000</v>
      </c>
      <c r="N1616" t="s">
        <v>203</v>
      </c>
      <c r="O1616" t="s">
        <v>152</v>
      </c>
      <c r="P1616">
        <v>51</v>
      </c>
      <c r="Q1616" t="s">
        <v>155</v>
      </c>
    </row>
    <row r="1617" spans="1:17" x14ac:dyDescent="0.2">
      <c r="A1617">
        <v>1069094</v>
      </c>
      <c r="B1617">
        <v>1854</v>
      </c>
      <c r="C1617" s="1" t="s">
        <v>99</v>
      </c>
      <c r="D1617" s="11">
        <v>45165.049305555556</v>
      </c>
      <c r="E1617" t="s">
        <v>96</v>
      </c>
      <c r="F1617" t="s">
        <v>62</v>
      </c>
      <c r="G1617">
        <v>8536</v>
      </c>
      <c r="H1617" s="5" t="s">
        <v>99</v>
      </c>
      <c r="I1617" s="15">
        <v>45165</v>
      </c>
      <c r="J1617" s="15" t="s">
        <v>234</v>
      </c>
      <c r="K1617" s="6">
        <v>4.9305555555555554E-2</v>
      </c>
      <c r="L1617" t="s">
        <v>145</v>
      </c>
      <c r="M1617">
        <v>100000</v>
      </c>
      <c r="N1617" t="s">
        <v>217</v>
      </c>
      <c r="O1617" t="s">
        <v>152</v>
      </c>
      <c r="P1617">
        <v>87</v>
      </c>
      <c r="Q1617" t="s">
        <v>157</v>
      </c>
    </row>
    <row r="1618" spans="1:17" x14ac:dyDescent="0.2">
      <c r="A1618">
        <v>1069668</v>
      </c>
      <c r="B1618">
        <v>517</v>
      </c>
      <c r="C1618" s="1" t="s">
        <v>101</v>
      </c>
      <c r="D1618" s="11">
        <v>45023.041666666664</v>
      </c>
      <c r="E1618" t="s">
        <v>98</v>
      </c>
      <c r="F1618" t="s">
        <v>76</v>
      </c>
      <c r="G1618">
        <v>8146</v>
      </c>
      <c r="H1618" s="5" t="s">
        <v>101</v>
      </c>
      <c r="I1618" s="15">
        <v>45023</v>
      </c>
      <c r="J1618" s="15" t="s">
        <v>233</v>
      </c>
      <c r="K1618" s="6">
        <v>4.1666666666666664E-2</v>
      </c>
      <c r="L1618" t="s">
        <v>142</v>
      </c>
      <c r="M1618">
        <v>80000</v>
      </c>
      <c r="N1618" t="s">
        <v>201</v>
      </c>
      <c r="O1618" t="s">
        <v>152</v>
      </c>
      <c r="P1618">
        <v>77</v>
      </c>
      <c r="Q1618" t="s">
        <v>155</v>
      </c>
    </row>
    <row r="1619" spans="1:17" x14ac:dyDescent="0.2">
      <c r="A1619">
        <v>1070209</v>
      </c>
      <c r="B1619">
        <v>973</v>
      </c>
      <c r="C1619" s="1" t="s">
        <v>99</v>
      </c>
      <c r="D1619" s="11">
        <v>45148.022222222222</v>
      </c>
      <c r="E1619" t="s">
        <v>96</v>
      </c>
      <c r="F1619" t="s">
        <v>81</v>
      </c>
      <c r="G1619">
        <v>7741</v>
      </c>
      <c r="H1619" s="5" t="s">
        <v>99</v>
      </c>
      <c r="I1619" s="15">
        <v>45148</v>
      </c>
      <c r="J1619" s="15" t="s">
        <v>234</v>
      </c>
      <c r="K1619" s="6">
        <v>0.52222222222222225</v>
      </c>
      <c r="L1619" t="s">
        <v>143</v>
      </c>
      <c r="M1619">
        <v>250000</v>
      </c>
      <c r="N1619" t="s">
        <v>221</v>
      </c>
      <c r="O1619" t="s">
        <v>151</v>
      </c>
      <c r="P1619">
        <v>50</v>
      </c>
      <c r="Q1619" t="s">
        <v>155</v>
      </c>
    </row>
    <row r="1620" spans="1:17" x14ac:dyDescent="0.2">
      <c r="A1620">
        <v>1070297</v>
      </c>
      <c r="B1620">
        <v>1978</v>
      </c>
      <c r="C1620" s="1" t="s">
        <v>105</v>
      </c>
      <c r="D1620" s="11">
        <v>44993.94027777778</v>
      </c>
      <c r="E1620" t="s">
        <v>191</v>
      </c>
      <c r="F1620" t="s">
        <v>88</v>
      </c>
      <c r="G1620">
        <v>904</v>
      </c>
      <c r="H1620" s="5" t="s">
        <v>105</v>
      </c>
      <c r="I1620" s="15">
        <v>44993</v>
      </c>
      <c r="J1620" s="15" t="s">
        <v>232</v>
      </c>
      <c r="K1620" s="6">
        <v>0.44027777777777777</v>
      </c>
      <c r="L1620" t="s">
        <v>144</v>
      </c>
      <c r="M1620">
        <v>100000</v>
      </c>
      <c r="N1620" t="s">
        <v>200</v>
      </c>
      <c r="O1620" t="s">
        <v>152</v>
      </c>
      <c r="P1620">
        <v>23</v>
      </c>
      <c r="Q1620" t="s">
        <v>157</v>
      </c>
    </row>
    <row r="1621" spans="1:17" x14ac:dyDescent="0.2">
      <c r="A1621">
        <v>1070438</v>
      </c>
      <c r="B1621">
        <v>1420</v>
      </c>
      <c r="C1621" s="1" t="s">
        <v>99</v>
      </c>
      <c r="D1621" s="11">
        <v>45196.099305555559</v>
      </c>
      <c r="E1621" t="s">
        <v>98</v>
      </c>
      <c r="F1621" t="s">
        <v>86</v>
      </c>
      <c r="G1621">
        <v>9991</v>
      </c>
      <c r="H1621" s="5" t="s">
        <v>99</v>
      </c>
      <c r="I1621" s="15">
        <v>45196</v>
      </c>
      <c r="J1621" s="15" t="s">
        <v>234</v>
      </c>
      <c r="K1621" s="6">
        <v>9.930555555555555E-2</v>
      </c>
      <c r="L1621" t="s">
        <v>144</v>
      </c>
      <c r="M1621">
        <v>100000</v>
      </c>
      <c r="N1621" t="s">
        <v>216</v>
      </c>
      <c r="O1621" t="s">
        <v>151</v>
      </c>
      <c r="P1621">
        <v>28</v>
      </c>
      <c r="Q1621" t="s">
        <v>156</v>
      </c>
    </row>
    <row r="1622" spans="1:17" x14ac:dyDescent="0.2">
      <c r="A1622">
        <v>1071701</v>
      </c>
      <c r="B1622">
        <v>1367</v>
      </c>
      <c r="C1622" s="1" t="s">
        <v>107</v>
      </c>
      <c r="D1622" s="11">
        <v>44942.036805555559</v>
      </c>
      <c r="E1622" t="s">
        <v>98</v>
      </c>
      <c r="F1622" t="s">
        <v>8</v>
      </c>
      <c r="G1622">
        <v>1445</v>
      </c>
      <c r="H1622" s="5" t="s">
        <v>107</v>
      </c>
      <c r="I1622" s="15">
        <v>44942</v>
      </c>
      <c r="J1622" s="15" t="s">
        <v>232</v>
      </c>
      <c r="K1622" s="6">
        <v>0.53680555555555554</v>
      </c>
      <c r="L1622" t="s">
        <v>142</v>
      </c>
      <c r="M1622">
        <v>200000</v>
      </c>
      <c r="N1622" t="s">
        <v>201</v>
      </c>
      <c r="O1622" t="s">
        <v>152</v>
      </c>
      <c r="P1622">
        <v>25</v>
      </c>
      <c r="Q1622" t="s">
        <v>156</v>
      </c>
    </row>
    <row r="1623" spans="1:17" x14ac:dyDescent="0.2">
      <c r="A1623">
        <v>1074617</v>
      </c>
      <c r="B1623">
        <v>158</v>
      </c>
      <c r="C1623" s="1" t="s">
        <v>99</v>
      </c>
      <c r="D1623" s="11">
        <v>45050.013194444444</v>
      </c>
      <c r="E1623" t="s">
        <v>191</v>
      </c>
      <c r="F1623" t="s">
        <v>90</v>
      </c>
      <c r="G1623">
        <v>4729</v>
      </c>
      <c r="H1623" s="5" t="s">
        <v>99</v>
      </c>
      <c r="I1623" s="15">
        <v>45050</v>
      </c>
      <c r="J1623" s="15" t="s">
        <v>233</v>
      </c>
      <c r="K1623" s="6">
        <v>0.5131944444444444</v>
      </c>
      <c r="L1623" t="s">
        <v>142</v>
      </c>
      <c r="M1623">
        <v>150000</v>
      </c>
      <c r="N1623" t="s">
        <v>208</v>
      </c>
      <c r="O1623" t="s">
        <v>152</v>
      </c>
      <c r="P1623">
        <v>41</v>
      </c>
      <c r="Q1623" t="s">
        <v>154</v>
      </c>
    </row>
    <row r="1624" spans="1:17" x14ac:dyDescent="0.2">
      <c r="A1624">
        <v>1074708</v>
      </c>
      <c r="B1624">
        <v>647</v>
      </c>
      <c r="C1624" s="1" t="s">
        <v>101</v>
      </c>
      <c r="D1624" s="11">
        <v>44997.98333333333</v>
      </c>
      <c r="E1624" t="s">
        <v>97</v>
      </c>
      <c r="F1624" t="s">
        <v>43</v>
      </c>
      <c r="G1624">
        <v>7648</v>
      </c>
      <c r="H1624" s="5" t="s">
        <v>101</v>
      </c>
      <c r="I1624" s="15">
        <v>44997</v>
      </c>
      <c r="J1624" s="15" t="s">
        <v>232</v>
      </c>
      <c r="K1624" s="6">
        <v>0.48333333333333334</v>
      </c>
      <c r="L1624" t="s">
        <v>145</v>
      </c>
      <c r="M1624">
        <v>1000000</v>
      </c>
      <c r="N1624" t="s">
        <v>203</v>
      </c>
      <c r="O1624" t="s">
        <v>151</v>
      </c>
      <c r="P1624">
        <v>76</v>
      </c>
      <c r="Q1624" t="s">
        <v>155</v>
      </c>
    </row>
    <row r="1625" spans="1:17" x14ac:dyDescent="0.2">
      <c r="A1625">
        <v>1075036</v>
      </c>
      <c r="B1625">
        <v>587</v>
      </c>
      <c r="C1625" s="1" t="s">
        <v>99</v>
      </c>
      <c r="D1625" s="11">
        <v>45062.978472222225</v>
      </c>
      <c r="E1625" t="s">
        <v>191</v>
      </c>
      <c r="F1625" t="s">
        <v>91</v>
      </c>
      <c r="G1625">
        <v>5378</v>
      </c>
      <c r="H1625" s="5" t="s">
        <v>99</v>
      </c>
      <c r="I1625" s="15">
        <v>45062</v>
      </c>
      <c r="J1625" s="15" t="s">
        <v>233</v>
      </c>
      <c r="K1625" s="6">
        <v>0.47847222222222224</v>
      </c>
      <c r="L1625" t="s">
        <v>142</v>
      </c>
      <c r="M1625">
        <v>100000</v>
      </c>
      <c r="N1625" t="s">
        <v>213</v>
      </c>
      <c r="O1625" t="s">
        <v>151</v>
      </c>
      <c r="P1625">
        <v>51</v>
      </c>
      <c r="Q1625" t="s">
        <v>155</v>
      </c>
    </row>
    <row r="1626" spans="1:17" x14ac:dyDescent="0.2">
      <c r="A1626">
        <v>1075177</v>
      </c>
      <c r="B1626">
        <v>161</v>
      </c>
      <c r="C1626" s="1" t="s">
        <v>100</v>
      </c>
      <c r="D1626" s="11">
        <v>44992.941666666666</v>
      </c>
      <c r="E1626" t="s">
        <v>97</v>
      </c>
      <c r="F1626" t="s">
        <v>27</v>
      </c>
      <c r="G1626">
        <v>1124</v>
      </c>
      <c r="H1626" s="5" t="s">
        <v>100</v>
      </c>
      <c r="I1626" s="15">
        <v>44992</v>
      </c>
      <c r="J1626" s="15" t="s">
        <v>232</v>
      </c>
      <c r="K1626" s="6">
        <v>0.44166666666666665</v>
      </c>
      <c r="L1626" t="s">
        <v>142</v>
      </c>
      <c r="M1626">
        <v>1000000</v>
      </c>
      <c r="N1626" t="s">
        <v>209</v>
      </c>
      <c r="O1626" t="s">
        <v>152</v>
      </c>
      <c r="P1626">
        <v>68</v>
      </c>
      <c r="Q1626" t="s">
        <v>154</v>
      </c>
    </row>
    <row r="1627" spans="1:17" x14ac:dyDescent="0.2">
      <c r="A1627">
        <v>1075183</v>
      </c>
      <c r="B1627">
        <v>1971</v>
      </c>
      <c r="C1627" s="1" t="s">
        <v>105</v>
      </c>
      <c r="D1627" s="11">
        <v>45040.951388888891</v>
      </c>
      <c r="E1627" t="s">
        <v>191</v>
      </c>
      <c r="F1627" t="s">
        <v>29</v>
      </c>
      <c r="G1627">
        <v>3747</v>
      </c>
      <c r="H1627" s="5" t="s">
        <v>105</v>
      </c>
      <c r="I1627" s="15">
        <v>45040</v>
      </c>
      <c r="J1627" s="15" t="s">
        <v>233</v>
      </c>
      <c r="K1627" s="6">
        <v>0.4513888888888889</v>
      </c>
      <c r="L1627" t="s">
        <v>143</v>
      </c>
      <c r="M1627">
        <v>150000</v>
      </c>
      <c r="N1627" t="s">
        <v>214</v>
      </c>
      <c r="O1627" t="s">
        <v>152</v>
      </c>
      <c r="P1627">
        <v>44</v>
      </c>
      <c r="Q1627" t="s">
        <v>157</v>
      </c>
    </row>
    <row r="1628" spans="1:17" x14ac:dyDescent="0.2">
      <c r="A1628">
        <v>1075762</v>
      </c>
      <c r="B1628">
        <v>1612</v>
      </c>
      <c r="C1628" s="1" t="s">
        <v>105</v>
      </c>
      <c r="D1628" s="11">
        <v>45201.093055555553</v>
      </c>
      <c r="E1628" t="s">
        <v>97</v>
      </c>
      <c r="F1628" t="s">
        <v>34</v>
      </c>
      <c r="G1628">
        <v>3402</v>
      </c>
      <c r="H1628" s="5" t="s">
        <v>105</v>
      </c>
      <c r="I1628" s="15">
        <v>45201</v>
      </c>
      <c r="J1628" s="15" t="s">
        <v>295</v>
      </c>
      <c r="K1628" s="6">
        <v>9.3055555555555558E-2</v>
      </c>
      <c r="L1628" t="s">
        <v>144</v>
      </c>
      <c r="M1628">
        <v>150000</v>
      </c>
      <c r="N1628" t="s">
        <v>218</v>
      </c>
      <c r="O1628" t="s">
        <v>151</v>
      </c>
      <c r="P1628">
        <v>75</v>
      </c>
      <c r="Q1628" t="s">
        <v>157</v>
      </c>
    </row>
    <row r="1629" spans="1:17" x14ac:dyDescent="0.2">
      <c r="A1629">
        <v>1076092</v>
      </c>
      <c r="B1629">
        <v>1938</v>
      </c>
      <c r="C1629" s="1" t="s">
        <v>99</v>
      </c>
      <c r="D1629" s="11">
        <v>44986.06527777778</v>
      </c>
      <c r="E1629" t="s">
        <v>96</v>
      </c>
      <c r="F1629" t="s">
        <v>27</v>
      </c>
      <c r="G1629">
        <v>698</v>
      </c>
      <c r="H1629" s="5" t="s">
        <v>99</v>
      </c>
      <c r="I1629" s="15">
        <v>44986</v>
      </c>
      <c r="J1629" s="15" t="s">
        <v>232</v>
      </c>
      <c r="K1629" s="6">
        <v>6.5277777777777782E-2</v>
      </c>
      <c r="L1629" t="s">
        <v>142</v>
      </c>
      <c r="M1629">
        <v>1000000</v>
      </c>
      <c r="N1629" t="s">
        <v>209</v>
      </c>
      <c r="O1629" t="s">
        <v>151</v>
      </c>
      <c r="P1629">
        <v>70</v>
      </c>
      <c r="Q1629" t="s">
        <v>157</v>
      </c>
    </row>
    <row r="1630" spans="1:17" x14ac:dyDescent="0.2">
      <c r="A1630">
        <v>1076764</v>
      </c>
      <c r="B1630">
        <v>1162</v>
      </c>
      <c r="C1630" s="1" t="s">
        <v>99</v>
      </c>
      <c r="D1630" s="11">
        <v>45264.027083333334</v>
      </c>
      <c r="E1630" t="s">
        <v>98</v>
      </c>
      <c r="F1630" t="s">
        <v>87</v>
      </c>
      <c r="G1630">
        <v>1938</v>
      </c>
      <c r="H1630" s="5" t="s">
        <v>99</v>
      </c>
      <c r="I1630" s="15">
        <v>45264</v>
      </c>
      <c r="J1630" s="15" t="s">
        <v>295</v>
      </c>
      <c r="K1630" s="6">
        <v>0.52708333333333335</v>
      </c>
      <c r="L1630" t="s">
        <v>144</v>
      </c>
      <c r="M1630">
        <v>100000</v>
      </c>
      <c r="N1630" t="s">
        <v>216</v>
      </c>
      <c r="O1630" t="s">
        <v>152</v>
      </c>
      <c r="P1630">
        <v>87</v>
      </c>
      <c r="Q1630" t="s">
        <v>156</v>
      </c>
    </row>
    <row r="1631" spans="1:17" x14ac:dyDescent="0.2">
      <c r="A1631">
        <v>1077723</v>
      </c>
      <c r="B1631">
        <v>868</v>
      </c>
      <c r="C1631" s="1" t="s">
        <v>110</v>
      </c>
      <c r="D1631" s="11">
        <v>44928.01666666667</v>
      </c>
      <c r="E1631" t="s">
        <v>191</v>
      </c>
      <c r="F1631" t="s">
        <v>40</v>
      </c>
      <c r="G1631">
        <v>3711</v>
      </c>
      <c r="H1631" s="5" t="s">
        <v>110</v>
      </c>
      <c r="I1631" s="15">
        <v>44928</v>
      </c>
      <c r="J1631" s="15" t="s">
        <v>232</v>
      </c>
      <c r="K1631" s="6">
        <v>0.51666666666666672</v>
      </c>
      <c r="L1631" t="s">
        <v>142</v>
      </c>
      <c r="M1631">
        <v>150000</v>
      </c>
      <c r="N1631" t="s">
        <v>207</v>
      </c>
      <c r="O1631" t="s">
        <v>152</v>
      </c>
      <c r="P1631">
        <v>31</v>
      </c>
      <c r="Q1631" t="s">
        <v>155</v>
      </c>
    </row>
    <row r="1632" spans="1:17" x14ac:dyDescent="0.2">
      <c r="A1632">
        <v>1078422</v>
      </c>
      <c r="B1632">
        <v>1917</v>
      </c>
      <c r="C1632" s="1" t="s">
        <v>99</v>
      </c>
      <c r="D1632" s="11">
        <v>45266.090277777781</v>
      </c>
      <c r="E1632" t="s">
        <v>191</v>
      </c>
      <c r="F1632" t="s">
        <v>11</v>
      </c>
      <c r="G1632">
        <v>3916</v>
      </c>
      <c r="H1632" s="5" t="s">
        <v>99</v>
      </c>
      <c r="I1632" s="15">
        <v>45266</v>
      </c>
      <c r="J1632" s="15" t="s">
        <v>295</v>
      </c>
      <c r="K1632" s="6">
        <v>9.0277777777777776E-2</v>
      </c>
      <c r="L1632" t="s">
        <v>143</v>
      </c>
      <c r="M1632">
        <v>150000</v>
      </c>
      <c r="N1632" t="s">
        <v>204</v>
      </c>
      <c r="O1632" t="s">
        <v>152</v>
      </c>
      <c r="P1632">
        <v>63</v>
      </c>
      <c r="Q1632" t="s">
        <v>157</v>
      </c>
    </row>
    <row r="1633" spans="1:17" x14ac:dyDescent="0.2">
      <c r="A1633">
        <v>1078820</v>
      </c>
      <c r="B1633">
        <v>1431</v>
      </c>
      <c r="C1633" s="1" t="s">
        <v>99</v>
      </c>
      <c r="D1633" s="11">
        <v>45147.043055555558</v>
      </c>
      <c r="E1633" t="s">
        <v>97</v>
      </c>
      <c r="F1633" t="s">
        <v>42</v>
      </c>
      <c r="G1633">
        <v>5495</v>
      </c>
      <c r="H1633" s="5" t="s">
        <v>99</v>
      </c>
      <c r="I1633" s="15">
        <v>45147</v>
      </c>
      <c r="J1633" s="15" t="s">
        <v>234</v>
      </c>
      <c r="K1633" s="6">
        <v>4.3055555555555555E-2</v>
      </c>
      <c r="L1633" t="s">
        <v>144</v>
      </c>
      <c r="M1633">
        <v>100000</v>
      </c>
      <c r="N1633" t="s">
        <v>219</v>
      </c>
      <c r="O1633" t="s">
        <v>151</v>
      </c>
      <c r="P1633">
        <v>63</v>
      </c>
      <c r="Q1633" t="s">
        <v>156</v>
      </c>
    </row>
    <row r="1634" spans="1:17" x14ac:dyDescent="0.2">
      <c r="A1634">
        <v>1079090</v>
      </c>
      <c r="B1634">
        <v>1368</v>
      </c>
      <c r="C1634" s="1" t="s">
        <v>99</v>
      </c>
      <c r="D1634" s="11">
        <v>45018.010416666664</v>
      </c>
      <c r="E1634" t="s">
        <v>98</v>
      </c>
      <c r="F1634" t="s">
        <v>43</v>
      </c>
      <c r="G1634">
        <v>6597</v>
      </c>
      <c r="H1634" s="5" t="s">
        <v>99</v>
      </c>
      <c r="I1634" s="15">
        <v>45018</v>
      </c>
      <c r="J1634" s="15" t="s">
        <v>233</v>
      </c>
      <c r="K1634" s="6">
        <v>0.51041666666666663</v>
      </c>
      <c r="L1634" t="s">
        <v>145</v>
      </c>
      <c r="M1634">
        <v>1000000</v>
      </c>
      <c r="N1634" t="s">
        <v>203</v>
      </c>
      <c r="O1634" t="s">
        <v>151</v>
      </c>
      <c r="P1634">
        <v>54</v>
      </c>
      <c r="Q1634" t="s">
        <v>156</v>
      </c>
    </row>
    <row r="1635" spans="1:17" x14ac:dyDescent="0.2">
      <c r="A1635">
        <v>1079225</v>
      </c>
      <c r="B1635">
        <v>1393</v>
      </c>
      <c r="C1635" s="1" t="s">
        <v>107</v>
      </c>
      <c r="D1635" s="11">
        <v>44981.963888888888</v>
      </c>
      <c r="E1635" t="s">
        <v>96</v>
      </c>
      <c r="F1635" t="s">
        <v>44</v>
      </c>
      <c r="G1635">
        <v>3345</v>
      </c>
      <c r="H1635" s="5" t="s">
        <v>107</v>
      </c>
      <c r="I1635" s="15">
        <v>44981</v>
      </c>
      <c r="J1635" s="15" t="s">
        <v>232</v>
      </c>
      <c r="K1635" s="6">
        <v>0.46388888888888891</v>
      </c>
      <c r="L1635" t="s">
        <v>144</v>
      </c>
      <c r="M1635">
        <v>150000</v>
      </c>
      <c r="N1635" t="s">
        <v>199</v>
      </c>
      <c r="O1635" t="s">
        <v>152</v>
      </c>
      <c r="P1635">
        <v>76</v>
      </c>
      <c r="Q1635" t="s">
        <v>156</v>
      </c>
    </row>
    <row r="1636" spans="1:17" x14ac:dyDescent="0.2">
      <c r="A1636">
        <v>1079355</v>
      </c>
      <c r="B1636">
        <v>1469</v>
      </c>
      <c r="C1636" s="1" t="s">
        <v>107</v>
      </c>
      <c r="D1636" s="11">
        <v>45004.990277777775</v>
      </c>
      <c r="E1636" t="s">
        <v>98</v>
      </c>
      <c r="F1636" t="s">
        <v>81</v>
      </c>
      <c r="G1636">
        <v>3196</v>
      </c>
      <c r="H1636" s="5" t="s">
        <v>107</v>
      </c>
      <c r="I1636" s="15">
        <v>45004</v>
      </c>
      <c r="J1636" s="15" t="s">
        <v>232</v>
      </c>
      <c r="K1636" s="6">
        <v>0.49027777777777776</v>
      </c>
      <c r="L1636" t="s">
        <v>143</v>
      </c>
      <c r="M1636">
        <v>250000</v>
      </c>
      <c r="N1636" t="s">
        <v>221</v>
      </c>
      <c r="O1636" t="s">
        <v>152</v>
      </c>
      <c r="P1636">
        <v>38</v>
      </c>
      <c r="Q1636" t="s">
        <v>156</v>
      </c>
    </row>
    <row r="1637" spans="1:17" x14ac:dyDescent="0.2">
      <c r="A1637">
        <v>1079761</v>
      </c>
      <c r="B1637">
        <v>1873</v>
      </c>
      <c r="C1637" s="1" t="s">
        <v>101</v>
      </c>
      <c r="D1637" s="11">
        <v>45187.05</v>
      </c>
      <c r="E1637" t="s">
        <v>191</v>
      </c>
      <c r="F1637" t="s">
        <v>50</v>
      </c>
      <c r="G1637">
        <v>9752</v>
      </c>
      <c r="H1637" s="5" t="s">
        <v>101</v>
      </c>
      <c r="I1637" s="15">
        <v>45187</v>
      </c>
      <c r="J1637" s="15" t="s">
        <v>234</v>
      </c>
      <c r="K1637" s="6">
        <v>0.05</v>
      </c>
      <c r="L1637" t="s">
        <v>143</v>
      </c>
      <c r="M1637">
        <v>30000</v>
      </c>
      <c r="N1637" t="s">
        <v>223</v>
      </c>
      <c r="O1637" t="s">
        <v>152</v>
      </c>
      <c r="P1637">
        <v>20</v>
      </c>
      <c r="Q1637" t="s">
        <v>157</v>
      </c>
    </row>
    <row r="1638" spans="1:17" x14ac:dyDescent="0.2">
      <c r="A1638">
        <v>1081409</v>
      </c>
      <c r="B1638">
        <v>1084</v>
      </c>
      <c r="C1638" s="1" t="s">
        <v>113</v>
      </c>
      <c r="D1638" s="11">
        <v>45200.040277777778</v>
      </c>
      <c r="E1638" t="s">
        <v>191</v>
      </c>
      <c r="F1638" t="s">
        <v>6</v>
      </c>
      <c r="G1638">
        <v>7433</v>
      </c>
      <c r="H1638" s="5" t="s">
        <v>113</v>
      </c>
      <c r="I1638" s="15">
        <v>45200</v>
      </c>
      <c r="J1638" s="15" t="s">
        <v>295</v>
      </c>
      <c r="K1638" s="6">
        <v>0.54027777777777775</v>
      </c>
      <c r="L1638" t="s">
        <v>144</v>
      </c>
      <c r="M1638">
        <v>100000</v>
      </c>
      <c r="N1638" t="s">
        <v>199</v>
      </c>
      <c r="O1638" t="s">
        <v>151</v>
      </c>
      <c r="P1638">
        <v>75</v>
      </c>
      <c r="Q1638" t="s">
        <v>156</v>
      </c>
    </row>
    <row r="1639" spans="1:17" x14ac:dyDescent="0.2">
      <c r="A1639">
        <v>1081894</v>
      </c>
      <c r="B1639">
        <v>787</v>
      </c>
      <c r="C1639" s="1" t="s">
        <v>104</v>
      </c>
      <c r="D1639" s="11">
        <v>44965.065972222219</v>
      </c>
      <c r="E1639" t="s">
        <v>96</v>
      </c>
      <c r="F1639" t="s">
        <v>7</v>
      </c>
      <c r="G1639">
        <v>5113</v>
      </c>
      <c r="H1639" s="5" t="s">
        <v>104</v>
      </c>
      <c r="I1639" s="15">
        <v>44965</v>
      </c>
      <c r="J1639" s="15" t="s">
        <v>232</v>
      </c>
      <c r="K1639" s="6">
        <v>6.5972222222222224E-2</v>
      </c>
      <c r="L1639" t="s">
        <v>144</v>
      </c>
      <c r="M1639">
        <v>150000</v>
      </c>
      <c r="N1639" t="s">
        <v>200</v>
      </c>
      <c r="O1639" t="s">
        <v>152</v>
      </c>
      <c r="P1639">
        <v>40</v>
      </c>
      <c r="Q1639" t="s">
        <v>155</v>
      </c>
    </row>
    <row r="1640" spans="1:17" x14ac:dyDescent="0.2">
      <c r="A1640">
        <v>1083336</v>
      </c>
      <c r="B1640">
        <v>441</v>
      </c>
      <c r="C1640" s="1" t="s">
        <v>99</v>
      </c>
      <c r="D1640" s="11">
        <v>44976.004861111112</v>
      </c>
      <c r="E1640" t="s">
        <v>98</v>
      </c>
      <c r="F1640" t="s">
        <v>27</v>
      </c>
      <c r="G1640">
        <v>5859</v>
      </c>
      <c r="H1640" s="5" t="s">
        <v>99</v>
      </c>
      <c r="I1640" s="15">
        <v>44976</v>
      </c>
      <c r="J1640" s="15" t="s">
        <v>232</v>
      </c>
      <c r="K1640" s="6">
        <v>0.50486111111111109</v>
      </c>
      <c r="L1640" t="s">
        <v>142</v>
      </c>
      <c r="M1640">
        <v>1000000</v>
      </c>
      <c r="N1640" t="s">
        <v>209</v>
      </c>
      <c r="O1640" t="s">
        <v>151</v>
      </c>
      <c r="P1640">
        <v>77</v>
      </c>
      <c r="Q1640" t="s">
        <v>154</v>
      </c>
    </row>
    <row r="1641" spans="1:17" x14ac:dyDescent="0.2">
      <c r="A1641">
        <v>1085382</v>
      </c>
      <c r="B1641">
        <v>969</v>
      </c>
      <c r="C1641" s="1" t="s">
        <v>99</v>
      </c>
      <c r="D1641" s="11">
        <v>44995.048611111109</v>
      </c>
      <c r="E1641" t="s">
        <v>96</v>
      </c>
      <c r="F1641" t="s">
        <v>46</v>
      </c>
      <c r="G1641">
        <v>5959</v>
      </c>
      <c r="H1641" s="5" t="s">
        <v>99</v>
      </c>
      <c r="I1641" s="15">
        <v>44995</v>
      </c>
      <c r="J1641" s="15" t="s">
        <v>232</v>
      </c>
      <c r="K1641" s="6">
        <v>4.8611111111111112E-2</v>
      </c>
      <c r="L1641" t="s">
        <v>142</v>
      </c>
      <c r="M1641">
        <v>200000</v>
      </c>
      <c r="N1641" t="s">
        <v>211</v>
      </c>
      <c r="O1641" t="s">
        <v>152</v>
      </c>
      <c r="P1641">
        <v>27</v>
      </c>
      <c r="Q1641" t="s">
        <v>155</v>
      </c>
    </row>
    <row r="1642" spans="1:17" x14ac:dyDescent="0.2">
      <c r="A1642">
        <v>1085556</v>
      </c>
      <c r="B1642">
        <v>217</v>
      </c>
      <c r="C1642" s="1" t="s">
        <v>99</v>
      </c>
      <c r="D1642" s="11">
        <v>45289.063194444447</v>
      </c>
      <c r="E1642" t="s">
        <v>97</v>
      </c>
      <c r="F1642" t="s">
        <v>43</v>
      </c>
      <c r="G1642">
        <v>6006</v>
      </c>
      <c r="H1642" s="5" t="s">
        <v>99</v>
      </c>
      <c r="I1642" s="15">
        <v>45289</v>
      </c>
      <c r="J1642" s="15" t="s">
        <v>295</v>
      </c>
      <c r="K1642" s="6">
        <v>6.3194444444444442E-2</v>
      </c>
      <c r="L1642" t="s">
        <v>145</v>
      </c>
      <c r="M1642">
        <v>1000000</v>
      </c>
      <c r="N1642" t="s">
        <v>203</v>
      </c>
      <c r="O1642" t="s">
        <v>152</v>
      </c>
      <c r="P1642">
        <v>60</v>
      </c>
      <c r="Q1642" t="s">
        <v>154</v>
      </c>
    </row>
    <row r="1643" spans="1:17" x14ac:dyDescent="0.2">
      <c r="A1643">
        <v>1086091</v>
      </c>
      <c r="B1643">
        <v>863</v>
      </c>
      <c r="C1643" s="1" t="s">
        <v>111</v>
      </c>
      <c r="D1643" s="11">
        <v>45179.981944444444</v>
      </c>
      <c r="E1643" t="s">
        <v>97</v>
      </c>
      <c r="F1643" t="s">
        <v>21</v>
      </c>
      <c r="G1643">
        <v>6063</v>
      </c>
      <c r="H1643" s="5" t="s">
        <v>111</v>
      </c>
      <c r="I1643" s="15">
        <v>45179</v>
      </c>
      <c r="J1643" s="15" t="s">
        <v>234</v>
      </c>
      <c r="K1643" s="6">
        <v>0.48194444444444445</v>
      </c>
      <c r="L1643" t="s">
        <v>142</v>
      </c>
      <c r="M1643">
        <v>150000</v>
      </c>
      <c r="N1643" t="s">
        <v>211</v>
      </c>
      <c r="O1643" t="s">
        <v>152</v>
      </c>
      <c r="P1643">
        <v>63</v>
      </c>
      <c r="Q1643" t="s">
        <v>155</v>
      </c>
    </row>
    <row r="1644" spans="1:17" x14ac:dyDescent="0.2">
      <c r="A1644">
        <v>1086104</v>
      </c>
      <c r="B1644">
        <v>654</v>
      </c>
      <c r="C1644" s="1" t="s">
        <v>100</v>
      </c>
      <c r="D1644" s="11">
        <v>45191.015277777777</v>
      </c>
      <c r="E1644" t="s">
        <v>98</v>
      </c>
      <c r="F1644" t="s">
        <v>66</v>
      </c>
      <c r="G1644">
        <v>1737</v>
      </c>
      <c r="H1644" s="5" t="s">
        <v>100</v>
      </c>
      <c r="I1644" s="15">
        <v>45191</v>
      </c>
      <c r="J1644" s="15" t="s">
        <v>234</v>
      </c>
      <c r="K1644" s="6">
        <v>0.51527777777777772</v>
      </c>
      <c r="L1644" t="s">
        <v>144</v>
      </c>
      <c r="M1644">
        <v>150000</v>
      </c>
      <c r="N1644" t="s">
        <v>224</v>
      </c>
      <c r="O1644" t="s">
        <v>151</v>
      </c>
      <c r="P1644">
        <v>51</v>
      </c>
      <c r="Q1644" t="s">
        <v>155</v>
      </c>
    </row>
    <row r="1645" spans="1:17" x14ac:dyDescent="0.2">
      <c r="A1645">
        <v>1086327</v>
      </c>
      <c r="B1645">
        <v>62</v>
      </c>
      <c r="C1645" s="1" t="s">
        <v>99</v>
      </c>
      <c r="D1645" s="11">
        <v>44939.081944444442</v>
      </c>
      <c r="E1645" t="s">
        <v>97</v>
      </c>
      <c r="F1645" t="s">
        <v>29</v>
      </c>
      <c r="G1645">
        <v>4910</v>
      </c>
      <c r="H1645" s="5" t="s">
        <v>99</v>
      </c>
      <c r="I1645" s="15">
        <v>44939</v>
      </c>
      <c r="J1645" s="15" t="s">
        <v>232</v>
      </c>
      <c r="K1645" s="6">
        <v>8.1944444444444445E-2</v>
      </c>
      <c r="L1645" t="s">
        <v>143</v>
      </c>
      <c r="M1645">
        <v>150000</v>
      </c>
      <c r="N1645" t="s">
        <v>214</v>
      </c>
      <c r="O1645" t="s">
        <v>152</v>
      </c>
      <c r="P1645">
        <v>42</v>
      </c>
      <c r="Q1645" t="s">
        <v>154</v>
      </c>
    </row>
    <row r="1646" spans="1:17" x14ac:dyDescent="0.2">
      <c r="A1646">
        <v>1086644</v>
      </c>
      <c r="B1646">
        <v>940</v>
      </c>
      <c r="C1646" s="1" t="s">
        <v>99</v>
      </c>
      <c r="D1646" s="11">
        <v>45159.057638888888</v>
      </c>
      <c r="E1646" t="s">
        <v>98</v>
      </c>
      <c r="F1646" t="s">
        <v>9</v>
      </c>
      <c r="G1646">
        <v>9735</v>
      </c>
      <c r="H1646" s="5" t="s">
        <v>99</v>
      </c>
      <c r="I1646" s="15">
        <v>45159</v>
      </c>
      <c r="J1646" s="15" t="s">
        <v>234</v>
      </c>
      <c r="K1646" s="6">
        <v>5.7638888888888892E-2</v>
      </c>
      <c r="L1646" t="s">
        <v>144</v>
      </c>
      <c r="M1646">
        <v>150000</v>
      </c>
      <c r="N1646" t="s">
        <v>202</v>
      </c>
      <c r="O1646" t="s">
        <v>151</v>
      </c>
      <c r="P1646">
        <v>79</v>
      </c>
      <c r="Q1646" t="s">
        <v>155</v>
      </c>
    </row>
    <row r="1647" spans="1:17" x14ac:dyDescent="0.2">
      <c r="A1647">
        <v>1087661</v>
      </c>
      <c r="B1647">
        <v>1776</v>
      </c>
      <c r="C1647" s="1" t="s">
        <v>99</v>
      </c>
      <c r="D1647" s="11">
        <v>45283.964583333334</v>
      </c>
      <c r="E1647" t="s">
        <v>191</v>
      </c>
      <c r="F1647" t="s">
        <v>64</v>
      </c>
      <c r="G1647">
        <v>10</v>
      </c>
      <c r="H1647" s="5" t="s">
        <v>99</v>
      </c>
      <c r="I1647" s="15">
        <v>45283</v>
      </c>
      <c r="J1647" s="15" t="s">
        <v>295</v>
      </c>
      <c r="K1647" s="6">
        <v>0.46458333333333335</v>
      </c>
      <c r="L1647" t="s">
        <v>143</v>
      </c>
      <c r="M1647">
        <v>100000</v>
      </c>
      <c r="N1647" t="s">
        <v>223</v>
      </c>
      <c r="O1647" t="s">
        <v>152</v>
      </c>
      <c r="P1647">
        <v>77</v>
      </c>
      <c r="Q1647" t="s">
        <v>157</v>
      </c>
    </row>
    <row r="1648" spans="1:17" x14ac:dyDescent="0.2">
      <c r="A1648">
        <v>1088292</v>
      </c>
      <c r="B1648">
        <v>337</v>
      </c>
      <c r="C1648" s="1" t="s">
        <v>106</v>
      </c>
      <c r="D1648" s="11">
        <v>44944.013888888891</v>
      </c>
      <c r="E1648" t="s">
        <v>191</v>
      </c>
      <c r="F1648" t="s">
        <v>30</v>
      </c>
      <c r="G1648">
        <v>3551</v>
      </c>
      <c r="H1648" s="5" t="s">
        <v>106</v>
      </c>
      <c r="I1648" s="15">
        <v>44944</v>
      </c>
      <c r="J1648" s="15" t="s">
        <v>232</v>
      </c>
      <c r="K1648" s="6">
        <v>0.51388888888888884</v>
      </c>
      <c r="L1648" t="s">
        <v>144</v>
      </c>
      <c r="M1648">
        <v>200000</v>
      </c>
      <c r="N1648" t="s">
        <v>216</v>
      </c>
      <c r="O1648" t="s">
        <v>151</v>
      </c>
      <c r="P1648">
        <v>58</v>
      </c>
      <c r="Q1648" t="s">
        <v>154</v>
      </c>
    </row>
    <row r="1649" spans="1:17" x14ac:dyDescent="0.2">
      <c r="A1649">
        <v>1088350</v>
      </c>
      <c r="B1649">
        <v>606</v>
      </c>
      <c r="C1649" s="1" t="s">
        <v>99</v>
      </c>
      <c r="D1649" s="11">
        <v>45256.025694444441</v>
      </c>
      <c r="E1649" t="s">
        <v>98</v>
      </c>
      <c r="F1649" t="s">
        <v>53</v>
      </c>
      <c r="G1649">
        <v>3144</v>
      </c>
      <c r="H1649" s="5" t="s">
        <v>99</v>
      </c>
      <c r="I1649" s="15">
        <v>45256</v>
      </c>
      <c r="J1649" s="15" t="s">
        <v>295</v>
      </c>
      <c r="K1649" s="6">
        <v>0.52569444444444446</v>
      </c>
      <c r="L1649" t="s">
        <v>142</v>
      </c>
      <c r="M1649">
        <v>100000</v>
      </c>
      <c r="N1649" t="s">
        <v>207</v>
      </c>
      <c r="O1649" t="s">
        <v>151</v>
      </c>
      <c r="P1649">
        <v>18</v>
      </c>
      <c r="Q1649" t="s">
        <v>155</v>
      </c>
    </row>
    <row r="1650" spans="1:17" x14ac:dyDescent="0.2">
      <c r="A1650">
        <v>1089032</v>
      </c>
      <c r="B1650">
        <v>144</v>
      </c>
      <c r="C1650" s="1" t="s">
        <v>108</v>
      </c>
      <c r="D1650" s="11">
        <v>45085.022916666669</v>
      </c>
      <c r="E1650" t="s">
        <v>96</v>
      </c>
      <c r="F1650" t="s">
        <v>85</v>
      </c>
      <c r="G1650">
        <v>9067</v>
      </c>
      <c r="H1650" s="5" t="s">
        <v>108</v>
      </c>
      <c r="I1650" s="15">
        <v>45085</v>
      </c>
      <c r="J1650" s="15" t="s">
        <v>233</v>
      </c>
      <c r="K1650" s="6">
        <v>0.5229166666666667</v>
      </c>
      <c r="L1650" t="s">
        <v>146</v>
      </c>
      <c r="M1650">
        <v>100000</v>
      </c>
      <c r="N1650" t="s">
        <v>212</v>
      </c>
      <c r="O1650" t="s">
        <v>151</v>
      </c>
      <c r="P1650">
        <v>27</v>
      </c>
      <c r="Q1650" t="s">
        <v>154</v>
      </c>
    </row>
    <row r="1651" spans="1:17" x14ac:dyDescent="0.2">
      <c r="A1651">
        <v>1091560</v>
      </c>
      <c r="B1651">
        <v>1294</v>
      </c>
      <c r="C1651" s="1" t="s">
        <v>100</v>
      </c>
      <c r="D1651" s="11">
        <v>45070.970833333333</v>
      </c>
      <c r="E1651" t="s">
        <v>97</v>
      </c>
      <c r="F1651" t="s">
        <v>34</v>
      </c>
      <c r="G1651">
        <v>8903</v>
      </c>
      <c r="H1651" s="5" t="s">
        <v>100</v>
      </c>
      <c r="I1651" s="15">
        <v>45070</v>
      </c>
      <c r="J1651" s="15" t="s">
        <v>233</v>
      </c>
      <c r="K1651" s="6">
        <v>0.47083333333333333</v>
      </c>
      <c r="L1651" t="s">
        <v>144</v>
      </c>
      <c r="M1651">
        <v>150000</v>
      </c>
      <c r="N1651" t="s">
        <v>218</v>
      </c>
      <c r="O1651" t="s">
        <v>152</v>
      </c>
      <c r="P1651">
        <v>54</v>
      </c>
      <c r="Q1651" t="s">
        <v>156</v>
      </c>
    </row>
    <row r="1652" spans="1:17" x14ac:dyDescent="0.2">
      <c r="A1652">
        <v>1093212</v>
      </c>
      <c r="B1652">
        <v>60</v>
      </c>
      <c r="C1652" s="1" t="s">
        <v>99</v>
      </c>
      <c r="D1652" s="11">
        <v>45129.044444444444</v>
      </c>
      <c r="E1652" t="s">
        <v>192</v>
      </c>
      <c r="F1652" t="s">
        <v>68</v>
      </c>
      <c r="G1652">
        <v>799</v>
      </c>
      <c r="H1652" s="5" t="s">
        <v>99</v>
      </c>
      <c r="I1652" s="15">
        <v>45129</v>
      </c>
      <c r="J1652" s="15" t="s">
        <v>234</v>
      </c>
      <c r="K1652" s="6">
        <v>4.4444444444444446E-2</v>
      </c>
      <c r="L1652" t="s">
        <v>144</v>
      </c>
      <c r="M1652">
        <v>100000</v>
      </c>
      <c r="N1652" t="s">
        <v>200</v>
      </c>
      <c r="O1652" t="s">
        <v>151</v>
      </c>
      <c r="P1652">
        <v>60</v>
      </c>
      <c r="Q1652" t="s">
        <v>154</v>
      </c>
    </row>
    <row r="1653" spans="1:17" x14ac:dyDescent="0.2">
      <c r="A1653">
        <v>1093314</v>
      </c>
      <c r="B1653">
        <v>1576</v>
      </c>
      <c r="C1653" s="1" t="s">
        <v>99</v>
      </c>
      <c r="D1653" s="11">
        <v>45035.030555555553</v>
      </c>
      <c r="E1653" t="s">
        <v>98</v>
      </c>
      <c r="F1653" t="s">
        <v>69</v>
      </c>
      <c r="G1653">
        <v>1562</v>
      </c>
      <c r="H1653" s="5" t="s">
        <v>99</v>
      </c>
      <c r="I1653" s="15">
        <v>45035</v>
      </c>
      <c r="J1653" s="15" t="s">
        <v>233</v>
      </c>
      <c r="K1653" s="6">
        <v>0.53055555555555556</v>
      </c>
      <c r="L1653" t="s">
        <v>146</v>
      </c>
      <c r="M1653">
        <v>250000</v>
      </c>
      <c r="N1653" t="s">
        <v>225</v>
      </c>
      <c r="O1653" t="s">
        <v>151</v>
      </c>
      <c r="P1653">
        <v>70</v>
      </c>
      <c r="Q1653" t="s">
        <v>157</v>
      </c>
    </row>
    <row r="1654" spans="1:17" x14ac:dyDescent="0.2">
      <c r="A1654">
        <v>1093757</v>
      </c>
      <c r="B1654">
        <v>127</v>
      </c>
      <c r="C1654" s="1" t="s">
        <v>108</v>
      </c>
      <c r="D1654" s="11">
        <v>45264</v>
      </c>
      <c r="E1654" t="s">
        <v>98</v>
      </c>
      <c r="F1654" t="s">
        <v>43</v>
      </c>
      <c r="G1654">
        <v>5671</v>
      </c>
      <c r="H1654" s="5" t="s">
        <v>108</v>
      </c>
      <c r="I1654" s="15">
        <v>45264</v>
      </c>
      <c r="J1654" s="15" t="s">
        <v>295</v>
      </c>
      <c r="K1654" s="6">
        <v>0.5</v>
      </c>
      <c r="L1654" t="s">
        <v>145</v>
      </c>
      <c r="M1654">
        <v>1000000</v>
      </c>
      <c r="N1654" t="s">
        <v>203</v>
      </c>
      <c r="O1654" t="s">
        <v>152</v>
      </c>
      <c r="P1654">
        <v>57</v>
      </c>
      <c r="Q1654" t="s">
        <v>154</v>
      </c>
    </row>
    <row r="1655" spans="1:17" x14ac:dyDescent="0.2">
      <c r="A1655">
        <v>1094900</v>
      </c>
      <c r="B1655">
        <v>1616</v>
      </c>
      <c r="C1655" s="1" t="s">
        <v>99</v>
      </c>
      <c r="D1655" s="11">
        <v>45046.040277777778</v>
      </c>
      <c r="E1655" t="s">
        <v>96</v>
      </c>
      <c r="F1655" t="s">
        <v>27</v>
      </c>
      <c r="G1655">
        <v>2968</v>
      </c>
      <c r="H1655" s="5" t="s">
        <v>99</v>
      </c>
      <c r="I1655" s="15">
        <v>45046</v>
      </c>
      <c r="J1655" s="15" t="s">
        <v>233</v>
      </c>
      <c r="K1655" s="6">
        <v>0.54027777777777775</v>
      </c>
      <c r="L1655" t="s">
        <v>142</v>
      </c>
      <c r="M1655">
        <v>1000000</v>
      </c>
      <c r="N1655" t="s">
        <v>209</v>
      </c>
      <c r="O1655" t="s">
        <v>152</v>
      </c>
      <c r="P1655">
        <v>38</v>
      </c>
      <c r="Q1655" t="s">
        <v>157</v>
      </c>
    </row>
    <row r="1656" spans="1:17" x14ac:dyDescent="0.2">
      <c r="A1656">
        <v>1095387</v>
      </c>
      <c r="B1656">
        <v>1251</v>
      </c>
      <c r="C1656" s="1" t="s">
        <v>99</v>
      </c>
      <c r="D1656" s="11">
        <v>45246.089583333334</v>
      </c>
      <c r="E1656" t="s">
        <v>191</v>
      </c>
      <c r="F1656" t="s">
        <v>69</v>
      </c>
      <c r="G1656">
        <v>2942</v>
      </c>
      <c r="H1656" s="5" t="s">
        <v>99</v>
      </c>
      <c r="I1656" s="15">
        <v>45246</v>
      </c>
      <c r="J1656" s="15" t="s">
        <v>295</v>
      </c>
      <c r="K1656" s="6">
        <v>8.9583333333333334E-2</v>
      </c>
      <c r="L1656" t="s">
        <v>146</v>
      </c>
      <c r="M1656">
        <v>250000</v>
      </c>
      <c r="N1656" t="s">
        <v>225</v>
      </c>
      <c r="O1656" t="s">
        <v>151</v>
      </c>
      <c r="P1656">
        <v>31</v>
      </c>
      <c r="Q1656" t="s">
        <v>156</v>
      </c>
    </row>
    <row r="1657" spans="1:17" x14ac:dyDescent="0.2">
      <c r="A1657">
        <v>1097967</v>
      </c>
      <c r="B1657">
        <v>1097</v>
      </c>
      <c r="C1657" s="1" t="s">
        <v>113</v>
      </c>
      <c r="D1657" s="11">
        <v>44996.072222222225</v>
      </c>
      <c r="E1657" t="s">
        <v>96</v>
      </c>
      <c r="F1657" t="s">
        <v>43</v>
      </c>
      <c r="G1657">
        <v>9517</v>
      </c>
      <c r="H1657" s="5" t="s">
        <v>113</v>
      </c>
      <c r="I1657" s="15">
        <v>44996</v>
      </c>
      <c r="J1657" s="15" t="s">
        <v>232</v>
      </c>
      <c r="K1657" s="6">
        <v>7.2222222222222215E-2</v>
      </c>
      <c r="L1657" t="s">
        <v>145</v>
      </c>
      <c r="M1657">
        <v>1000000</v>
      </c>
      <c r="N1657" t="s">
        <v>203</v>
      </c>
      <c r="O1657" t="s">
        <v>152</v>
      </c>
      <c r="P1657">
        <v>81</v>
      </c>
      <c r="Q1657" t="s">
        <v>156</v>
      </c>
    </row>
    <row r="1658" spans="1:17" x14ac:dyDescent="0.2">
      <c r="A1658">
        <v>1098350</v>
      </c>
      <c r="B1658">
        <v>1983</v>
      </c>
      <c r="C1658" s="1" t="s">
        <v>105</v>
      </c>
      <c r="D1658" s="11">
        <v>44966.068749999999</v>
      </c>
      <c r="E1658" t="s">
        <v>98</v>
      </c>
      <c r="F1658" t="s">
        <v>22</v>
      </c>
      <c r="G1658">
        <v>7342</v>
      </c>
      <c r="H1658" s="5" t="s">
        <v>105</v>
      </c>
      <c r="I1658" s="15">
        <v>44966</v>
      </c>
      <c r="J1658" s="15" t="s">
        <v>232</v>
      </c>
      <c r="K1658" s="6">
        <v>6.8750000000000006E-2</v>
      </c>
      <c r="L1658" t="s">
        <v>144</v>
      </c>
      <c r="M1658">
        <v>100000</v>
      </c>
      <c r="N1658" t="s">
        <v>202</v>
      </c>
      <c r="O1658" t="s">
        <v>152</v>
      </c>
      <c r="P1658">
        <v>35</v>
      </c>
      <c r="Q1658" t="s">
        <v>157</v>
      </c>
    </row>
    <row r="1659" spans="1:17" x14ac:dyDescent="0.2">
      <c r="A1659">
        <v>1099712</v>
      </c>
      <c r="B1659">
        <v>772</v>
      </c>
      <c r="C1659" s="1" t="s">
        <v>100</v>
      </c>
      <c r="D1659" s="11">
        <v>45175.061805555553</v>
      </c>
      <c r="E1659" t="s">
        <v>97</v>
      </c>
      <c r="F1659" t="s">
        <v>41</v>
      </c>
      <c r="G1659">
        <v>9284</v>
      </c>
      <c r="H1659" s="5" t="s">
        <v>100</v>
      </c>
      <c r="I1659" s="15">
        <v>45175</v>
      </c>
      <c r="J1659" s="15" t="s">
        <v>234</v>
      </c>
      <c r="K1659" s="6">
        <v>6.1805555555555558E-2</v>
      </c>
      <c r="L1659" t="s">
        <v>145</v>
      </c>
      <c r="M1659">
        <v>150000</v>
      </c>
      <c r="N1659" t="s">
        <v>203</v>
      </c>
      <c r="O1659" t="s">
        <v>152</v>
      </c>
      <c r="P1659">
        <v>37</v>
      </c>
      <c r="Q1659" t="s">
        <v>155</v>
      </c>
    </row>
    <row r="1660" spans="1:17" x14ac:dyDescent="0.2">
      <c r="A1660">
        <v>1100277</v>
      </c>
      <c r="B1660">
        <v>1886</v>
      </c>
      <c r="C1660" s="1" t="s">
        <v>101</v>
      </c>
      <c r="D1660" s="11">
        <v>45196.045138888891</v>
      </c>
      <c r="E1660" t="s">
        <v>96</v>
      </c>
      <c r="F1660" t="s">
        <v>19</v>
      </c>
      <c r="G1660">
        <v>1924</v>
      </c>
      <c r="H1660" s="5" t="s">
        <v>101</v>
      </c>
      <c r="I1660" s="15">
        <v>45196</v>
      </c>
      <c r="J1660" s="15" t="s">
        <v>234</v>
      </c>
      <c r="K1660" s="6">
        <v>4.5138888888888888E-2</v>
      </c>
      <c r="L1660" t="s">
        <v>142</v>
      </c>
      <c r="M1660">
        <v>150000</v>
      </c>
      <c r="N1660" t="s">
        <v>211</v>
      </c>
      <c r="O1660" t="s">
        <v>152</v>
      </c>
      <c r="P1660">
        <v>28</v>
      </c>
      <c r="Q1660" t="s">
        <v>157</v>
      </c>
    </row>
    <row r="1661" spans="1:17" x14ac:dyDescent="0.2">
      <c r="A1661">
        <v>1101025</v>
      </c>
      <c r="B1661">
        <v>289</v>
      </c>
      <c r="C1661" s="1" t="s">
        <v>100</v>
      </c>
      <c r="D1661" s="11">
        <v>45048.020833333336</v>
      </c>
      <c r="E1661" t="s">
        <v>97</v>
      </c>
      <c r="F1661" t="s">
        <v>35</v>
      </c>
      <c r="G1661">
        <v>5344</v>
      </c>
      <c r="H1661" s="5" t="s">
        <v>100</v>
      </c>
      <c r="I1661" s="15">
        <v>45048</v>
      </c>
      <c r="J1661" s="15" t="s">
        <v>233</v>
      </c>
      <c r="K1661" s="6">
        <v>0.52083333333333337</v>
      </c>
      <c r="L1661" t="s">
        <v>144</v>
      </c>
      <c r="M1661">
        <v>100000</v>
      </c>
      <c r="N1661" t="s">
        <v>219</v>
      </c>
      <c r="O1661" t="s">
        <v>151</v>
      </c>
      <c r="P1661">
        <v>82</v>
      </c>
      <c r="Q1661" t="s">
        <v>154</v>
      </c>
    </row>
    <row r="1662" spans="1:17" x14ac:dyDescent="0.2">
      <c r="A1662">
        <v>1101866</v>
      </c>
      <c r="B1662">
        <v>986</v>
      </c>
      <c r="C1662" s="1" t="s">
        <v>101</v>
      </c>
      <c r="D1662" s="11">
        <v>45094.042361111111</v>
      </c>
      <c r="E1662" t="s">
        <v>98</v>
      </c>
      <c r="F1662" t="s">
        <v>15</v>
      </c>
      <c r="G1662">
        <v>9741</v>
      </c>
      <c r="H1662" s="5" t="s">
        <v>101</v>
      </c>
      <c r="I1662" s="15">
        <v>45094</v>
      </c>
      <c r="J1662" s="15" t="s">
        <v>233</v>
      </c>
      <c r="K1662" s="6">
        <v>4.2361111111111113E-2</v>
      </c>
      <c r="L1662" t="s">
        <v>143</v>
      </c>
      <c r="M1662">
        <v>150000</v>
      </c>
      <c r="N1662" t="s">
        <v>198</v>
      </c>
      <c r="O1662" t="s">
        <v>152</v>
      </c>
      <c r="P1662">
        <v>44</v>
      </c>
      <c r="Q1662" t="s">
        <v>155</v>
      </c>
    </row>
    <row r="1663" spans="1:17" x14ac:dyDescent="0.2">
      <c r="A1663">
        <v>1102470</v>
      </c>
      <c r="B1663">
        <v>1686</v>
      </c>
      <c r="C1663" s="1" t="s">
        <v>100</v>
      </c>
      <c r="D1663" s="11">
        <v>44973.984722222223</v>
      </c>
      <c r="E1663" t="s">
        <v>191</v>
      </c>
      <c r="F1663" t="s">
        <v>28</v>
      </c>
      <c r="G1663">
        <v>7654</v>
      </c>
      <c r="H1663" s="5" t="s">
        <v>100</v>
      </c>
      <c r="I1663" s="15">
        <v>44973</v>
      </c>
      <c r="J1663" s="15" t="s">
        <v>232</v>
      </c>
      <c r="K1663" s="6">
        <v>0.48472222222222222</v>
      </c>
      <c r="L1663" t="s">
        <v>143</v>
      </c>
      <c r="M1663">
        <v>100000</v>
      </c>
      <c r="N1663" t="s">
        <v>215</v>
      </c>
      <c r="O1663" t="s">
        <v>151</v>
      </c>
      <c r="P1663">
        <v>53</v>
      </c>
      <c r="Q1663" t="s">
        <v>157</v>
      </c>
    </row>
    <row r="1664" spans="1:17" x14ac:dyDescent="0.2">
      <c r="A1664">
        <v>1102591</v>
      </c>
      <c r="B1664">
        <v>874</v>
      </c>
      <c r="C1664" s="1" t="s">
        <v>99</v>
      </c>
      <c r="D1664" s="11">
        <v>45170.597222222219</v>
      </c>
      <c r="E1664" t="s">
        <v>97</v>
      </c>
      <c r="F1664" t="s">
        <v>29</v>
      </c>
      <c r="G1664">
        <v>8227</v>
      </c>
      <c r="H1664" s="5" t="s">
        <v>99</v>
      </c>
      <c r="I1664" s="15">
        <v>45170</v>
      </c>
      <c r="J1664" s="15" t="s">
        <v>234</v>
      </c>
      <c r="K1664" s="6">
        <v>9.7222222222222224E-2</v>
      </c>
      <c r="L1664" t="s">
        <v>143</v>
      </c>
      <c r="M1664">
        <v>150000</v>
      </c>
      <c r="N1664" t="s">
        <v>214</v>
      </c>
      <c r="O1664" t="s">
        <v>152</v>
      </c>
      <c r="P1664">
        <v>40</v>
      </c>
      <c r="Q1664" t="s">
        <v>155</v>
      </c>
    </row>
    <row r="1665" spans="1:17" x14ac:dyDescent="0.2">
      <c r="A1665">
        <v>1102910</v>
      </c>
      <c r="B1665">
        <v>347</v>
      </c>
      <c r="C1665" s="1" t="s">
        <v>108</v>
      </c>
      <c r="D1665" s="11">
        <v>45232.988194444442</v>
      </c>
      <c r="E1665" t="s">
        <v>96</v>
      </c>
      <c r="F1665" t="s">
        <v>27</v>
      </c>
      <c r="G1665">
        <v>5043</v>
      </c>
      <c r="H1665" s="5" t="s">
        <v>108</v>
      </c>
      <c r="I1665" s="15">
        <v>45232</v>
      </c>
      <c r="J1665" s="15" t="s">
        <v>295</v>
      </c>
      <c r="K1665" s="6">
        <v>0.48819444444444443</v>
      </c>
      <c r="L1665" t="s">
        <v>142</v>
      </c>
      <c r="M1665">
        <v>1000000</v>
      </c>
      <c r="N1665" t="s">
        <v>209</v>
      </c>
      <c r="O1665" t="s">
        <v>152</v>
      </c>
      <c r="P1665">
        <v>59</v>
      </c>
      <c r="Q1665" t="s">
        <v>154</v>
      </c>
    </row>
    <row r="1666" spans="1:17" x14ac:dyDescent="0.2">
      <c r="A1666">
        <v>1103132</v>
      </c>
      <c r="B1666">
        <v>213</v>
      </c>
      <c r="C1666" s="1" t="s">
        <v>99</v>
      </c>
      <c r="D1666" s="11">
        <v>45227.018750000003</v>
      </c>
      <c r="E1666" t="s">
        <v>191</v>
      </c>
      <c r="F1666" t="s">
        <v>43</v>
      </c>
      <c r="G1666">
        <v>2021</v>
      </c>
      <c r="H1666" s="5" t="s">
        <v>99</v>
      </c>
      <c r="I1666" s="15">
        <v>45227</v>
      </c>
      <c r="J1666" s="15" t="s">
        <v>295</v>
      </c>
      <c r="K1666" s="6">
        <v>0.51875000000000004</v>
      </c>
      <c r="L1666" t="s">
        <v>145</v>
      </c>
      <c r="M1666">
        <v>1000000</v>
      </c>
      <c r="N1666" t="s">
        <v>203</v>
      </c>
      <c r="O1666" t="s">
        <v>152</v>
      </c>
      <c r="P1666">
        <v>52</v>
      </c>
      <c r="Q1666" t="s">
        <v>154</v>
      </c>
    </row>
    <row r="1667" spans="1:17" x14ac:dyDescent="0.2">
      <c r="A1667">
        <v>1103298</v>
      </c>
      <c r="B1667">
        <v>1505</v>
      </c>
      <c r="C1667" s="1" t="s">
        <v>99</v>
      </c>
      <c r="D1667" s="11">
        <v>45291.027083333334</v>
      </c>
      <c r="E1667" t="s">
        <v>98</v>
      </c>
      <c r="F1667" t="s">
        <v>43</v>
      </c>
      <c r="G1667">
        <v>1147</v>
      </c>
      <c r="H1667" s="5" t="s">
        <v>99</v>
      </c>
      <c r="I1667" s="15">
        <v>45291</v>
      </c>
      <c r="J1667" s="15" t="s">
        <v>295</v>
      </c>
      <c r="K1667" s="6">
        <v>0.52708333333333335</v>
      </c>
      <c r="L1667" t="s">
        <v>145</v>
      </c>
      <c r="M1667">
        <v>1000000</v>
      </c>
      <c r="N1667" t="s">
        <v>203</v>
      </c>
      <c r="O1667" t="s">
        <v>151</v>
      </c>
      <c r="P1667">
        <v>48</v>
      </c>
      <c r="Q1667" t="s">
        <v>157</v>
      </c>
    </row>
    <row r="1668" spans="1:17" x14ac:dyDescent="0.2">
      <c r="A1668">
        <v>1104089</v>
      </c>
      <c r="B1668">
        <v>1775</v>
      </c>
      <c r="C1668" s="1" t="s">
        <v>99</v>
      </c>
      <c r="D1668" s="11">
        <v>45108.072916666664</v>
      </c>
      <c r="E1668" t="s">
        <v>191</v>
      </c>
      <c r="F1668" t="s">
        <v>27</v>
      </c>
      <c r="G1668">
        <v>6964</v>
      </c>
      <c r="H1668" s="5" t="s">
        <v>99</v>
      </c>
      <c r="I1668" s="15">
        <v>45108</v>
      </c>
      <c r="J1668" s="15" t="s">
        <v>234</v>
      </c>
      <c r="K1668" s="6">
        <v>7.2916666666666671E-2</v>
      </c>
      <c r="L1668" t="s">
        <v>142</v>
      </c>
      <c r="M1668">
        <v>1000000</v>
      </c>
      <c r="N1668" t="s">
        <v>209</v>
      </c>
      <c r="O1668" t="s">
        <v>152</v>
      </c>
      <c r="P1668">
        <v>42</v>
      </c>
      <c r="Q1668" t="s">
        <v>157</v>
      </c>
    </row>
    <row r="1669" spans="1:17" x14ac:dyDescent="0.2">
      <c r="A1669">
        <v>1104509</v>
      </c>
      <c r="B1669">
        <v>20</v>
      </c>
      <c r="C1669" s="1" t="s">
        <v>99</v>
      </c>
      <c r="D1669" s="11">
        <v>45073.05972222222</v>
      </c>
      <c r="E1669" t="s">
        <v>96</v>
      </c>
      <c r="F1669" t="s">
        <v>18</v>
      </c>
      <c r="G1669">
        <v>5599</v>
      </c>
      <c r="H1669" s="5" t="s">
        <v>99</v>
      </c>
      <c r="I1669" s="15">
        <v>45073</v>
      </c>
      <c r="J1669" s="15" t="s">
        <v>233</v>
      </c>
      <c r="K1669" s="6">
        <v>5.9722222222222225E-2</v>
      </c>
      <c r="L1669" t="s">
        <v>145</v>
      </c>
      <c r="M1669">
        <v>200000</v>
      </c>
      <c r="N1669" t="s">
        <v>210</v>
      </c>
      <c r="O1669" t="s">
        <v>152</v>
      </c>
      <c r="P1669">
        <v>38</v>
      </c>
      <c r="Q1669" t="s">
        <v>154</v>
      </c>
    </row>
    <row r="1670" spans="1:17" x14ac:dyDescent="0.2">
      <c r="A1670">
        <v>1104723</v>
      </c>
      <c r="B1670">
        <v>584</v>
      </c>
      <c r="C1670" s="1" t="s">
        <v>99</v>
      </c>
      <c r="D1670" s="11">
        <v>44952.986111111109</v>
      </c>
      <c r="E1670" t="s">
        <v>98</v>
      </c>
      <c r="F1670" t="s">
        <v>70</v>
      </c>
      <c r="G1670">
        <v>1066</v>
      </c>
      <c r="H1670" s="5" t="s">
        <v>99</v>
      </c>
      <c r="I1670" s="15">
        <v>44952</v>
      </c>
      <c r="J1670" s="15" t="s">
        <v>232</v>
      </c>
      <c r="K1670" s="6">
        <v>0.4861111111111111</v>
      </c>
      <c r="L1670" t="s">
        <v>143</v>
      </c>
      <c r="M1670">
        <v>100000</v>
      </c>
      <c r="N1670" t="s">
        <v>205</v>
      </c>
      <c r="O1670" t="s">
        <v>152</v>
      </c>
      <c r="P1670">
        <v>70</v>
      </c>
      <c r="Q1670" t="s">
        <v>155</v>
      </c>
    </row>
    <row r="1671" spans="1:17" x14ac:dyDescent="0.2">
      <c r="A1671">
        <v>1105163</v>
      </c>
      <c r="B1671">
        <v>1591</v>
      </c>
      <c r="C1671" s="1" t="s">
        <v>99</v>
      </c>
      <c r="D1671" s="11">
        <v>45042.058333333334</v>
      </c>
      <c r="E1671" t="s">
        <v>96</v>
      </c>
      <c r="F1671" t="s">
        <v>5</v>
      </c>
      <c r="G1671">
        <v>9903</v>
      </c>
      <c r="H1671" s="5" t="s">
        <v>99</v>
      </c>
      <c r="I1671" s="15">
        <v>45042</v>
      </c>
      <c r="J1671" s="15" t="s">
        <v>233</v>
      </c>
      <c r="K1671" s="6">
        <v>5.8333333333333334E-2</v>
      </c>
      <c r="L1671" t="s">
        <v>143</v>
      </c>
      <c r="M1671">
        <v>200000</v>
      </c>
      <c r="N1671" t="s">
        <v>198</v>
      </c>
      <c r="O1671" t="s">
        <v>151</v>
      </c>
      <c r="P1671">
        <v>61</v>
      </c>
      <c r="Q1671" t="s">
        <v>157</v>
      </c>
    </row>
    <row r="1672" spans="1:17" x14ac:dyDescent="0.2">
      <c r="A1672">
        <v>1105875</v>
      </c>
      <c r="B1672">
        <v>1722</v>
      </c>
      <c r="C1672" s="1" t="s">
        <v>99</v>
      </c>
      <c r="D1672" s="11">
        <v>45275.976388888892</v>
      </c>
      <c r="E1672" t="s">
        <v>191</v>
      </c>
      <c r="F1672" t="s">
        <v>43</v>
      </c>
      <c r="G1672">
        <v>4863</v>
      </c>
      <c r="H1672" s="5" t="s">
        <v>99</v>
      </c>
      <c r="I1672" s="15">
        <v>45275</v>
      </c>
      <c r="J1672" s="15" t="s">
        <v>295</v>
      </c>
      <c r="K1672" s="6">
        <v>0.47638888888888886</v>
      </c>
      <c r="L1672" t="s">
        <v>145</v>
      </c>
      <c r="M1672">
        <v>1000000</v>
      </c>
      <c r="N1672" t="s">
        <v>203</v>
      </c>
      <c r="O1672" t="s">
        <v>151</v>
      </c>
      <c r="P1672">
        <v>46</v>
      </c>
      <c r="Q1672" t="s">
        <v>157</v>
      </c>
    </row>
    <row r="1673" spans="1:17" x14ac:dyDescent="0.2">
      <c r="A1673">
        <v>1106456</v>
      </c>
      <c r="B1673">
        <v>378</v>
      </c>
      <c r="C1673" s="1" t="s">
        <v>110</v>
      </c>
      <c r="D1673" s="11">
        <v>45141.952777777777</v>
      </c>
      <c r="E1673" t="s">
        <v>96</v>
      </c>
      <c r="F1673" t="s">
        <v>7</v>
      </c>
      <c r="G1673">
        <v>9636</v>
      </c>
      <c r="H1673" s="5" t="s">
        <v>110</v>
      </c>
      <c r="I1673" s="15">
        <v>45141</v>
      </c>
      <c r="J1673" s="15" t="s">
        <v>234</v>
      </c>
      <c r="K1673" s="6">
        <v>0.45277777777777778</v>
      </c>
      <c r="L1673" t="s">
        <v>144</v>
      </c>
      <c r="M1673">
        <v>150000</v>
      </c>
      <c r="N1673" t="s">
        <v>200</v>
      </c>
      <c r="O1673" t="s">
        <v>151</v>
      </c>
      <c r="P1673">
        <v>69</v>
      </c>
      <c r="Q1673" t="s">
        <v>154</v>
      </c>
    </row>
    <row r="1674" spans="1:17" x14ac:dyDescent="0.2">
      <c r="A1674">
        <v>1107821</v>
      </c>
      <c r="B1674">
        <v>581</v>
      </c>
      <c r="C1674" s="1" t="s">
        <v>99</v>
      </c>
      <c r="D1674" s="11">
        <v>45217.017361111109</v>
      </c>
      <c r="E1674" t="s">
        <v>98</v>
      </c>
      <c r="F1674" t="s">
        <v>8</v>
      </c>
      <c r="G1674">
        <v>3452</v>
      </c>
      <c r="H1674" s="5" t="s">
        <v>99</v>
      </c>
      <c r="I1674" s="15">
        <v>45217</v>
      </c>
      <c r="J1674" s="15" t="s">
        <v>295</v>
      </c>
      <c r="K1674" s="6">
        <v>0.51736111111111116</v>
      </c>
      <c r="L1674" t="s">
        <v>142</v>
      </c>
      <c r="M1674">
        <v>200000</v>
      </c>
      <c r="N1674" t="s">
        <v>201</v>
      </c>
      <c r="O1674" t="s">
        <v>151</v>
      </c>
      <c r="P1674">
        <v>53</v>
      </c>
      <c r="Q1674" t="s">
        <v>155</v>
      </c>
    </row>
    <row r="1675" spans="1:17" x14ac:dyDescent="0.2">
      <c r="A1675">
        <v>1107986</v>
      </c>
      <c r="B1675">
        <v>632</v>
      </c>
      <c r="C1675" s="1" t="s">
        <v>99</v>
      </c>
      <c r="D1675" s="11">
        <v>45187.020833333336</v>
      </c>
      <c r="E1675" t="s">
        <v>96</v>
      </c>
      <c r="F1675" t="s">
        <v>46</v>
      </c>
      <c r="G1675">
        <v>384</v>
      </c>
      <c r="H1675" s="5" t="s">
        <v>99</v>
      </c>
      <c r="I1675" s="15">
        <v>45187</v>
      </c>
      <c r="J1675" s="15" t="s">
        <v>234</v>
      </c>
      <c r="K1675" s="6">
        <v>0.52083333333333337</v>
      </c>
      <c r="L1675" t="s">
        <v>142</v>
      </c>
      <c r="M1675">
        <v>200000</v>
      </c>
      <c r="N1675" t="s">
        <v>211</v>
      </c>
      <c r="O1675" t="s">
        <v>152</v>
      </c>
      <c r="P1675">
        <v>67</v>
      </c>
      <c r="Q1675" t="s">
        <v>155</v>
      </c>
    </row>
    <row r="1676" spans="1:17" x14ac:dyDescent="0.2">
      <c r="A1676">
        <v>1108968</v>
      </c>
      <c r="B1676">
        <v>255</v>
      </c>
      <c r="C1676" s="1" t="s">
        <v>107</v>
      </c>
      <c r="D1676" s="11">
        <v>45244.05</v>
      </c>
      <c r="E1676" t="s">
        <v>97</v>
      </c>
      <c r="F1676" t="s">
        <v>10</v>
      </c>
      <c r="G1676">
        <v>2300</v>
      </c>
      <c r="H1676" s="5" t="s">
        <v>107</v>
      </c>
      <c r="I1676" s="15">
        <v>45244</v>
      </c>
      <c r="J1676" s="15" t="s">
        <v>295</v>
      </c>
      <c r="K1676" s="6">
        <v>0.05</v>
      </c>
      <c r="L1676" t="s">
        <v>145</v>
      </c>
      <c r="M1676">
        <v>150000</v>
      </c>
      <c r="N1676" t="s">
        <v>203</v>
      </c>
      <c r="O1676" t="s">
        <v>151</v>
      </c>
      <c r="P1676">
        <v>62</v>
      </c>
      <c r="Q1676" t="s">
        <v>154</v>
      </c>
    </row>
    <row r="1677" spans="1:17" x14ac:dyDescent="0.2">
      <c r="A1677">
        <v>1110547</v>
      </c>
      <c r="B1677">
        <v>1438</v>
      </c>
      <c r="C1677" s="1" t="s">
        <v>106</v>
      </c>
      <c r="D1677" s="11">
        <v>44971.954861111109</v>
      </c>
      <c r="E1677" t="s">
        <v>191</v>
      </c>
      <c r="F1677" t="s">
        <v>27</v>
      </c>
      <c r="G1677">
        <v>8840</v>
      </c>
      <c r="H1677" s="5" t="s">
        <v>106</v>
      </c>
      <c r="I1677" s="15">
        <v>44971</v>
      </c>
      <c r="J1677" s="15" t="s">
        <v>232</v>
      </c>
      <c r="K1677" s="6">
        <v>0.4548611111111111</v>
      </c>
      <c r="L1677" t="s">
        <v>142</v>
      </c>
      <c r="M1677">
        <v>1000000</v>
      </c>
      <c r="N1677" t="s">
        <v>209</v>
      </c>
      <c r="O1677" t="s">
        <v>151</v>
      </c>
      <c r="P1677">
        <v>35</v>
      </c>
      <c r="Q1677" t="s">
        <v>156</v>
      </c>
    </row>
    <row r="1678" spans="1:17" x14ac:dyDescent="0.2">
      <c r="A1678">
        <v>1111675</v>
      </c>
      <c r="B1678">
        <v>665</v>
      </c>
      <c r="C1678" s="1" t="s">
        <v>100</v>
      </c>
      <c r="D1678" s="11">
        <v>44983.98333333333</v>
      </c>
      <c r="E1678" t="s">
        <v>96</v>
      </c>
      <c r="F1678" t="s">
        <v>13</v>
      </c>
      <c r="G1678">
        <v>5031</v>
      </c>
      <c r="H1678" s="5" t="s">
        <v>100</v>
      </c>
      <c r="I1678" s="15">
        <v>44983</v>
      </c>
      <c r="J1678" s="15" t="s">
        <v>232</v>
      </c>
      <c r="K1678" s="6">
        <v>0.48333333333333334</v>
      </c>
      <c r="L1678" t="s">
        <v>143</v>
      </c>
      <c r="M1678">
        <v>150000</v>
      </c>
      <c r="N1678" t="s">
        <v>206</v>
      </c>
      <c r="O1678" t="s">
        <v>151</v>
      </c>
      <c r="P1678">
        <v>42</v>
      </c>
      <c r="Q1678" t="s">
        <v>155</v>
      </c>
    </row>
    <row r="1679" spans="1:17" x14ac:dyDescent="0.2">
      <c r="A1679">
        <v>1112646</v>
      </c>
      <c r="B1679">
        <v>1355</v>
      </c>
      <c r="C1679" s="1" t="s">
        <v>105</v>
      </c>
      <c r="D1679" s="11">
        <v>45196.018750000003</v>
      </c>
      <c r="E1679" t="s">
        <v>191</v>
      </c>
      <c r="F1679" t="s">
        <v>10</v>
      </c>
      <c r="G1679">
        <v>8949</v>
      </c>
      <c r="H1679" s="5" t="s">
        <v>105</v>
      </c>
      <c r="I1679" s="15">
        <v>45196</v>
      </c>
      <c r="J1679" s="15" t="s">
        <v>234</v>
      </c>
      <c r="K1679" s="6">
        <v>0.51875000000000004</v>
      </c>
      <c r="L1679" t="s">
        <v>145</v>
      </c>
      <c r="M1679">
        <v>150000</v>
      </c>
      <c r="N1679" t="s">
        <v>203</v>
      </c>
      <c r="O1679" t="s">
        <v>151</v>
      </c>
      <c r="P1679">
        <v>83</v>
      </c>
      <c r="Q1679" t="s">
        <v>156</v>
      </c>
    </row>
    <row r="1680" spans="1:17" x14ac:dyDescent="0.2">
      <c r="A1680">
        <v>1114314</v>
      </c>
      <c r="B1680">
        <v>1192</v>
      </c>
      <c r="C1680" s="1" t="s">
        <v>99</v>
      </c>
      <c r="D1680" s="11">
        <v>45017.038888888892</v>
      </c>
      <c r="E1680" t="s">
        <v>192</v>
      </c>
      <c r="F1680" t="s">
        <v>15</v>
      </c>
      <c r="G1680">
        <v>3962</v>
      </c>
      <c r="H1680" s="5" t="s">
        <v>99</v>
      </c>
      <c r="I1680" s="15">
        <v>45017</v>
      </c>
      <c r="J1680" s="15" t="s">
        <v>233</v>
      </c>
      <c r="K1680" s="6">
        <v>0.53888888888888886</v>
      </c>
      <c r="L1680" t="s">
        <v>143</v>
      </c>
      <c r="M1680">
        <v>150000</v>
      </c>
      <c r="N1680" t="s">
        <v>198</v>
      </c>
      <c r="O1680" t="s">
        <v>152</v>
      </c>
      <c r="P1680">
        <v>87</v>
      </c>
      <c r="Q1680" t="s">
        <v>156</v>
      </c>
    </row>
    <row r="1681" spans="1:17" x14ac:dyDescent="0.2">
      <c r="A1681">
        <v>1115197</v>
      </c>
      <c r="B1681">
        <v>1108</v>
      </c>
      <c r="C1681" s="1" t="s">
        <v>113</v>
      </c>
      <c r="D1681" s="11">
        <v>45136.001388888886</v>
      </c>
      <c r="E1681" t="s">
        <v>98</v>
      </c>
      <c r="F1681" t="s">
        <v>13</v>
      </c>
      <c r="G1681">
        <v>1278</v>
      </c>
      <c r="H1681" s="5" t="s">
        <v>113</v>
      </c>
      <c r="I1681" s="15">
        <v>45136</v>
      </c>
      <c r="J1681" s="15" t="s">
        <v>234</v>
      </c>
      <c r="K1681" s="6">
        <v>0.50138888888888888</v>
      </c>
      <c r="L1681" t="s">
        <v>143</v>
      </c>
      <c r="M1681">
        <v>150000</v>
      </c>
      <c r="N1681" t="s">
        <v>206</v>
      </c>
      <c r="O1681" t="s">
        <v>152</v>
      </c>
      <c r="P1681">
        <v>47</v>
      </c>
      <c r="Q1681" t="s">
        <v>156</v>
      </c>
    </row>
    <row r="1682" spans="1:17" x14ac:dyDescent="0.2">
      <c r="A1682">
        <v>1115208</v>
      </c>
      <c r="B1682">
        <v>1777</v>
      </c>
      <c r="C1682" s="1" t="s">
        <v>99</v>
      </c>
      <c r="D1682" s="11">
        <v>45000.943749999999</v>
      </c>
      <c r="E1682" t="s">
        <v>191</v>
      </c>
      <c r="F1682" t="s">
        <v>62</v>
      </c>
      <c r="G1682">
        <v>1807</v>
      </c>
      <c r="H1682" s="5" t="s">
        <v>99</v>
      </c>
      <c r="I1682" s="15">
        <v>45000</v>
      </c>
      <c r="J1682" s="15" t="s">
        <v>232</v>
      </c>
      <c r="K1682" s="6">
        <v>0.44374999999999998</v>
      </c>
      <c r="L1682" t="s">
        <v>145</v>
      </c>
      <c r="M1682">
        <v>100000</v>
      </c>
      <c r="N1682" t="s">
        <v>217</v>
      </c>
      <c r="O1682" t="s">
        <v>152</v>
      </c>
      <c r="P1682">
        <v>58</v>
      </c>
      <c r="Q1682" t="s">
        <v>157</v>
      </c>
    </row>
    <row r="1683" spans="1:17" x14ac:dyDescent="0.2">
      <c r="A1683">
        <v>1115751</v>
      </c>
      <c r="B1683">
        <v>587</v>
      </c>
      <c r="C1683" s="1" t="s">
        <v>99</v>
      </c>
      <c r="D1683" s="11">
        <v>45083.991666666669</v>
      </c>
      <c r="E1683" t="s">
        <v>191</v>
      </c>
      <c r="F1683" t="s">
        <v>75</v>
      </c>
      <c r="G1683">
        <v>3833</v>
      </c>
      <c r="H1683" s="5" t="s">
        <v>99</v>
      </c>
      <c r="I1683" s="15">
        <v>45083</v>
      </c>
      <c r="J1683" s="15" t="s">
        <v>233</v>
      </c>
      <c r="K1683" s="6">
        <v>0.49166666666666664</v>
      </c>
      <c r="L1683" t="s">
        <v>143</v>
      </c>
      <c r="M1683">
        <v>50000</v>
      </c>
      <c r="N1683" t="s">
        <v>205</v>
      </c>
      <c r="O1683" t="s">
        <v>151</v>
      </c>
      <c r="P1683">
        <v>51</v>
      </c>
      <c r="Q1683" t="s">
        <v>155</v>
      </c>
    </row>
    <row r="1684" spans="1:17" x14ac:dyDescent="0.2">
      <c r="A1684">
        <v>1115759</v>
      </c>
      <c r="B1684">
        <v>378</v>
      </c>
      <c r="C1684" s="1" t="s">
        <v>110</v>
      </c>
      <c r="D1684" s="11">
        <v>44967.004166666666</v>
      </c>
      <c r="E1684" t="s">
        <v>98</v>
      </c>
      <c r="F1684" t="s">
        <v>19</v>
      </c>
      <c r="G1684">
        <v>6504</v>
      </c>
      <c r="H1684" s="5" t="s">
        <v>110</v>
      </c>
      <c r="I1684" s="15">
        <v>44967</v>
      </c>
      <c r="J1684" s="15" t="s">
        <v>232</v>
      </c>
      <c r="K1684" s="6">
        <v>0.50416666666666665</v>
      </c>
      <c r="L1684" t="s">
        <v>142</v>
      </c>
      <c r="M1684">
        <v>150000</v>
      </c>
      <c r="N1684" t="s">
        <v>211</v>
      </c>
      <c r="O1684" t="s">
        <v>151</v>
      </c>
      <c r="P1684">
        <v>69</v>
      </c>
      <c r="Q1684" t="s">
        <v>154</v>
      </c>
    </row>
    <row r="1685" spans="1:17" x14ac:dyDescent="0.2">
      <c r="A1685">
        <v>1118626</v>
      </c>
      <c r="B1685">
        <v>1552</v>
      </c>
      <c r="C1685" s="1" t="s">
        <v>107</v>
      </c>
      <c r="D1685" s="11">
        <v>45272.067361111112</v>
      </c>
      <c r="E1685" t="s">
        <v>98</v>
      </c>
      <c r="F1685" t="s">
        <v>20</v>
      </c>
      <c r="G1685">
        <v>1623</v>
      </c>
      <c r="H1685" s="5" t="s">
        <v>107</v>
      </c>
      <c r="I1685" s="15">
        <v>45272</v>
      </c>
      <c r="J1685" s="15" t="s">
        <v>295</v>
      </c>
      <c r="K1685" s="6">
        <v>6.7361111111111108E-2</v>
      </c>
      <c r="L1685" t="s">
        <v>146</v>
      </c>
      <c r="M1685">
        <v>150000</v>
      </c>
      <c r="N1685" t="s">
        <v>212</v>
      </c>
      <c r="O1685" t="s">
        <v>152</v>
      </c>
      <c r="P1685">
        <v>37</v>
      </c>
      <c r="Q1685" t="s">
        <v>157</v>
      </c>
    </row>
    <row r="1686" spans="1:17" x14ac:dyDescent="0.2">
      <c r="A1686">
        <v>1119156</v>
      </c>
      <c r="B1686">
        <v>837</v>
      </c>
      <c r="C1686" s="1" t="s">
        <v>101</v>
      </c>
      <c r="D1686" s="11">
        <v>45285.059027777781</v>
      </c>
      <c r="E1686" t="s">
        <v>97</v>
      </c>
      <c r="F1686" t="s">
        <v>21</v>
      </c>
      <c r="G1686">
        <v>2932</v>
      </c>
      <c r="H1686" s="5" t="s">
        <v>101</v>
      </c>
      <c r="I1686" s="15">
        <v>45285</v>
      </c>
      <c r="J1686" s="15" t="s">
        <v>295</v>
      </c>
      <c r="K1686" s="6">
        <v>5.9027777777777776E-2</v>
      </c>
      <c r="L1686" t="s">
        <v>142</v>
      </c>
      <c r="M1686">
        <v>150000</v>
      </c>
      <c r="N1686" t="s">
        <v>211</v>
      </c>
      <c r="O1686" t="s">
        <v>152</v>
      </c>
      <c r="P1686">
        <v>55</v>
      </c>
      <c r="Q1686" t="s">
        <v>155</v>
      </c>
    </row>
    <row r="1687" spans="1:17" x14ac:dyDescent="0.2">
      <c r="A1687">
        <v>1119400</v>
      </c>
      <c r="B1687">
        <v>1428</v>
      </c>
      <c r="C1687" s="1" t="s">
        <v>100</v>
      </c>
      <c r="D1687" s="11">
        <v>45084.963888888888</v>
      </c>
      <c r="E1687" t="s">
        <v>191</v>
      </c>
      <c r="F1687" t="s">
        <v>83</v>
      </c>
      <c r="G1687">
        <v>1558</v>
      </c>
      <c r="H1687" s="5" t="s">
        <v>100</v>
      </c>
      <c r="I1687" s="15">
        <v>45084</v>
      </c>
      <c r="J1687" s="15" t="s">
        <v>233</v>
      </c>
      <c r="K1687" s="6">
        <v>0.46388888888888891</v>
      </c>
      <c r="L1687" t="s">
        <v>143</v>
      </c>
      <c r="M1687">
        <v>200000</v>
      </c>
      <c r="N1687" t="s">
        <v>206</v>
      </c>
      <c r="O1687" t="s">
        <v>152</v>
      </c>
      <c r="P1687">
        <v>57</v>
      </c>
      <c r="Q1687" t="s">
        <v>156</v>
      </c>
    </row>
    <row r="1688" spans="1:17" x14ac:dyDescent="0.2">
      <c r="A1688">
        <v>1121011</v>
      </c>
      <c r="B1688">
        <v>1757</v>
      </c>
      <c r="C1688" s="1" t="s">
        <v>105</v>
      </c>
      <c r="D1688" s="11">
        <v>45202.043055555558</v>
      </c>
      <c r="E1688" t="s">
        <v>96</v>
      </c>
      <c r="F1688" t="s">
        <v>70</v>
      </c>
      <c r="G1688">
        <v>1675</v>
      </c>
      <c r="H1688" s="5" t="s">
        <v>105</v>
      </c>
      <c r="I1688" s="15">
        <v>45202</v>
      </c>
      <c r="J1688" s="15" t="s">
        <v>295</v>
      </c>
      <c r="K1688" s="6">
        <v>4.3055555555555555E-2</v>
      </c>
      <c r="L1688" t="s">
        <v>143</v>
      </c>
      <c r="M1688">
        <v>100000</v>
      </c>
      <c r="N1688" t="s">
        <v>205</v>
      </c>
      <c r="O1688" t="s">
        <v>151</v>
      </c>
      <c r="P1688">
        <v>20</v>
      </c>
      <c r="Q1688" t="s">
        <v>157</v>
      </c>
    </row>
    <row r="1689" spans="1:17" x14ac:dyDescent="0.2">
      <c r="A1689">
        <v>1122327</v>
      </c>
      <c r="B1689">
        <v>1295</v>
      </c>
      <c r="C1689" s="1" t="s">
        <v>102</v>
      </c>
      <c r="D1689" s="11">
        <v>45140.697222222225</v>
      </c>
      <c r="E1689" t="s">
        <v>97</v>
      </c>
      <c r="F1689" t="s">
        <v>23</v>
      </c>
      <c r="G1689">
        <v>6240</v>
      </c>
      <c r="H1689" s="5" t="s">
        <v>102</v>
      </c>
      <c r="I1689" s="15">
        <v>45140</v>
      </c>
      <c r="J1689" s="15" t="s">
        <v>234</v>
      </c>
      <c r="K1689" s="6">
        <v>0.19722222222222222</v>
      </c>
      <c r="L1689" t="s">
        <v>142</v>
      </c>
      <c r="M1689">
        <v>150000</v>
      </c>
      <c r="N1689" t="s">
        <v>213</v>
      </c>
      <c r="O1689" t="s">
        <v>152</v>
      </c>
      <c r="P1689">
        <v>86</v>
      </c>
      <c r="Q1689" t="s">
        <v>156</v>
      </c>
    </row>
    <row r="1690" spans="1:17" x14ac:dyDescent="0.2">
      <c r="A1690">
        <v>1123688</v>
      </c>
      <c r="B1690">
        <v>66</v>
      </c>
      <c r="C1690" s="1" t="s">
        <v>101</v>
      </c>
      <c r="D1690" s="11">
        <v>45041.046527777777</v>
      </c>
      <c r="E1690" t="s">
        <v>98</v>
      </c>
      <c r="F1690" t="s">
        <v>27</v>
      </c>
      <c r="G1690">
        <v>1398</v>
      </c>
      <c r="H1690" s="5" t="s">
        <v>101</v>
      </c>
      <c r="I1690" s="15">
        <v>45041</v>
      </c>
      <c r="J1690" s="15" t="s">
        <v>233</v>
      </c>
      <c r="K1690" s="6">
        <v>4.6527777777777779E-2</v>
      </c>
      <c r="L1690" t="s">
        <v>142</v>
      </c>
      <c r="M1690">
        <v>1000000</v>
      </c>
      <c r="N1690" t="s">
        <v>209</v>
      </c>
      <c r="O1690" t="s">
        <v>151</v>
      </c>
      <c r="P1690">
        <v>30</v>
      </c>
      <c r="Q1690" t="s">
        <v>154</v>
      </c>
    </row>
    <row r="1691" spans="1:17" x14ac:dyDescent="0.2">
      <c r="A1691">
        <v>1124146</v>
      </c>
      <c r="B1691">
        <v>1501</v>
      </c>
      <c r="C1691" s="1" t="s">
        <v>99</v>
      </c>
      <c r="D1691" s="11">
        <v>45037.01666666667</v>
      </c>
      <c r="E1691" t="s">
        <v>98</v>
      </c>
      <c r="F1691" t="s">
        <v>77</v>
      </c>
      <c r="G1691">
        <v>3329</v>
      </c>
      <c r="H1691" s="5" t="s">
        <v>99</v>
      </c>
      <c r="I1691" s="15">
        <v>45037</v>
      </c>
      <c r="J1691" s="15" t="s">
        <v>233</v>
      </c>
      <c r="K1691" s="6">
        <v>0.51666666666666672</v>
      </c>
      <c r="L1691" t="s">
        <v>146</v>
      </c>
      <c r="M1691">
        <v>100000</v>
      </c>
      <c r="N1691" t="s">
        <v>222</v>
      </c>
      <c r="O1691" t="s">
        <v>151</v>
      </c>
      <c r="P1691">
        <v>51</v>
      </c>
      <c r="Q1691" t="s">
        <v>157</v>
      </c>
    </row>
    <row r="1692" spans="1:17" x14ac:dyDescent="0.2">
      <c r="A1692">
        <v>1125245</v>
      </c>
      <c r="B1692">
        <v>1611</v>
      </c>
      <c r="C1692" s="1" t="s">
        <v>100</v>
      </c>
      <c r="D1692" s="11">
        <v>45074.996527777781</v>
      </c>
      <c r="E1692" t="s">
        <v>97</v>
      </c>
      <c r="F1692" t="s">
        <v>18</v>
      </c>
      <c r="G1692">
        <v>4618</v>
      </c>
      <c r="H1692" s="5" t="s">
        <v>100</v>
      </c>
      <c r="I1692" s="15">
        <v>45074</v>
      </c>
      <c r="J1692" s="15" t="s">
        <v>233</v>
      </c>
      <c r="K1692" s="6">
        <v>0.49652777777777779</v>
      </c>
      <c r="L1692" t="s">
        <v>145</v>
      </c>
      <c r="M1692">
        <v>200000</v>
      </c>
      <c r="N1692" t="s">
        <v>210</v>
      </c>
      <c r="O1692" t="s">
        <v>151</v>
      </c>
      <c r="P1692">
        <v>37</v>
      </c>
      <c r="Q1692" t="s">
        <v>157</v>
      </c>
    </row>
    <row r="1693" spans="1:17" x14ac:dyDescent="0.2">
      <c r="A1693">
        <v>1125247</v>
      </c>
      <c r="B1693">
        <v>1574</v>
      </c>
      <c r="C1693" s="1" t="s">
        <v>104</v>
      </c>
      <c r="D1693" s="11">
        <v>45128.005555555559</v>
      </c>
      <c r="E1693" t="s">
        <v>96</v>
      </c>
      <c r="F1693" t="s">
        <v>43</v>
      </c>
      <c r="G1693">
        <v>905</v>
      </c>
      <c r="H1693" s="5" t="s">
        <v>104</v>
      </c>
      <c r="I1693" s="15">
        <v>45128</v>
      </c>
      <c r="J1693" s="15" t="s">
        <v>234</v>
      </c>
      <c r="K1693" s="6">
        <v>0.50555555555555554</v>
      </c>
      <c r="L1693" t="s">
        <v>145</v>
      </c>
      <c r="M1693">
        <v>1000000</v>
      </c>
      <c r="N1693" t="s">
        <v>203</v>
      </c>
      <c r="O1693" t="s">
        <v>152</v>
      </c>
      <c r="P1693">
        <v>36</v>
      </c>
      <c r="Q1693" t="s">
        <v>157</v>
      </c>
    </row>
    <row r="1694" spans="1:17" x14ac:dyDescent="0.2">
      <c r="A1694">
        <v>1125352</v>
      </c>
      <c r="B1694">
        <v>1633</v>
      </c>
      <c r="C1694" s="1" t="s">
        <v>101</v>
      </c>
      <c r="D1694" s="11">
        <v>45043.064583333333</v>
      </c>
      <c r="E1694" t="s">
        <v>97</v>
      </c>
      <c r="F1694" t="s">
        <v>26</v>
      </c>
      <c r="G1694">
        <v>4193</v>
      </c>
      <c r="H1694" s="5" t="s">
        <v>101</v>
      </c>
      <c r="I1694" s="15">
        <v>45043</v>
      </c>
      <c r="J1694" s="15" t="s">
        <v>233</v>
      </c>
      <c r="K1694" s="6">
        <v>6.458333333333334E-2</v>
      </c>
      <c r="L1694" t="s">
        <v>145</v>
      </c>
      <c r="M1694">
        <v>100000</v>
      </c>
      <c r="N1694" t="s">
        <v>210</v>
      </c>
      <c r="O1694" t="s">
        <v>151</v>
      </c>
      <c r="P1694">
        <v>64</v>
      </c>
      <c r="Q1694" t="s">
        <v>157</v>
      </c>
    </row>
    <row r="1695" spans="1:17" x14ac:dyDescent="0.2">
      <c r="A1695">
        <v>1127154</v>
      </c>
      <c r="B1695">
        <v>87</v>
      </c>
      <c r="C1695" s="1" t="s">
        <v>113</v>
      </c>
      <c r="D1695" s="11">
        <v>45086.00277777778</v>
      </c>
      <c r="E1695" t="s">
        <v>96</v>
      </c>
      <c r="F1695" t="s">
        <v>81</v>
      </c>
      <c r="G1695">
        <v>9219</v>
      </c>
      <c r="H1695" s="5" t="s">
        <v>113</v>
      </c>
      <c r="I1695" s="15">
        <v>45086</v>
      </c>
      <c r="J1695" s="15" t="s">
        <v>233</v>
      </c>
      <c r="K1695" s="6">
        <v>0.50277777777777777</v>
      </c>
      <c r="L1695" t="s">
        <v>143</v>
      </c>
      <c r="M1695">
        <v>250000</v>
      </c>
      <c r="N1695" t="s">
        <v>221</v>
      </c>
      <c r="O1695" t="s">
        <v>151</v>
      </c>
      <c r="P1695">
        <v>62</v>
      </c>
      <c r="Q1695" t="s">
        <v>154</v>
      </c>
    </row>
    <row r="1696" spans="1:17" x14ac:dyDescent="0.2">
      <c r="A1696">
        <v>1127303</v>
      </c>
      <c r="B1696">
        <v>1778</v>
      </c>
      <c r="C1696" s="1" t="s">
        <v>99</v>
      </c>
      <c r="D1696" s="11">
        <v>44971.040277777778</v>
      </c>
      <c r="E1696" t="s">
        <v>96</v>
      </c>
      <c r="F1696" t="s">
        <v>88</v>
      </c>
      <c r="G1696">
        <v>866</v>
      </c>
      <c r="H1696" s="5" t="s">
        <v>99</v>
      </c>
      <c r="I1696" s="15">
        <v>44971</v>
      </c>
      <c r="J1696" s="15" t="s">
        <v>232</v>
      </c>
      <c r="K1696" s="6">
        <v>0.54027777777777775</v>
      </c>
      <c r="L1696" t="s">
        <v>144</v>
      </c>
      <c r="M1696">
        <v>100000</v>
      </c>
      <c r="N1696" t="s">
        <v>200</v>
      </c>
      <c r="O1696" t="s">
        <v>151</v>
      </c>
      <c r="P1696">
        <v>20</v>
      </c>
      <c r="Q1696" t="s">
        <v>157</v>
      </c>
    </row>
    <row r="1697" spans="1:17" x14ac:dyDescent="0.2">
      <c r="A1697">
        <v>1127861</v>
      </c>
      <c r="B1697">
        <v>1385</v>
      </c>
      <c r="C1697" s="1" t="s">
        <v>99</v>
      </c>
      <c r="D1697" s="11">
        <v>45127.052083333336</v>
      </c>
      <c r="E1697" t="s">
        <v>97</v>
      </c>
      <c r="F1697" t="s">
        <v>46</v>
      </c>
      <c r="G1697">
        <v>8302</v>
      </c>
      <c r="H1697" s="5" t="s">
        <v>99</v>
      </c>
      <c r="I1697" s="15">
        <v>45127</v>
      </c>
      <c r="J1697" s="15" t="s">
        <v>234</v>
      </c>
      <c r="K1697" s="6">
        <v>5.2083333333333336E-2</v>
      </c>
      <c r="L1697" t="s">
        <v>142</v>
      </c>
      <c r="M1697">
        <v>200000</v>
      </c>
      <c r="N1697" t="s">
        <v>211</v>
      </c>
      <c r="O1697" t="s">
        <v>151</v>
      </c>
      <c r="P1697">
        <v>32</v>
      </c>
      <c r="Q1697" t="s">
        <v>156</v>
      </c>
    </row>
    <row r="1698" spans="1:17" x14ac:dyDescent="0.2">
      <c r="A1698">
        <v>1127964</v>
      </c>
      <c r="B1698">
        <v>934</v>
      </c>
      <c r="C1698" s="1" t="s">
        <v>99</v>
      </c>
      <c r="D1698" s="11">
        <v>45235.015972222223</v>
      </c>
      <c r="E1698" t="s">
        <v>97</v>
      </c>
      <c r="F1698" t="s">
        <v>82</v>
      </c>
      <c r="G1698">
        <v>927</v>
      </c>
      <c r="H1698" s="5" t="s">
        <v>99</v>
      </c>
      <c r="I1698" s="15">
        <v>45235</v>
      </c>
      <c r="J1698" s="15" t="s">
        <v>295</v>
      </c>
      <c r="K1698" s="6">
        <v>0.51597222222222228</v>
      </c>
      <c r="L1698" t="s">
        <v>142</v>
      </c>
      <c r="M1698">
        <v>100000</v>
      </c>
      <c r="N1698" t="s">
        <v>209</v>
      </c>
      <c r="O1698" t="s">
        <v>151</v>
      </c>
      <c r="P1698">
        <v>70</v>
      </c>
      <c r="Q1698" t="s">
        <v>155</v>
      </c>
    </row>
    <row r="1699" spans="1:17" x14ac:dyDescent="0.2">
      <c r="A1699">
        <v>1129422</v>
      </c>
      <c r="B1699">
        <v>327</v>
      </c>
      <c r="C1699" s="1" t="s">
        <v>113</v>
      </c>
      <c r="D1699" s="11">
        <v>45220.05972222222</v>
      </c>
      <c r="E1699" t="s">
        <v>98</v>
      </c>
      <c r="F1699" t="s">
        <v>17</v>
      </c>
      <c r="G1699">
        <v>1595</v>
      </c>
      <c r="H1699" s="5" t="s">
        <v>113</v>
      </c>
      <c r="I1699" s="15">
        <v>45220</v>
      </c>
      <c r="J1699" s="15" t="s">
        <v>295</v>
      </c>
      <c r="K1699" s="6">
        <v>5.9722222222222225E-2</v>
      </c>
      <c r="L1699" t="s">
        <v>142</v>
      </c>
      <c r="M1699">
        <v>100000</v>
      </c>
      <c r="N1699" t="s">
        <v>209</v>
      </c>
      <c r="O1699" t="s">
        <v>152</v>
      </c>
      <c r="P1699">
        <v>32</v>
      </c>
      <c r="Q1699" t="s">
        <v>154</v>
      </c>
    </row>
    <row r="1700" spans="1:17" x14ac:dyDescent="0.2">
      <c r="A1700">
        <v>1129509</v>
      </c>
      <c r="B1700">
        <v>1097</v>
      </c>
      <c r="C1700" s="1" t="s">
        <v>113</v>
      </c>
      <c r="D1700" s="11">
        <v>45081.052777777775</v>
      </c>
      <c r="E1700" t="s">
        <v>98</v>
      </c>
      <c r="F1700" t="s">
        <v>43</v>
      </c>
      <c r="G1700">
        <v>7051</v>
      </c>
      <c r="H1700" s="5" t="s">
        <v>113</v>
      </c>
      <c r="I1700" s="15">
        <v>45081</v>
      </c>
      <c r="J1700" s="15" t="s">
        <v>233</v>
      </c>
      <c r="K1700" s="6">
        <v>5.2777777777777778E-2</v>
      </c>
      <c r="L1700" t="s">
        <v>145</v>
      </c>
      <c r="M1700">
        <v>1000000</v>
      </c>
      <c r="N1700" t="s">
        <v>203</v>
      </c>
      <c r="O1700" t="s">
        <v>152</v>
      </c>
      <c r="P1700">
        <v>81</v>
      </c>
      <c r="Q1700" t="s">
        <v>156</v>
      </c>
    </row>
    <row r="1701" spans="1:17" x14ac:dyDescent="0.2">
      <c r="A1701">
        <v>1129725</v>
      </c>
      <c r="B1701">
        <v>1250</v>
      </c>
      <c r="C1701" s="1" t="s">
        <v>99</v>
      </c>
      <c r="D1701" s="11">
        <v>45239.005555555559</v>
      </c>
      <c r="E1701" t="s">
        <v>191</v>
      </c>
      <c r="F1701" t="s">
        <v>44</v>
      </c>
      <c r="G1701">
        <v>9660</v>
      </c>
      <c r="H1701" s="5" t="s">
        <v>99</v>
      </c>
      <c r="I1701" s="15">
        <v>45239</v>
      </c>
      <c r="J1701" s="15" t="s">
        <v>295</v>
      </c>
      <c r="K1701" s="6">
        <v>0.50555555555555554</v>
      </c>
      <c r="L1701" t="s">
        <v>144</v>
      </c>
      <c r="M1701">
        <v>150000</v>
      </c>
      <c r="N1701" t="s">
        <v>199</v>
      </c>
      <c r="O1701" t="s">
        <v>151</v>
      </c>
      <c r="P1701">
        <v>57</v>
      </c>
      <c r="Q1701" t="s">
        <v>156</v>
      </c>
    </row>
    <row r="1702" spans="1:17" x14ac:dyDescent="0.2">
      <c r="A1702">
        <v>1130025</v>
      </c>
      <c r="B1702">
        <v>5</v>
      </c>
      <c r="C1702" s="1" t="s">
        <v>108</v>
      </c>
      <c r="D1702" s="11">
        <v>45086.959722222222</v>
      </c>
      <c r="E1702" t="s">
        <v>96</v>
      </c>
      <c r="F1702" t="s">
        <v>78</v>
      </c>
      <c r="G1702">
        <v>5739</v>
      </c>
      <c r="H1702" s="5" t="s">
        <v>108</v>
      </c>
      <c r="I1702" s="15">
        <v>45086</v>
      </c>
      <c r="J1702" s="15" t="s">
        <v>233</v>
      </c>
      <c r="K1702" s="6">
        <v>0.4597222222222222</v>
      </c>
      <c r="L1702" t="s">
        <v>143</v>
      </c>
      <c r="M1702">
        <v>200000</v>
      </c>
      <c r="N1702" t="s">
        <v>215</v>
      </c>
      <c r="O1702" t="s">
        <v>151</v>
      </c>
      <c r="P1702">
        <v>81</v>
      </c>
      <c r="Q1702" t="s">
        <v>154</v>
      </c>
    </row>
    <row r="1703" spans="1:17" x14ac:dyDescent="0.2">
      <c r="A1703">
        <v>1130287</v>
      </c>
      <c r="B1703">
        <v>362</v>
      </c>
      <c r="C1703" s="1" t="s">
        <v>113</v>
      </c>
      <c r="D1703" s="11">
        <v>45168.036805555559</v>
      </c>
      <c r="E1703" t="s">
        <v>98</v>
      </c>
      <c r="F1703" t="s">
        <v>27</v>
      </c>
      <c r="G1703">
        <v>7662</v>
      </c>
      <c r="H1703" s="5" t="s">
        <v>113</v>
      </c>
      <c r="I1703" s="15">
        <v>45168</v>
      </c>
      <c r="J1703" s="15" t="s">
        <v>234</v>
      </c>
      <c r="K1703" s="6">
        <v>0.53680555555555554</v>
      </c>
      <c r="L1703" t="s">
        <v>142</v>
      </c>
      <c r="M1703">
        <v>1000000</v>
      </c>
      <c r="N1703" t="s">
        <v>209</v>
      </c>
      <c r="O1703" t="s">
        <v>151</v>
      </c>
      <c r="P1703">
        <v>68</v>
      </c>
      <c r="Q1703" t="s">
        <v>154</v>
      </c>
    </row>
    <row r="1704" spans="1:17" x14ac:dyDescent="0.2">
      <c r="A1704">
        <v>1130380</v>
      </c>
      <c r="B1704">
        <v>745</v>
      </c>
      <c r="C1704" s="1" t="s">
        <v>101</v>
      </c>
      <c r="D1704" s="11">
        <v>45250.954861111109</v>
      </c>
      <c r="E1704" t="s">
        <v>98</v>
      </c>
      <c r="F1704" t="s">
        <v>34</v>
      </c>
      <c r="G1704">
        <v>7425</v>
      </c>
      <c r="H1704" s="5" t="s">
        <v>101</v>
      </c>
      <c r="I1704" s="15">
        <v>45250</v>
      </c>
      <c r="J1704" s="15" t="s">
        <v>295</v>
      </c>
      <c r="K1704" s="6">
        <v>0.4548611111111111</v>
      </c>
      <c r="L1704" t="s">
        <v>144</v>
      </c>
      <c r="M1704">
        <v>150000</v>
      </c>
      <c r="N1704" t="s">
        <v>218</v>
      </c>
      <c r="O1704" t="s">
        <v>151</v>
      </c>
      <c r="P1704">
        <v>27</v>
      </c>
      <c r="Q1704" t="s">
        <v>155</v>
      </c>
    </row>
    <row r="1705" spans="1:17" x14ac:dyDescent="0.2">
      <c r="A1705">
        <v>1131650</v>
      </c>
      <c r="B1705">
        <v>1676</v>
      </c>
      <c r="C1705" s="1" t="s">
        <v>104</v>
      </c>
      <c r="D1705" s="11">
        <v>44944.963888888888</v>
      </c>
      <c r="E1705" t="s">
        <v>191</v>
      </c>
      <c r="F1705" t="s">
        <v>87</v>
      </c>
      <c r="G1705">
        <v>3121</v>
      </c>
      <c r="H1705" s="5" t="s">
        <v>104</v>
      </c>
      <c r="I1705" s="15">
        <v>44944</v>
      </c>
      <c r="J1705" s="15" t="s">
        <v>232</v>
      </c>
      <c r="K1705" s="6">
        <v>0.46388888888888891</v>
      </c>
      <c r="L1705" t="s">
        <v>144</v>
      </c>
      <c r="M1705">
        <v>100000</v>
      </c>
      <c r="N1705" t="s">
        <v>216</v>
      </c>
      <c r="O1705" t="s">
        <v>151</v>
      </c>
      <c r="P1705">
        <v>25</v>
      </c>
      <c r="Q1705" t="s">
        <v>157</v>
      </c>
    </row>
    <row r="1706" spans="1:17" x14ac:dyDescent="0.2">
      <c r="A1706">
        <v>1132855</v>
      </c>
      <c r="B1706">
        <v>16</v>
      </c>
      <c r="C1706" s="1" t="s">
        <v>103</v>
      </c>
      <c r="D1706" s="11">
        <v>45097.083333333336</v>
      </c>
      <c r="E1706" t="s">
        <v>97</v>
      </c>
      <c r="F1706" t="s">
        <v>78</v>
      </c>
      <c r="G1706">
        <v>4518</v>
      </c>
      <c r="H1706" s="5" t="s">
        <v>103</v>
      </c>
      <c r="I1706" s="15">
        <v>45097</v>
      </c>
      <c r="J1706" s="15" t="s">
        <v>233</v>
      </c>
      <c r="K1706" s="6">
        <v>8.3333333333333329E-2</v>
      </c>
      <c r="L1706" t="s">
        <v>143</v>
      </c>
      <c r="M1706">
        <v>200000</v>
      </c>
      <c r="N1706" t="s">
        <v>215</v>
      </c>
      <c r="O1706" t="s">
        <v>152</v>
      </c>
      <c r="P1706">
        <v>81</v>
      </c>
      <c r="Q1706" t="s">
        <v>154</v>
      </c>
    </row>
    <row r="1707" spans="1:17" x14ac:dyDescent="0.2">
      <c r="A1707">
        <v>1133062</v>
      </c>
      <c r="B1707">
        <v>226</v>
      </c>
      <c r="C1707" s="1" t="s">
        <v>99</v>
      </c>
      <c r="D1707" s="11">
        <v>45200.958333333336</v>
      </c>
      <c r="E1707" t="s">
        <v>98</v>
      </c>
      <c r="F1707" t="s">
        <v>27</v>
      </c>
      <c r="G1707">
        <v>3501</v>
      </c>
      <c r="H1707" s="5" t="s">
        <v>99</v>
      </c>
      <c r="I1707" s="15">
        <v>45200</v>
      </c>
      <c r="J1707" s="15" t="s">
        <v>295</v>
      </c>
      <c r="K1707" s="6">
        <v>0.45833333333333331</v>
      </c>
      <c r="L1707" t="s">
        <v>142</v>
      </c>
      <c r="M1707">
        <v>1000000</v>
      </c>
      <c r="N1707" t="s">
        <v>209</v>
      </c>
      <c r="O1707" t="s">
        <v>151</v>
      </c>
      <c r="P1707">
        <v>31</v>
      </c>
      <c r="Q1707" t="s">
        <v>154</v>
      </c>
    </row>
    <row r="1708" spans="1:17" x14ac:dyDescent="0.2">
      <c r="A1708">
        <v>1133882</v>
      </c>
      <c r="B1708">
        <v>291</v>
      </c>
      <c r="C1708" s="1" t="s">
        <v>113</v>
      </c>
      <c r="D1708" s="11">
        <v>45145.996527777781</v>
      </c>
      <c r="E1708" t="s">
        <v>98</v>
      </c>
      <c r="F1708" t="s">
        <v>69</v>
      </c>
      <c r="G1708">
        <v>3789</v>
      </c>
      <c r="H1708" s="5" t="s">
        <v>113</v>
      </c>
      <c r="I1708" s="15">
        <v>45145</v>
      </c>
      <c r="J1708" s="15" t="s">
        <v>234</v>
      </c>
      <c r="K1708" s="6">
        <v>0.49652777777777779</v>
      </c>
      <c r="L1708" t="s">
        <v>146</v>
      </c>
      <c r="M1708">
        <v>250000</v>
      </c>
      <c r="N1708" t="s">
        <v>225</v>
      </c>
      <c r="O1708" t="s">
        <v>152</v>
      </c>
      <c r="P1708">
        <v>44</v>
      </c>
      <c r="Q1708" t="s">
        <v>154</v>
      </c>
    </row>
    <row r="1709" spans="1:17" x14ac:dyDescent="0.2">
      <c r="A1709">
        <v>1134072</v>
      </c>
      <c r="B1709">
        <v>662</v>
      </c>
      <c r="C1709" s="1" t="s">
        <v>99</v>
      </c>
      <c r="D1709" s="11">
        <v>45266.03402777778</v>
      </c>
      <c r="E1709" t="s">
        <v>97</v>
      </c>
      <c r="F1709" t="s">
        <v>26</v>
      </c>
      <c r="G1709">
        <v>3885</v>
      </c>
      <c r="H1709" s="5" t="s">
        <v>99</v>
      </c>
      <c r="I1709" s="15">
        <v>45266</v>
      </c>
      <c r="J1709" s="15" t="s">
        <v>295</v>
      </c>
      <c r="K1709" s="6">
        <v>0.53402777777777777</v>
      </c>
      <c r="L1709" t="s">
        <v>145</v>
      </c>
      <c r="M1709">
        <v>100000</v>
      </c>
      <c r="N1709" t="s">
        <v>210</v>
      </c>
      <c r="O1709" t="s">
        <v>152</v>
      </c>
      <c r="P1709">
        <v>23</v>
      </c>
      <c r="Q1709" t="s">
        <v>155</v>
      </c>
    </row>
    <row r="1710" spans="1:17" x14ac:dyDescent="0.2">
      <c r="A1710">
        <v>1134801</v>
      </c>
      <c r="B1710">
        <v>430</v>
      </c>
      <c r="C1710" s="1" t="s">
        <v>113</v>
      </c>
      <c r="D1710" s="11">
        <v>44997.978472222225</v>
      </c>
      <c r="E1710" t="s">
        <v>98</v>
      </c>
      <c r="F1710" t="s">
        <v>27</v>
      </c>
      <c r="G1710">
        <v>3505</v>
      </c>
      <c r="H1710" s="5" t="s">
        <v>113</v>
      </c>
      <c r="I1710" s="15">
        <v>44997</v>
      </c>
      <c r="J1710" s="15" t="s">
        <v>232</v>
      </c>
      <c r="K1710" s="6">
        <v>0.47847222222222224</v>
      </c>
      <c r="L1710" t="s">
        <v>142</v>
      </c>
      <c r="M1710">
        <v>1000000</v>
      </c>
      <c r="N1710" t="s">
        <v>209</v>
      </c>
      <c r="O1710" t="s">
        <v>151</v>
      </c>
      <c r="P1710">
        <v>82</v>
      </c>
      <c r="Q1710" t="s">
        <v>154</v>
      </c>
    </row>
    <row r="1711" spans="1:17" x14ac:dyDescent="0.2">
      <c r="A1711">
        <v>1135081</v>
      </c>
      <c r="B1711">
        <v>48</v>
      </c>
      <c r="C1711" s="1" t="s">
        <v>99</v>
      </c>
      <c r="D1711" s="11">
        <v>44937.002083333333</v>
      </c>
      <c r="E1711" t="s">
        <v>191</v>
      </c>
      <c r="F1711" t="s">
        <v>25</v>
      </c>
      <c r="G1711">
        <v>7107</v>
      </c>
      <c r="H1711" s="5" t="s">
        <v>99</v>
      </c>
      <c r="I1711" s="15">
        <v>44937</v>
      </c>
      <c r="J1711" s="15" t="s">
        <v>232</v>
      </c>
      <c r="K1711" s="6">
        <v>0.50208333333333333</v>
      </c>
      <c r="L1711" t="s">
        <v>142</v>
      </c>
      <c r="M1711">
        <v>100000</v>
      </c>
      <c r="N1711" t="s">
        <v>201</v>
      </c>
      <c r="O1711" t="s">
        <v>152</v>
      </c>
      <c r="P1711">
        <v>66</v>
      </c>
      <c r="Q1711" t="s">
        <v>154</v>
      </c>
    </row>
    <row r="1712" spans="1:17" x14ac:dyDescent="0.2">
      <c r="A1712">
        <v>1136468</v>
      </c>
      <c r="B1712">
        <v>1179</v>
      </c>
      <c r="C1712" s="1" t="s">
        <v>105</v>
      </c>
      <c r="D1712" s="11">
        <v>45236.046527777777</v>
      </c>
      <c r="E1712" t="s">
        <v>96</v>
      </c>
      <c r="F1712" t="s">
        <v>81</v>
      </c>
      <c r="G1712">
        <v>8751</v>
      </c>
      <c r="H1712" s="5" t="s">
        <v>105</v>
      </c>
      <c r="I1712" s="15">
        <v>45236</v>
      </c>
      <c r="J1712" s="15" t="s">
        <v>295</v>
      </c>
      <c r="K1712" s="6">
        <v>4.6527777777777779E-2</v>
      </c>
      <c r="L1712" t="s">
        <v>143</v>
      </c>
      <c r="M1712">
        <v>250000</v>
      </c>
      <c r="N1712" t="s">
        <v>221</v>
      </c>
      <c r="O1712" t="s">
        <v>152</v>
      </c>
      <c r="P1712">
        <v>49</v>
      </c>
      <c r="Q1712" t="s">
        <v>156</v>
      </c>
    </row>
    <row r="1713" spans="1:17" x14ac:dyDescent="0.2">
      <c r="A1713">
        <v>1137562</v>
      </c>
      <c r="B1713">
        <v>1456</v>
      </c>
      <c r="C1713" s="1" t="s">
        <v>105</v>
      </c>
      <c r="D1713" s="11">
        <v>45227.006249999999</v>
      </c>
      <c r="E1713" t="s">
        <v>97</v>
      </c>
      <c r="F1713" t="s">
        <v>88</v>
      </c>
      <c r="G1713">
        <v>9253</v>
      </c>
      <c r="H1713" s="5" t="s">
        <v>105</v>
      </c>
      <c r="I1713" s="15">
        <v>45227</v>
      </c>
      <c r="J1713" s="15" t="s">
        <v>295</v>
      </c>
      <c r="K1713" s="6">
        <v>0.50624999999999998</v>
      </c>
      <c r="L1713" t="s">
        <v>144</v>
      </c>
      <c r="M1713">
        <v>100000</v>
      </c>
      <c r="N1713" t="s">
        <v>200</v>
      </c>
      <c r="O1713" t="s">
        <v>152</v>
      </c>
      <c r="P1713">
        <v>35</v>
      </c>
      <c r="Q1713" t="s">
        <v>156</v>
      </c>
    </row>
    <row r="1714" spans="1:17" x14ac:dyDescent="0.2">
      <c r="A1714">
        <v>1137891</v>
      </c>
      <c r="B1714">
        <v>1447</v>
      </c>
      <c r="C1714" s="1" t="s">
        <v>106</v>
      </c>
      <c r="D1714" s="11">
        <v>45279.95416666667</v>
      </c>
      <c r="E1714" t="s">
        <v>191</v>
      </c>
      <c r="F1714" t="s">
        <v>43</v>
      </c>
      <c r="G1714">
        <v>1289</v>
      </c>
      <c r="H1714" s="5" t="s">
        <v>106</v>
      </c>
      <c r="I1714" s="15">
        <v>45279</v>
      </c>
      <c r="J1714" s="15" t="s">
        <v>295</v>
      </c>
      <c r="K1714" s="6">
        <v>0.45416666666666666</v>
      </c>
      <c r="L1714" t="s">
        <v>145</v>
      </c>
      <c r="M1714">
        <v>1000000</v>
      </c>
      <c r="N1714" t="s">
        <v>203</v>
      </c>
      <c r="O1714" t="s">
        <v>152</v>
      </c>
      <c r="P1714">
        <v>20</v>
      </c>
      <c r="Q1714" t="s">
        <v>156</v>
      </c>
    </row>
    <row r="1715" spans="1:17" x14ac:dyDescent="0.2">
      <c r="A1715">
        <v>1138694</v>
      </c>
      <c r="B1715">
        <v>1525</v>
      </c>
      <c r="C1715" s="1" t="s">
        <v>107</v>
      </c>
      <c r="D1715" s="11">
        <v>44986.061111111114</v>
      </c>
      <c r="E1715" t="s">
        <v>98</v>
      </c>
      <c r="F1715" t="s">
        <v>27</v>
      </c>
      <c r="G1715">
        <v>1217</v>
      </c>
      <c r="H1715" s="5" t="s">
        <v>107</v>
      </c>
      <c r="I1715" s="15">
        <v>44986</v>
      </c>
      <c r="J1715" s="15" t="s">
        <v>232</v>
      </c>
      <c r="K1715" s="6">
        <v>6.1111111111111109E-2</v>
      </c>
      <c r="L1715" t="s">
        <v>142</v>
      </c>
      <c r="M1715">
        <v>1000000</v>
      </c>
      <c r="N1715" t="s">
        <v>209</v>
      </c>
      <c r="O1715" t="s">
        <v>152</v>
      </c>
      <c r="P1715">
        <v>87</v>
      </c>
      <c r="Q1715" t="s">
        <v>157</v>
      </c>
    </row>
    <row r="1716" spans="1:17" x14ac:dyDescent="0.2">
      <c r="A1716">
        <v>1139025</v>
      </c>
      <c r="B1716">
        <v>1855</v>
      </c>
      <c r="C1716" s="1" t="s">
        <v>108</v>
      </c>
      <c r="D1716" s="11">
        <v>45148.002083333333</v>
      </c>
      <c r="E1716" t="s">
        <v>96</v>
      </c>
      <c r="F1716" t="s">
        <v>65</v>
      </c>
      <c r="G1716">
        <v>8569</v>
      </c>
      <c r="H1716" s="5" t="s">
        <v>108</v>
      </c>
      <c r="I1716" s="15">
        <v>45148</v>
      </c>
      <c r="J1716" s="15" t="s">
        <v>234</v>
      </c>
      <c r="K1716" s="6">
        <v>0.50208333333333333</v>
      </c>
      <c r="L1716" t="s">
        <v>146</v>
      </c>
      <c r="M1716">
        <v>200000</v>
      </c>
      <c r="N1716" t="s">
        <v>225</v>
      </c>
      <c r="O1716" t="s">
        <v>152</v>
      </c>
      <c r="P1716">
        <v>44</v>
      </c>
      <c r="Q1716" t="s">
        <v>157</v>
      </c>
    </row>
    <row r="1717" spans="1:17" x14ac:dyDescent="0.2">
      <c r="A1717">
        <v>1140100</v>
      </c>
      <c r="B1717">
        <v>759</v>
      </c>
      <c r="C1717" s="1" t="s">
        <v>99</v>
      </c>
      <c r="D1717" s="11">
        <v>45084.044444444444</v>
      </c>
      <c r="E1717" t="s">
        <v>98</v>
      </c>
      <c r="F1717" t="s">
        <v>24</v>
      </c>
      <c r="G1717">
        <v>6772</v>
      </c>
      <c r="H1717" s="5" t="s">
        <v>99</v>
      </c>
      <c r="I1717" s="15">
        <v>45084</v>
      </c>
      <c r="J1717" s="15" t="s">
        <v>233</v>
      </c>
      <c r="K1717" s="6">
        <v>4.4444444444444446E-2</v>
      </c>
      <c r="L1717" t="s">
        <v>143</v>
      </c>
      <c r="M1717">
        <v>200000</v>
      </c>
      <c r="N1717" t="s">
        <v>214</v>
      </c>
      <c r="O1717" t="s">
        <v>151</v>
      </c>
      <c r="P1717">
        <v>19</v>
      </c>
      <c r="Q1717" t="s">
        <v>155</v>
      </c>
    </row>
    <row r="1718" spans="1:17" x14ac:dyDescent="0.2">
      <c r="A1718">
        <v>1140822</v>
      </c>
      <c r="B1718">
        <v>741</v>
      </c>
      <c r="C1718" s="1" t="s">
        <v>99</v>
      </c>
      <c r="D1718" s="11">
        <v>45241.020138888889</v>
      </c>
      <c r="E1718" t="s">
        <v>97</v>
      </c>
      <c r="F1718" t="s">
        <v>27</v>
      </c>
      <c r="G1718">
        <v>2833</v>
      </c>
      <c r="H1718" s="5" t="s">
        <v>99</v>
      </c>
      <c r="I1718" s="15">
        <v>45241</v>
      </c>
      <c r="J1718" s="15" t="s">
        <v>295</v>
      </c>
      <c r="K1718" s="6">
        <v>0.52013888888888893</v>
      </c>
      <c r="L1718" t="s">
        <v>142</v>
      </c>
      <c r="M1718">
        <v>1000000</v>
      </c>
      <c r="N1718" t="s">
        <v>209</v>
      </c>
      <c r="O1718" t="s">
        <v>152</v>
      </c>
      <c r="P1718">
        <v>25</v>
      </c>
      <c r="Q1718" t="s">
        <v>155</v>
      </c>
    </row>
    <row r="1719" spans="1:17" x14ac:dyDescent="0.2">
      <c r="A1719">
        <v>1141931</v>
      </c>
      <c r="B1719">
        <v>1018</v>
      </c>
      <c r="C1719" s="1" t="s">
        <v>100</v>
      </c>
      <c r="D1719" s="11">
        <v>45109.950694444444</v>
      </c>
      <c r="E1719" t="s">
        <v>98</v>
      </c>
      <c r="F1719" t="s">
        <v>66</v>
      </c>
      <c r="G1719">
        <v>9219</v>
      </c>
      <c r="H1719" s="5" t="s">
        <v>100</v>
      </c>
      <c r="I1719" s="15">
        <v>45109</v>
      </c>
      <c r="J1719" s="15" t="s">
        <v>234</v>
      </c>
      <c r="K1719" s="6">
        <v>0.45069444444444445</v>
      </c>
      <c r="L1719" t="s">
        <v>144</v>
      </c>
      <c r="M1719">
        <v>150000</v>
      </c>
      <c r="N1719" t="s">
        <v>224</v>
      </c>
      <c r="O1719" t="s">
        <v>152</v>
      </c>
      <c r="P1719">
        <v>52</v>
      </c>
      <c r="Q1719" t="s">
        <v>156</v>
      </c>
    </row>
    <row r="1720" spans="1:17" x14ac:dyDescent="0.2">
      <c r="A1720">
        <v>1143333</v>
      </c>
      <c r="B1720">
        <v>1998</v>
      </c>
      <c r="C1720" s="1" t="s">
        <v>101</v>
      </c>
      <c r="D1720" s="11">
        <v>45081.993750000001</v>
      </c>
      <c r="E1720" t="s">
        <v>97</v>
      </c>
      <c r="F1720" t="s">
        <v>78</v>
      </c>
      <c r="G1720">
        <v>9565</v>
      </c>
      <c r="H1720" s="5" t="s">
        <v>101</v>
      </c>
      <c r="I1720" s="15">
        <v>45081</v>
      </c>
      <c r="J1720" s="15" t="s">
        <v>233</v>
      </c>
      <c r="K1720" s="6">
        <v>0.49375000000000002</v>
      </c>
      <c r="L1720" t="s">
        <v>143</v>
      </c>
      <c r="M1720">
        <v>200000</v>
      </c>
      <c r="N1720" t="s">
        <v>215</v>
      </c>
      <c r="O1720" t="s">
        <v>151</v>
      </c>
      <c r="P1720">
        <v>82</v>
      </c>
      <c r="Q1720" t="s">
        <v>157</v>
      </c>
    </row>
    <row r="1721" spans="1:17" x14ac:dyDescent="0.2">
      <c r="A1721">
        <v>1144813</v>
      </c>
      <c r="B1721">
        <v>1176</v>
      </c>
      <c r="C1721" s="1" t="s">
        <v>99</v>
      </c>
      <c r="D1721" s="11">
        <v>45239.04583333333</v>
      </c>
      <c r="E1721" t="s">
        <v>96</v>
      </c>
      <c r="F1721" t="s">
        <v>77</v>
      </c>
      <c r="G1721">
        <v>1665</v>
      </c>
      <c r="H1721" s="5" t="s">
        <v>99</v>
      </c>
      <c r="I1721" s="15">
        <v>45239</v>
      </c>
      <c r="J1721" s="15" t="s">
        <v>295</v>
      </c>
      <c r="K1721" s="6">
        <v>4.583333333333333E-2</v>
      </c>
      <c r="L1721" t="s">
        <v>146</v>
      </c>
      <c r="M1721">
        <v>100000</v>
      </c>
      <c r="N1721" t="s">
        <v>222</v>
      </c>
      <c r="O1721" t="s">
        <v>152</v>
      </c>
      <c r="P1721">
        <v>89</v>
      </c>
      <c r="Q1721" t="s">
        <v>156</v>
      </c>
    </row>
    <row r="1722" spans="1:17" x14ac:dyDescent="0.2">
      <c r="A1722">
        <v>1145871</v>
      </c>
      <c r="B1722">
        <v>1893</v>
      </c>
      <c r="C1722" s="1" t="s">
        <v>101</v>
      </c>
      <c r="D1722" s="11">
        <v>45204.022222222222</v>
      </c>
      <c r="E1722" t="s">
        <v>191</v>
      </c>
      <c r="F1722" t="s">
        <v>64</v>
      </c>
      <c r="G1722">
        <v>2301</v>
      </c>
      <c r="H1722" s="5" t="s">
        <v>101</v>
      </c>
      <c r="I1722" s="15">
        <v>45204</v>
      </c>
      <c r="J1722" s="15" t="s">
        <v>295</v>
      </c>
      <c r="K1722" s="6">
        <v>0.52222222222222225</v>
      </c>
      <c r="L1722" t="s">
        <v>143</v>
      </c>
      <c r="M1722">
        <v>100000</v>
      </c>
      <c r="N1722" t="s">
        <v>223</v>
      </c>
      <c r="O1722" t="s">
        <v>151</v>
      </c>
      <c r="P1722">
        <v>47</v>
      </c>
      <c r="Q1722" t="s">
        <v>157</v>
      </c>
    </row>
    <row r="1723" spans="1:17" x14ac:dyDescent="0.2">
      <c r="A1723">
        <v>1146705</v>
      </c>
      <c r="B1723">
        <v>1840</v>
      </c>
      <c r="C1723" s="1" t="s">
        <v>99</v>
      </c>
      <c r="D1723" s="11">
        <v>45130.98333333333</v>
      </c>
      <c r="E1723" t="s">
        <v>96</v>
      </c>
      <c r="F1723" t="s">
        <v>30</v>
      </c>
      <c r="G1723">
        <v>6434</v>
      </c>
      <c r="H1723" s="5" t="s">
        <v>99</v>
      </c>
      <c r="I1723" s="15">
        <v>45130</v>
      </c>
      <c r="J1723" s="15" t="s">
        <v>234</v>
      </c>
      <c r="K1723" s="6">
        <v>0.48333333333333334</v>
      </c>
      <c r="L1723" t="s">
        <v>144</v>
      </c>
      <c r="M1723">
        <v>200000</v>
      </c>
      <c r="N1723" t="s">
        <v>216</v>
      </c>
      <c r="O1723" t="s">
        <v>151</v>
      </c>
      <c r="P1723">
        <v>83</v>
      </c>
      <c r="Q1723" t="s">
        <v>157</v>
      </c>
    </row>
    <row r="1724" spans="1:17" x14ac:dyDescent="0.2">
      <c r="A1724">
        <v>1147846</v>
      </c>
      <c r="B1724">
        <v>137</v>
      </c>
      <c r="C1724" s="1" t="s">
        <v>113</v>
      </c>
      <c r="D1724" s="11">
        <v>45224.023611111108</v>
      </c>
      <c r="E1724" t="s">
        <v>96</v>
      </c>
      <c r="F1724" t="s">
        <v>53</v>
      </c>
      <c r="G1724">
        <v>792</v>
      </c>
      <c r="H1724" s="5" t="s">
        <v>113</v>
      </c>
      <c r="I1724" s="15">
        <v>45224</v>
      </c>
      <c r="J1724" s="15" t="s">
        <v>295</v>
      </c>
      <c r="K1724" s="6">
        <v>0.52361111111111114</v>
      </c>
      <c r="L1724" t="s">
        <v>142</v>
      </c>
      <c r="M1724">
        <v>100000</v>
      </c>
      <c r="N1724" t="s">
        <v>207</v>
      </c>
      <c r="O1724" t="s">
        <v>151</v>
      </c>
      <c r="P1724">
        <v>25</v>
      </c>
      <c r="Q1724" t="s">
        <v>154</v>
      </c>
    </row>
    <row r="1725" spans="1:17" x14ac:dyDescent="0.2">
      <c r="A1725">
        <v>1149488</v>
      </c>
      <c r="B1725">
        <v>1235</v>
      </c>
      <c r="C1725" s="1" t="s">
        <v>106</v>
      </c>
      <c r="D1725" s="11">
        <v>45033.025000000001</v>
      </c>
      <c r="E1725" t="s">
        <v>98</v>
      </c>
      <c r="F1725" t="s">
        <v>85</v>
      </c>
      <c r="G1725">
        <v>2062</v>
      </c>
      <c r="H1725" s="5" t="s">
        <v>106</v>
      </c>
      <c r="I1725" s="15">
        <v>45033</v>
      </c>
      <c r="J1725" s="15" t="s">
        <v>233</v>
      </c>
      <c r="K1725" s="6">
        <v>0.52500000000000002</v>
      </c>
      <c r="L1725" t="s">
        <v>146</v>
      </c>
      <c r="M1725">
        <v>100000</v>
      </c>
      <c r="N1725" t="s">
        <v>212</v>
      </c>
      <c r="O1725" t="s">
        <v>151</v>
      </c>
      <c r="P1725">
        <v>69</v>
      </c>
      <c r="Q1725" t="s">
        <v>156</v>
      </c>
    </row>
    <row r="1726" spans="1:17" x14ac:dyDescent="0.2">
      <c r="A1726">
        <v>1149537</v>
      </c>
      <c r="B1726">
        <v>158</v>
      </c>
      <c r="C1726" s="1" t="s">
        <v>99</v>
      </c>
      <c r="D1726" s="11">
        <v>44958.013888888891</v>
      </c>
      <c r="E1726" t="s">
        <v>98</v>
      </c>
      <c r="F1726" t="s">
        <v>51</v>
      </c>
      <c r="G1726">
        <v>2663</v>
      </c>
      <c r="H1726" s="5" t="s">
        <v>99</v>
      </c>
      <c r="I1726" s="15">
        <v>44958</v>
      </c>
      <c r="J1726" s="15" t="s">
        <v>232</v>
      </c>
      <c r="K1726" s="6">
        <v>0.51388888888888884</v>
      </c>
      <c r="L1726" t="s">
        <v>145</v>
      </c>
      <c r="M1726">
        <v>100000</v>
      </c>
      <c r="N1726" t="s">
        <v>217</v>
      </c>
      <c r="O1726" t="s">
        <v>152</v>
      </c>
      <c r="P1726">
        <v>41</v>
      </c>
      <c r="Q1726" t="s">
        <v>154</v>
      </c>
    </row>
    <row r="1727" spans="1:17" x14ac:dyDescent="0.2">
      <c r="A1727">
        <v>1150741</v>
      </c>
      <c r="B1727">
        <v>304</v>
      </c>
      <c r="C1727" s="1" t="s">
        <v>113</v>
      </c>
      <c r="D1727" s="11">
        <v>44994.05972222222</v>
      </c>
      <c r="E1727" t="s">
        <v>96</v>
      </c>
      <c r="F1727" t="s">
        <v>68</v>
      </c>
      <c r="G1727">
        <v>9404</v>
      </c>
      <c r="H1727" s="5" t="s">
        <v>113</v>
      </c>
      <c r="I1727" s="15">
        <v>44994</v>
      </c>
      <c r="J1727" s="15" t="s">
        <v>232</v>
      </c>
      <c r="K1727" s="6">
        <v>5.9722222222222225E-2</v>
      </c>
      <c r="L1727" t="s">
        <v>144</v>
      </c>
      <c r="M1727">
        <v>100000</v>
      </c>
      <c r="N1727" t="s">
        <v>200</v>
      </c>
      <c r="O1727" t="s">
        <v>152</v>
      </c>
      <c r="P1727">
        <v>71</v>
      </c>
      <c r="Q1727" t="s">
        <v>154</v>
      </c>
    </row>
    <row r="1728" spans="1:17" x14ac:dyDescent="0.2">
      <c r="A1728">
        <v>1151977</v>
      </c>
      <c r="B1728">
        <v>1190</v>
      </c>
      <c r="C1728" s="1" t="s">
        <v>103</v>
      </c>
      <c r="D1728" s="11">
        <v>45291.073611111111</v>
      </c>
      <c r="E1728" t="s">
        <v>97</v>
      </c>
      <c r="F1728" t="s">
        <v>86</v>
      </c>
      <c r="G1728">
        <v>4385</v>
      </c>
      <c r="H1728" s="5" t="s">
        <v>103</v>
      </c>
      <c r="I1728" s="15">
        <v>45291</v>
      </c>
      <c r="J1728" s="15" t="s">
        <v>295</v>
      </c>
      <c r="K1728" s="6">
        <v>7.3611111111111113E-2</v>
      </c>
      <c r="L1728" t="s">
        <v>144</v>
      </c>
      <c r="M1728">
        <v>100000</v>
      </c>
      <c r="N1728" t="s">
        <v>216</v>
      </c>
      <c r="O1728" t="s">
        <v>151</v>
      </c>
      <c r="P1728">
        <v>50</v>
      </c>
      <c r="Q1728" t="s">
        <v>156</v>
      </c>
    </row>
    <row r="1729" spans="1:17" x14ac:dyDescent="0.2">
      <c r="A1729">
        <v>1152358</v>
      </c>
      <c r="B1729">
        <v>1098</v>
      </c>
      <c r="C1729" s="1" t="s">
        <v>106</v>
      </c>
      <c r="D1729" s="11">
        <v>45142.057638888888</v>
      </c>
      <c r="E1729" t="s">
        <v>96</v>
      </c>
      <c r="F1729" t="s">
        <v>43</v>
      </c>
      <c r="G1729">
        <v>596</v>
      </c>
      <c r="H1729" s="5" t="s">
        <v>106</v>
      </c>
      <c r="I1729" s="15">
        <v>45142</v>
      </c>
      <c r="J1729" s="15" t="s">
        <v>234</v>
      </c>
      <c r="K1729" s="6">
        <v>5.7638888888888892E-2</v>
      </c>
      <c r="L1729" t="s">
        <v>145</v>
      </c>
      <c r="M1729">
        <v>1000000</v>
      </c>
      <c r="N1729" t="s">
        <v>203</v>
      </c>
      <c r="O1729" t="s">
        <v>151</v>
      </c>
      <c r="P1729">
        <v>31</v>
      </c>
      <c r="Q1729" t="s">
        <v>156</v>
      </c>
    </row>
    <row r="1730" spans="1:17" x14ac:dyDescent="0.2">
      <c r="A1730">
        <v>1153425</v>
      </c>
      <c r="B1730">
        <v>1349</v>
      </c>
      <c r="C1730" s="1" t="s">
        <v>101</v>
      </c>
      <c r="D1730" s="11">
        <v>45112.04583333333</v>
      </c>
      <c r="E1730" t="s">
        <v>96</v>
      </c>
      <c r="F1730" t="s">
        <v>27</v>
      </c>
      <c r="G1730">
        <v>4412</v>
      </c>
      <c r="H1730" s="5" t="s">
        <v>101</v>
      </c>
      <c r="I1730" s="15">
        <v>45112</v>
      </c>
      <c r="J1730" s="15" t="s">
        <v>234</v>
      </c>
      <c r="K1730" s="6">
        <v>4.583333333333333E-2</v>
      </c>
      <c r="L1730" t="s">
        <v>142</v>
      </c>
      <c r="M1730">
        <v>1000000</v>
      </c>
      <c r="N1730" t="s">
        <v>209</v>
      </c>
      <c r="O1730" t="s">
        <v>151</v>
      </c>
      <c r="P1730">
        <v>66</v>
      </c>
      <c r="Q1730" t="s">
        <v>156</v>
      </c>
    </row>
    <row r="1731" spans="1:17" x14ac:dyDescent="0.2">
      <c r="A1731">
        <v>1154586</v>
      </c>
      <c r="B1731">
        <v>1031</v>
      </c>
      <c r="C1731" s="1" t="s">
        <v>101</v>
      </c>
      <c r="D1731" s="11">
        <v>45207.002083333333</v>
      </c>
      <c r="E1731" t="s">
        <v>191</v>
      </c>
      <c r="F1731" t="s">
        <v>69</v>
      </c>
      <c r="G1731">
        <v>5173</v>
      </c>
      <c r="H1731" s="5" t="s">
        <v>101</v>
      </c>
      <c r="I1731" s="15">
        <v>45207</v>
      </c>
      <c r="J1731" s="15" t="s">
        <v>295</v>
      </c>
      <c r="K1731" s="6">
        <v>0.50208333333333333</v>
      </c>
      <c r="L1731" t="s">
        <v>146</v>
      </c>
      <c r="M1731">
        <v>250000</v>
      </c>
      <c r="N1731" t="s">
        <v>225</v>
      </c>
      <c r="O1731" t="s">
        <v>151</v>
      </c>
      <c r="P1731">
        <v>40</v>
      </c>
      <c r="Q1731" t="s">
        <v>156</v>
      </c>
    </row>
    <row r="1732" spans="1:17" x14ac:dyDescent="0.2">
      <c r="A1732">
        <v>1155724</v>
      </c>
      <c r="B1732">
        <v>174</v>
      </c>
      <c r="C1732" s="1" t="s">
        <v>107</v>
      </c>
      <c r="D1732" s="11">
        <v>45091.968055555553</v>
      </c>
      <c r="E1732" t="s">
        <v>96</v>
      </c>
      <c r="F1732" t="s">
        <v>43</v>
      </c>
      <c r="G1732">
        <v>2828</v>
      </c>
      <c r="H1732" s="5" t="s">
        <v>107</v>
      </c>
      <c r="I1732" s="15">
        <v>45091</v>
      </c>
      <c r="J1732" s="15" t="s">
        <v>233</v>
      </c>
      <c r="K1732" s="6">
        <v>0.46805555555555556</v>
      </c>
      <c r="L1732" t="s">
        <v>145</v>
      </c>
      <c r="M1732">
        <v>1000000</v>
      </c>
      <c r="N1732" t="s">
        <v>203</v>
      </c>
      <c r="O1732" t="s">
        <v>151</v>
      </c>
      <c r="P1732">
        <v>68</v>
      </c>
      <c r="Q1732" t="s">
        <v>154</v>
      </c>
    </row>
    <row r="1733" spans="1:17" x14ac:dyDescent="0.2">
      <c r="A1733">
        <v>1156199</v>
      </c>
      <c r="B1733">
        <v>179</v>
      </c>
      <c r="C1733" s="1" t="s">
        <v>100</v>
      </c>
      <c r="D1733" s="11">
        <v>45147.007638888892</v>
      </c>
      <c r="E1733" t="s">
        <v>98</v>
      </c>
      <c r="F1733" t="s">
        <v>22</v>
      </c>
      <c r="G1733">
        <v>893</v>
      </c>
      <c r="H1733" s="5" t="s">
        <v>100</v>
      </c>
      <c r="I1733" s="15">
        <v>45147</v>
      </c>
      <c r="J1733" s="15" t="s">
        <v>234</v>
      </c>
      <c r="K1733" s="6">
        <v>0.50763888888888886</v>
      </c>
      <c r="L1733" t="s">
        <v>144</v>
      </c>
      <c r="M1733">
        <v>100000</v>
      </c>
      <c r="N1733" t="s">
        <v>202</v>
      </c>
      <c r="O1733" t="s">
        <v>152</v>
      </c>
      <c r="P1733">
        <v>27</v>
      </c>
      <c r="Q1733" t="s">
        <v>154</v>
      </c>
    </row>
    <row r="1734" spans="1:17" x14ac:dyDescent="0.2">
      <c r="A1734">
        <v>1156227</v>
      </c>
      <c r="B1734">
        <v>1154</v>
      </c>
      <c r="C1734" s="1" t="s">
        <v>105</v>
      </c>
      <c r="D1734" s="11">
        <v>45128.981944444444</v>
      </c>
      <c r="E1734" t="s">
        <v>191</v>
      </c>
      <c r="F1734" t="s">
        <v>4</v>
      </c>
      <c r="G1734">
        <v>2490</v>
      </c>
      <c r="H1734" s="5" t="s">
        <v>105</v>
      </c>
      <c r="I1734" s="15">
        <v>45128</v>
      </c>
      <c r="J1734" s="15" t="s">
        <v>234</v>
      </c>
      <c r="K1734" s="6">
        <v>0.48194444444444445</v>
      </c>
      <c r="L1734" t="s">
        <v>142</v>
      </c>
      <c r="M1734">
        <v>200000</v>
      </c>
      <c r="N1734" t="s">
        <v>197</v>
      </c>
      <c r="O1734" t="s">
        <v>151</v>
      </c>
      <c r="P1734">
        <v>88</v>
      </c>
      <c r="Q1734" t="s">
        <v>156</v>
      </c>
    </row>
    <row r="1735" spans="1:17" x14ac:dyDescent="0.2">
      <c r="A1735">
        <v>1156649</v>
      </c>
      <c r="B1735">
        <v>1950</v>
      </c>
      <c r="C1735" s="1" t="s">
        <v>106</v>
      </c>
      <c r="D1735" s="11">
        <v>45141.044444444444</v>
      </c>
      <c r="E1735" t="s">
        <v>98</v>
      </c>
      <c r="F1735" t="s">
        <v>19</v>
      </c>
      <c r="G1735">
        <v>2647</v>
      </c>
      <c r="H1735" s="5" t="s">
        <v>106</v>
      </c>
      <c r="I1735" s="15">
        <v>45141</v>
      </c>
      <c r="J1735" s="15" t="s">
        <v>234</v>
      </c>
      <c r="K1735" s="6">
        <v>4.4444444444444446E-2</v>
      </c>
      <c r="L1735" t="s">
        <v>142</v>
      </c>
      <c r="M1735">
        <v>150000</v>
      </c>
      <c r="N1735" t="s">
        <v>211</v>
      </c>
      <c r="O1735" t="s">
        <v>152</v>
      </c>
      <c r="P1735">
        <v>87</v>
      </c>
      <c r="Q1735" t="s">
        <v>157</v>
      </c>
    </row>
    <row r="1736" spans="1:17" x14ac:dyDescent="0.2">
      <c r="A1736">
        <v>1157103</v>
      </c>
      <c r="B1736">
        <v>868</v>
      </c>
      <c r="C1736" s="1" t="s">
        <v>110</v>
      </c>
      <c r="D1736" s="11">
        <v>45196.065972222219</v>
      </c>
      <c r="E1736" t="s">
        <v>191</v>
      </c>
      <c r="F1736" t="s">
        <v>82</v>
      </c>
      <c r="G1736">
        <v>6840</v>
      </c>
      <c r="H1736" s="5" t="s">
        <v>110</v>
      </c>
      <c r="I1736" s="15">
        <v>45196</v>
      </c>
      <c r="J1736" s="15" t="s">
        <v>234</v>
      </c>
      <c r="K1736" s="6">
        <v>6.5972222222222224E-2</v>
      </c>
      <c r="L1736" t="s">
        <v>142</v>
      </c>
      <c r="M1736">
        <v>100000</v>
      </c>
      <c r="N1736" t="s">
        <v>209</v>
      </c>
      <c r="O1736" t="s">
        <v>152</v>
      </c>
      <c r="P1736">
        <v>31</v>
      </c>
      <c r="Q1736" t="s">
        <v>155</v>
      </c>
    </row>
    <row r="1737" spans="1:17" x14ac:dyDescent="0.2">
      <c r="A1737">
        <v>1158886</v>
      </c>
      <c r="B1737">
        <v>1479</v>
      </c>
      <c r="C1737" s="1" t="s">
        <v>99</v>
      </c>
      <c r="D1737" s="11">
        <v>45171.03125</v>
      </c>
      <c r="E1737" t="s">
        <v>98</v>
      </c>
      <c r="F1737" t="s">
        <v>15</v>
      </c>
      <c r="G1737">
        <v>3135</v>
      </c>
      <c r="H1737" s="5" t="s">
        <v>99</v>
      </c>
      <c r="I1737" s="15">
        <v>45171</v>
      </c>
      <c r="J1737" s="15" t="s">
        <v>234</v>
      </c>
      <c r="K1737" s="6">
        <v>0.53125</v>
      </c>
      <c r="L1737" t="s">
        <v>143</v>
      </c>
      <c r="M1737">
        <v>150000</v>
      </c>
      <c r="N1737" t="s">
        <v>198</v>
      </c>
      <c r="O1737" t="s">
        <v>152</v>
      </c>
      <c r="P1737">
        <v>87</v>
      </c>
      <c r="Q1737" t="s">
        <v>156</v>
      </c>
    </row>
    <row r="1738" spans="1:17" x14ac:dyDescent="0.2">
      <c r="A1738">
        <v>1159317</v>
      </c>
      <c r="B1738">
        <v>997</v>
      </c>
      <c r="C1738" s="1" t="s">
        <v>113</v>
      </c>
      <c r="D1738" s="11">
        <v>45266.033333333333</v>
      </c>
      <c r="E1738" t="s">
        <v>96</v>
      </c>
      <c r="F1738" t="s">
        <v>43</v>
      </c>
      <c r="G1738">
        <v>9148</v>
      </c>
      <c r="H1738" s="5" t="s">
        <v>113</v>
      </c>
      <c r="I1738" s="15">
        <v>45266</v>
      </c>
      <c r="J1738" s="15" t="s">
        <v>295</v>
      </c>
      <c r="K1738" s="6">
        <v>0.53333333333333333</v>
      </c>
      <c r="L1738" t="s">
        <v>145</v>
      </c>
      <c r="M1738">
        <v>1000000</v>
      </c>
      <c r="N1738" t="s">
        <v>203</v>
      </c>
      <c r="O1738" t="s">
        <v>152</v>
      </c>
      <c r="P1738">
        <v>58</v>
      </c>
      <c r="Q1738" t="s">
        <v>155</v>
      </c>
    </row>
    <row r="1739" spans="1:17" x14ac:dyDescent="0.2">
      <c r="A1739">
        <v>1160516</v>
      </c>
      <c r="B1739">
        <v>1958</v>
      </c>
      <c r="C1739" s="1" t="s">
        <v>111</v>
      </c>
      <c r="D1739" s="11">
        <v>45139.004166666666</v>
      </c>
      <c r="E1739" t="s">
        <v>97</v>
      </c>
      <c r="F1739" t="s">
        <v>78</v>
      </c>
      <c r="G1739">
        <v>3233</v>
      </c>
      <c r="H1739" s="5" t="s">
        <v>111</v>
      </c>
      <c r="I1739" s="15">
        <v>45139</v>
      </c>
      <c r="J1739" s="15" t="s">
        <v>234</v>
      </c>
      <c r="K1739" s="6">
        <v>0.50416666666666665</v>
      </c>
      <c r="L1739" t="s">
        <v>143</v>
      </c>
      <c r="M1739">
        <v>200000</v>
      </c>
      <c r="N1739" t="s">
        <v>215</v>
      </c>
      <c r="O1739" t="s">
        <v>152</v>
      </c>
      <c r="P1739">
        <v>23</v>
      </c>
      <c r="Q1739" t="s">
        <v>157</v>
      </c>
    </row>
    <row r="1740" spans="1:17" x14ac:dyDescent="0.2">
      <c r="A1740">
        <v>1160613</v>
      </c>
      <c r="B1740">
        <v>1990</v>
      </c>
      <c r="C1740" s="1" t="s">
        <v>99</v>
      </c>
      <c r="D1740" s="11">
        <v>45282.051388888889</v>
      </c>
      <c r="E1740" t="s">
        <v>96</v>
      </c>
      <c r="F1740" t="s">
        <v>27</v>
      </c>
      <c r="G1740">
        <v>8077</v>
      </c>
      <c r="H1740" s="5" t="s">
        <v>99</v>
      </c>
      <c r="I1740" s="15">
        <v>45282</v>
      </c>
      <c r="J1740" s="15" t="s">
        <v>295</v>
      </c>
      <c r="K1740" s="6">
        <v>5.1388888888888887E-2</v>
      </c>
      <c r="L1740" t="s">
        <v>142</v>
      </c>
      <c r="M1740">
        <v>1000000</v>
      </c>
      <c r="N1740" t="s">
        <v>209</v>
      </c>
      <c r="O1740" t="s">
        <v>152</v>
      </c>
      <c r="P1740">
        <v>89</v>
      </c>
      <c r="Q1740" t="s">
        <v>157</v>
      </c>
    </row>
    <row r="1741" spans="1:17" x14ac:dyDescent="0.2">
      <c r="A1741">
        <v>1162071</v>
      </c>
      <c r="B1741">
        <v>1920</v>
      </c>
      <c r="C1741" s="1" t="s">
        <v>99</v>
      </c>
      <c r="D1741" s="11">
        <v>45103.067361111112</v>
      </c>
      <c r="E1741" t="s">
        <v>191</v>
      </c>
      <c r="F1741" t="s">
        <v>43</v>
      </c>
      <c r="G1741">
        <v>2237</v>
      </c>
      <c r="H1741" s="5" t="s">
        <v>99</v>
      </c>
      <c r="I1741" s="15">
        <v>45103</v>
      </c>
      <c r="J1741" s="15" t="s">
        <v>233</v>
      </c>
      <c r="K1741" s="6">
        <v>6.7361111111111108E-2</v>
      </c>
      <c r="L1741" t="s">
        <v>145</v>
      </c>
      <c r="M1741">
        <v>1000000</v>
      </c>
      <c r="N1741" t="s">
        <v>203</v>
      </c>
      <c r="O1741" t="s">
        <v>151</v>
      </c>
      <c r="P1741">
        <v>43</v>
      </c>
      <c r="Q1741" t="s">
        <v>157</v>
      </c>
    </row>
    <row r="1742" spans="1:17" x14ac:dyDescent="0.2">
      <c r="A1742">
        <v>1162786</v>
      </c>
      <c r="B1742">
        <v>1923</v>
      </c>
      <c r="C1742" s="1" t="s">
        <v>107</v>
      </c>
      <c r="D1742" s="11">
        <v>45032.938194444447</v>
      </c>
      <c r="E1742" t="s">
        <v>98</v>
      </c>
      <c r="F1742" t="s">
        <v>27</v>
      </c>
      <c r="G1742">
        <v>3405</v>
      </c>
      <c r="H1742" s="5" t="s">
        <v>107</v>
      </c>
      <c r="I1742" s="15">
        <v>45032</v>
      </c>
      <c r="J1742" s="15" t="s">
        <v>233</v>
      </c>
      <c r="K1742" s="6">
        <v>0.43819444444444444</v>
      </c>
      <c r="L1742" t="s">
        <v>142</v>
      </c>
      <c r="M1742">
        <v>1000000</v>
      </c>
      <c r="N1742" t="s">
        <v>209</v>
      </c>
      <c r="O1742" t="s">
        <v>151</v>
      </c>
      <c r="P1742">
        <v>29</v>
      </c>
      <c r="Q1742" t="s">
        <v>157</v>
      </c>
    </row>
    <row r="1743" spans="1:17" x14ac:dyDescent="0.2">
      <c r="A1743">
        <v>1162801</v>
      </c>
      <c r="B1743">
        <v>1177</v>
      </c>
      <c r="C1743" s="1" t="s">
        <v>108</v>
      </c>
      <c r="D1743" s="11">
        <v>45048.0625</v>
      </c>
      <c r="E1743" t="s">
        <v>96</v>
      </c>
      <c r="F1743" t="s">
        <v>27</v>
      </c>
      <c r="G1743">
        <v>8149</v>
      </c>
      <c r="H1743" s="5" t="s">
        <v>108</v>
      </c>
      <c r="I1743" s="15">
        <v>45048</v>
      </c>
      <c r="J1743" s="15" t="s">
        <v>233</v>
      </c>
      <c r="K1743" s="6">
        <v>6.25E-2</v>
      </c>
      <c r="L1743" t="s">
        <v>142</v>
      </c>
      <c r="M1743">
        <v>1000000</v>
      </c>
      <c r="N1743" t="s">
        <v>209</v>
      </c>
      <c r="O1743" t="s">
        <v>152</v>
      </c>
      <c r="P1743">
        <v>90</v>
      </c>
      <c r="Q1743" t="s">
        <v>156</v>
      </c>
    </row>
    <row r="1744" spans="1:17" x14ac:dyDescent="0.2">
      <c r="A1744">
        <v>1162874</v>
      </c>
      <c r="B1744">
        <v>1403</v>
      </c>
      <c r="C1744" s="1" t="s">
        <v>99</v>
      </c>
      <c r="D1744" s="11">
        <v>45085.954861111109</v>
      </c>
      <c r="E1744" t="s">
        <v>191</v>
      </c>
      <c r="F1744" t="s">
        <v>27</v>
      </c>
      <c r="G1744">
        <v>2610</v>
      </c>
      <c r="H1744" s="5" t="s">
        <v>99</v>
      </c>
      <c r="I1744" s="15">
        <v>45085</v>
      </c>
      <c r="J1744" s="15" t="s">
        <v>233</v>
      </c>
      <c r="K1744" s="6">
        <v>0.4548611111111111</v>
      </c>
      <c r="L1744" t="s">
        <v>142</v>
      </c>
      <c r="M1744">
        <v>1000000</v>
      </c>
      <c r="N1744" t="s">
        <v>209</v>
      </c>
      <c r="O1744" t="s">
        <v>151</v>
      </c>
      <c r="P1744">
        <v>81</v>
      </c>
      <c r="Q1744" t="s">
        <v>156</v>
      </c>
    </row>
    <row r="1745" spans="1:17" x14ac:dyDescent="0.2">
      <c r="A1745">
        <v>1163316</v>
      </c>
      <c r="B1745">
        <v>863</v>
      </c>
      <c r="C1745" s="1" t="s">
        <v>111</v>
      </c>
      <c r="D1745" s="11">
        <v>44959.020833333336</v>
      </c>
      <c r="E1745" t="s">
        <v>98</v>
      </c>
      <c r="F1745" t="s">
        <v>18</v>
      </c>
      <c r="G1745">
        <v>5671</v>
      </c>
      <c r="H1745" s="5" t="s">
        <v>111</v>
      </c>
      <c r="I1745" s="15">
        <v>44959</v>
      </c>
      <c r="J1745" s="15" t="s">
        <v>232</v>
      </c>
      <c r="K1745" s="6">
        <v>0.52083333333333337</v>
      </c>
      <c r="L1745" t="s">
        <v>145</v>
      </c>
      <c r="M1745">
        <v>200000</v>
      </c>
      <c r="N1745" t="s">
        <v>210</v>
      </c>
      <c r="O1745" t="s">
        <v>152</v>
      </c>
      <c r="P1745">
        <v>63</v>
      </c>
      <c r="Q1745" t="s">
        <v>155</v>
      </c>
    </row>
    <row r="1746" spans="1:17" x14ac:dyDescent="0.2">
      <c r="A1746">
        <v>1163648</v>
      </c>
      <c r="B1746">
        <v>958</v>
      </c>
      <c r="C1746" s="1" t="s">
        <v>99</v>
      </c>
      <c r="D1746" s="11">
        <v>44987.039583333331</v>
      </c>
      <c r="E1746" t="s">
        <v>97</v>
      </c>
      <c r="F1746" t="s">
        <v>90</v>
      </c>
      <c r="G1746">
        <v>9428</v>
      </c>
      <c r="H1746" s="5" t="s">
        <v>99</v>
      </c>
      <c r="I1746" s="15">
        <v>44987</v>
      </c>
      <c r="J1746" s="15" t="s">
        <v>232</v>
      </c>
      <c r="K1746" s="6">
        <v>0.5395833333333333</v>
      </c>
      <c r="L1746" t="s">
        <v>142</v>
      </c>
      <c r="M1746">
        <v>150000</v>
      </c>
      <c r="N1746" t="s">
        <v>208</v>
      </c>
      <c r="O1746" t="s">
        <v>151</v>
      </c>
      <c r="P1746">
        <v>89</v>
      </c>
      <c r="Q1746" t="s">
        <v>155</v>
      </c>
    </row>
    <row r="1747" spans="1:17" x14ac:dyDescent="0.2">
      <c r="A1747">
        <v>1163680</v>
      </c>
      <c r="B1747">
        <v>485</v>
      </c>
      <c r="C1747" s="1" t="s">
        <v>100</v>
      </c>
      <c r="D1747" s="11">
        <v>45011.024305555555</v>
      </c>
      <c r="E1747" t="s">
        <v>97</v>
      </c>
      <c r="F1747" t="s">
        <v>23</v>
      </c>
      <c r="G1747">
        <v>890</v>
      </c>
      <c r="H1747" s="5" t="s">
        <v>100</v>
      </c>
      <c r="I1747" s="15">
        <v>45011</v>
      </c>
      <c r="J1747" s="15" t="s">
        <v>232</v>
      </c>
      <c r="K1747" s="6">
        <v>0.52430555555555558</v>
      </c>
      <c r="L1747" t="s">
        <v>142</v>
      </c>
      <c r="M1747">
        <v>150000</v>
      </c>
      <c r="N1747" t="s">
        <v>213</v>
      </c>
      <c r="O1747" t="s">
        <v>151</v>
      </c>
      <c r="P1747">
        <v>19</v>
      </c>
      <c r="Q1747" t="s">
        <v>154</v>
      </c>
    </row>
    <row r="1748" spans="1:17" x14ac:dyDescent="0.2">
      <c r="A1748">
        <v>1164686</v>
      </c>
      <c r="B1748">
        <v>393</v>
      </c>
      <c r="C1748" s="1" t="s">
        <v>113</v>
      </c>
      <c r="D1748" s="11">
        <v>45289.06527777778</v>
      </c>
      <c r="E1748" t="s">
        <v>96</v>
      </c>
      <c r="F1748" t="s">
        <v>92</v>
      </c>
      <c r="G1748">
        <v>1148</v>
      </c>
      <c r="H1748" s="5" t="s">
        <v>113</v>
      </c>
      <c r="I1748" s="15">
        <v>45289</v>
      </c>
      <c r="J1748" s="15" t="s">
        <v>295</v>
      </c>
      <c r="K1748" s="6">
        <v>6.5277777777777782E-2</v>
      </c>
      <c r="L1748" t="s">
        <v>145</v>
      </c>
      <c r="M1748">
        <v>30000</v>
      </c>
      <c r="N1748" t="s">
        <v>226</v>
      </c>
      <c r="O1748" t="s">
        <v>152</v>
      </c>
      <c r="P1748">
        <v>19</v>
      </c>
      <c r="Q1748" t="s">
        <v>154</v>
      </c>
    </row>
    <row r="1749" spans="1:17" x14ac:dyDescent="0.2">
      <c r="A1749">
        <v>1164859</v>
      </c>
      <c r="B1749">
        <v>1620</v>
      </c>
      <c r="C1749" s="1" t="s">
        <v>99</v>
      </c>
      <c r="D1749" s="11">
        <v>45022.943749999999</v>
      </c>
      <c r="E1749" t="s">
        <v>191</v>
      </c>
      <c r="F1749" t="s">
        <v>54</v>
      </c>
      <c r="G1749">
        <v>7286</v>
      </c>
      <c r="H1749" s="5" t="s">
        <v>99</v>
      </c>
      <c r="I1749" s="15">
        <v>45022</v>
      </c>
      <c r="J1749" s="15" t="s">
        <v>233</v>
      </c>
      <c r="K1749" s="6">
        <v>0.44374999999999998</v>
      </c>
      <c r="L1749" t="s">
        <v>144</v>
      </c>
      <c r="M1749">
        <v>100000</v>
      </c>
      <c r="N1749" t="s">
        <v>224</v>
      </c>
      <c r="O1749" t="s">
        <v>152</v>
      </c>
      <c r="P1749">
        <v>61</v>
      </c>
      <c r="Q1749" t="s">
        <v>157</v>
      </c>
    </row>
    <row r="1750" spans="1:17" x14ac:dyDescent="0.2">
      <c r="A1750">
        <v>1165044</v>
      </c>
      <c r="B1750">
        <v>1562</v>
      </c>
      <c r="C1750" s="1" t="s">
        <v>105</v>
      </c>
      <c r="D1750" s="11">
        <v>45008.029861111114</v>
      </c>
      <c r="E1750" t="s">
        <v>191</v>
      </c>
      <c r="F1750" t="s">
        <v>20</v>
      </c>
      <c r="G1750">
        <v>8271</v>
      </c>
      <c r="H1750" s="5" t="s">
        <v>105</v>
      </c>
      <c r="I1750" s="15">
        <v>45008</v>
      </c>
      <c r="J1750" s="15" t="s">
        <v>232</v>
      </c>
      <c r="K1750" s="6">
        <v>0.52986111111111112</v>
      </c>
      <c r="L1750" t="s">
        <v>146</v>
      </c>
      <c r="M1750">
        <v>150000</v>
      </c>
      <c r="N1750" t="s">
        <v>212</v>
      </c>
      <c r="O1750" t="s">
        <v>151</v>
      </c>
      <c r="P1750">
        <v>20</v>
      </c>
      <c r="Q1750" t="s">
        <v>157</v>
      </c>
    </row>
    <row r="1751" spans="1:17" x14ac:dyDescent="0.2">
      <c r="A1751">
        <v>1165350</v>
      </c>
      <c r="B1751">
        <v>1526</v>
      </c>
      <c r="C1751" s="1" t="s">
        <v>99</v>
      </c>
      <c r="D1751" s="11">
        <v>45176.04791666667</v>
      </c>
      <c r="E1751" t="s">
        <v>98</v>
      </c>
      <c r="F1751" t="s">
        <v>41</v>
      </c>
      <c r="G1751">
        <v>4870</v>
      </c>
      <c r="H1751" s="5" t="s">
        <v>99</v>
      </c>
      <c r="I1751" s="15">
        <v>45176</v>
      </c>
      <c r="J1751" s="15" t="s">
        <v>234</v>
      </c>
      <c r="K1751" s="6">
        <v>4.791666666666667E-2</v>
      </c>
      <c r="L1751" t="s">
        <v>145</v>
      </c>
      <c r="M1751">
        <v>150000</v>
      </c>
      <c r="N1751" t="s">
        <v>203</v>
      </c>
      <c r="O1751" t="s">
        <v>152</v>
      </c>
      <c r="P1751">
        <v>50</v>
      </c>
      <c r="Q1751" t="s">
        <v>157</v>
      </c>
    </row>
    <row r="1752" spans="1:17" x14ac:dyDescent="0.2">
      <c r="A1752">
        <v>1165475</v>
      </c>
      <c r="B1752">
        <v>713</v>
      </c>
      <c r="C1752" s="1" t="s">
        <v>102</v>
      </c>
      <c r="D1752" s="11">
        <v>45231.97152777778</v>
      </c>
      <c r="E1752" t="s">
        <v>98</v>
      </c>
      <c r="F1752" t="s">
        <v>55</v>
      </c>
      <c r="G1752">
        <v>4856</v>
      </c>
      <c r="H1752" s="5" t="s">
        <v>102</v>
      </c>
      <c r="I1752" s="15">
        <v>45231</v>
      </c>
      <c r="J1752" s="15" t="s">
        <v>295</v>
      </c>
      <c r="K1752" s="6">
        <v>0.47152777777777777</v>
      </c>
      <c r="L1752" t="s">
        <v>144</v>
      </c>
      <c r="M1752">
        <v>100000</v>
      </c>
      <c r="N1752" t="s">
        <v>219</v>
      </c>
      <c r="O1752" t="s">
        <v>151</v>
      </c>
      <c r="P1752">
        <v>89</v>
      </c>
      <c r="Q1752" t="s">
        <v>155</v>
      </c>
    </row>
    <row r="1753" spans="1:17" x14ac:dyDescent="0.2">
      <c r="A1753">
        <v>1165654</v>
      </c>
      <c r="B1753">
        <v>454</v>
      </c>
      <c r="C1753" s="1" t="s">
        <v>99</v>
      </c>
      <c r="D1753" s="11">
        <v>45226.975694444445</v>
      </c>
      <c r="E1753" t="s">
        <v>98</v>
      </c>
      <c r="F1753" t="s">
        <v>56</v>
      </c>
      <c r="G1753">
        <v>7755</v>
      </c>
      <c r="H1753" s="5" t="s">
        <v>99</v>
      </c>
      <c r="I1753" s="15">
        <v>45226</v>
      </c>
      <c r="J1753" s="15" t="s">
        <v>295</v>
      </c>
      <c r="K1753" s="6">
        <v>0.47569444444444442</v>
      </c>
      <c r="L1753" t="s">
        <v>146</v>
      </c>
      <c r="M1753">
        <v>50000</v>
      </c>
      <c r="N1753" t="s">
        <v>220</v>
      </c>
      <c r="O1753" t="s">
        <v>152</v>
      </c>
      <c r="P1753">
        <v>37</v>
      </c>
      <c r="Q1753" t="s">
        <v>154</v>
      </c>
    </row>
    <row r="1754" spans="1:17" x14ac:dyDescent="0.2">
      <c r="A1754">
        <v>1165962</v>
      </c>
      <c r="B1754">
        <v>53</v>
      </c>
      <c r="C1754" s="1" t="s">
        <v>107</v>
      </c>
      <c r="D1754" s="11">
        <v>45290.990277777775</v>
      </c>
      <c r="E1754" t="s">
        <v>98</v>
      </c>
      <c r="F1754" t="s">
        <v>70</v>
      </c>
      <c r="G1754">
        <v>9977</v>
      </c>
      <c r="H1754" s="5" t="s">
        <v>107</v>
      </c>
      <c r="I1754" s="15">
        <v>45290</v>
      </c>
      <c r="J1754" s="15" t="s">
        <v>295</v>
      </c>
      <c r="K1754" s="6">
        <v>0.49027777777777776</v>
      </c>
      <c r="L1754" t="s">
        <v>143</v>
      </c>
      <c r="M1754">
        <v>100000</v>
      </c>
      <c r="N1754" t="s">
        <v>205</v>
      </c>
      <c r="O1754" t="s">
        <v>151</v>
      </c>
      <c r="P1754">
        <v>62</v>
      </c>
      <c r="Q1754" t="s">
        <v>154</v>
      </c>
    </row>
    <row r="1755" spans="1:17" x14ac:dyDescent="0.2">
      <c r="A1755">
        <v>1166621</v>
      </c>
      <c r="B1755">
        <v>1789</v>
      </c>
      <c r="C1755" s="1" t="s">
        <v>109</v>
      </c>
      <c r="D1755" s="11">
        <v>45118.006249999999</v>
      </c>
      <c r="E1755" t="s">
        <v>96</v>
      </c>
      <c r="F1755" t="s">
        <v>58</v>
      </c>
      <c r="G1755">
        <v>2664</v>
      </c>
      <c r="H1755" s="5" t="s">
        <v>109</v>
      </c>
      <c r="I1755" s="15">
        <v>45118</v>
      </c>
      <c r="J1755" s="15" t="s">
        <v>234</v>
      </c>
      <c r="K1755" s="6">
        <v>0.50624999999999998</v>
      </c>
      <c r="L1755" t="s">
        <v>143</v>
      </c>
      <c r="M1755">
        <v>80000</v>
      </c>
      <c r="N1755" t="s">
        <v>214</v>
      </c>
      <c r="O1755" t="s">
        <v>152</v>
      </c>
      <c r="P1755">
        <v>35</v>
      </c>
      <c r="Q1755" t="s">
        <v>157</v>
      </c>
    </row>
    <row r="1756" spans="1:17" x14ac:dyDescent="0.2">
      <c r="A1756">
        <v>1166715</v>
      </c>
      <c r="B1756">
        <v>337</v>
      </c>
      <c r="C1756" s="1" t="s">
        <v>106</v>
      </c>
      <c r="D1756" s="11">
        <v>45056.010416666664</v>
      </c>
      <c r="E1756" t="s">
        <v>98</v>
      </c>
      <c r="F1756" t="s">
        <v>59</v>
      </c>
      <c r="G1756">
        <v>8874</v>
      </c>
      <c r="H1756" s="5" t="s">
        <v>106</v>
      </c>
      <c r="I1756" s="15">
        <v>45056</v>
      </c>
      <c r="J1756" s="15" t="s">
        <v>233</v>
      </c>
      <c r="K1756" s="6">
        <v>0.51041666666666663</v>
      </c>
      <c r="L1756" t="s">
        <v>144</v>
      </c>
      <c r="M1756">
        <v>80000</v>
      </c>
      <c r="N1756" t="s">
        <v>224</v>
      </c>
      <c r="O1756" t="s">
        <v>151</v>
      </c>
      <c r="P1756">
        <v>58</v>
      </c>
      <c r="Q1756" t="s">
        <v>154</v>
      </c>
    </row>
    <row r="1757" spans="1:17" x14ac:dyDescent="0.2">
      <c r="A1757">
        <v>1168908</v>
      </c>
      <c r="B1757">
        <v>982</v>
      </c>
      <c r="C1757" s="1" t="s">
        <v>99</v>
      </c>
      <c r="D1757" s="11">
        <v>45215.05</v>
      </c>
      <c r="E1757" t="s">
        <v>191</v>
      </c>
      <c r="F1757" t="s">
        <v>37</v>
      </c>
      <c r="G1757">
        <v>6598</v>
      </c>
      <c r="H1757" s="5" t="s">
        <v>99</v>
      </c>
      <c r="I1757" s="15">
        <v>45215</v>
      </c>
      <c r="J1757" s="15" t="s">
        <v>295</v>
      </c>
      <c r="K1757" s="6">
        <v>0.05</v>
      </c>
      <c r="L1757" t="s">
        <v>144</v>
      </c>
      <c r="M1757">
        <v>100000</v>
      </c>
      <c r="N1757" t="s">
        <v>199</v>
      </c>
      <c r="O1757" t="s">
        <v>152</v>
      </c>
      <c r="P1757">
        <v>35</v>
      </c>
      <c r="Q1757" t="s">
        <v>155</v>
      </c>
    </row>
    <row r="1758" spans="1:17" x14ac:dyDescent="0.2">
      <c r="A1758">
        <v>1169043</v>
      </c>
      <c r="B1758">
        <v>189</v>
      </c>
      <c r="C1758" s="1" t="s">
        <v>99</v>
      </c>
      <c r="D1758" s="11">
        <v>45102.01666666667</v>
      </c>
      <c r="E1758" t="s">
        <v>191</v>
      </c>
      <c r="F1758" t="s">
        <v>27</v>
      </c>
      <c r="G1758">
        <v>6955</v>
      </c>
      <c r="H1758" s="5" t="s">
        <v>99</v>
      </c>
      <c r="I1758" s="15">
        <v>45102</v>
      </c>
      <c r="J1758" s="15" t="s">
        <v>233</v>
      </c>
      <c r="K1758" s="6">
        <v>0.51666666666666672</v>
      </c>
      <c r="L1758" t="s">
        <v>142</v>
      </c>
      <c r="M1758">
        <v>1000000</v>
      </c>
      <c r="N1758" t="s">
        <v>209</v>
      </c>
      <c r="O1758" t="s">
        <v>152</v>
      </c>
      <c r="P1758">
        <v>59</v>
      </c>
      <c r="Q1758" t="s">
        <v>154</v>
      </c>
    </row>
    <row r="1759" spans="1:17" x14ac:dyDescent="0.2">
      <c r="A1759">
        <v>1170043</v>
      </c>
      <c r="B1759">
        <v>950</v>
      </c>
      <c r="C1759" s="1" t="s">
        <v>100</v>
      </c>
      <c r="D1759" s="11">
        <v>45250.070833333331</v>
      </c>
      <c r="E1759" t="s">
        <v>96</v>
      </c>
      <c r="F1759" t="s">
        <v>45</v>
      </c>
      <c r="G1759">
        <v>6767</v>
      </c>
      <c r="H1759" s="5" t="s">
        <v>100</v>
      </c>
      <c r="I1759" s="15">
        <v>45250</v>
      </c>
      <c r="J1759" s="15" t="s">
        <v>295</v>
      </c>
      <c r="K1759" s="6">
        <v>7.0833333333333331E-2</v>
      </c>
      <c r="L1759" t="s">
        <v>142</v>
      </c>
      <c r="M1759">
        <v>100000</v>
      </c>
      <c r="N1759" t="s">
        <v>197</v>
      </c>
      <c r="O1759" t="s">
        <v>151</v>
      </c>
      <c r="P1759">
        <v>72</v>
      </c>
      <c r="Q1759" t="s">
        <v>155</v>
      </c>
    </row>
    <row r="1760" spans="1:17" x14ac:dyDescent="0.2">
      <c r="A1760">
        <v>1171504</v>
      </c>
      <c r="B1760">
        <v>853</v>
      </c>
      <c r="C1760" s="1" t="s">
        <v>99</v>
      </c>
      <c r="D1760" s="11">
        <v>45053.015972222223</v>
      </c>
      <c r="E1760" t="s">
        <v>98</v>
      </c>
      <c r="F1760" t="s">
        <v>89</v>
      </c>
      <c r="G1760">
        <v>4396</v>
      </c>
      <c r="H1760" s="5" t="s">
        <v>99</v>
      </c>
      <c r="I1760" s="15">
        <v>45053</v>
      </c>
      <c r="J1760" s="15" t="s">
        <v>233</v>
      </c>
      <c r="K1760" s="6">
        <v>0.51597222222222228</v>
      </c>
      <c r="L1760" t="s">
        <v>144</v>
      </c>
      <c r="M1760">
        <v>150000</v>
      </c>
      <c r="N1760" t="s">
        <v>218</v>
      </c>
      <c r="O1760" t="s">
        <v>151</v>
      </c>
      <c r="P1760">
        <v>57</v>
      </c>
      <c r="Q1760" t="s">
        <v>155</v>
      </c>
    </row>
    <row r="1761" spans="1:17" x14ac:dyDescent="0.2">
      <c r="A1761">
        <v>1171525</v>
      </c>
      <c r="B1761">
        <v>602</v>
      </c>
      <c r="C1761" s="1" t="s">
        <v>104</v>
      </c>
      <c r="D1761" s="11">
        <v>44988.992361111108</v>
      </c>
      <c r="E1761" t="s">
        <v>96</v>
      </c>
      <c r="F1761" t="s">
        <v>93</v>
      </c>
      <c r="G1761">
        <v>849</v>
      </c>
      <c r="H1761" s="5" t="s">
        <v>104</v>
      </c>
      <c r="I1761" s="15">
        <v>44988</v>
      </c>
      <c r="J1761" s="15" t="s">
        <v>232</v>
      </c>
      <c r="K1761" s="6">
        <v>0.49236111111111114</v>
      </c>
      <c r="L1761" t="s">
        <v>146</v>
      </c>
      <c r="M1761">
        <v>30000</v>
      </c>
      <c r="N1761" t="s">
        <v>220</v>
      </c>
      <c r="O1761" t="s">
        <v>152</v>
      </c>
      <c r="P1761">
        <v>24</v>
      </c>
      <c r="Q1761" t="s">
        <v>155</v>
      </c>
    </row>
    <row r="1762" spans="1:17" x14ac:dyDescent="0.2">
      <c r="A1762">
        <v>1173348</v>
      </c>
      <c r="B1762">
        <v>1068</v>
      </c>
      <c r="C1762" s="1" t="s">
        <v>105</v>
      </c>
      <c r="D1762" s="11">
        <v>45277.053472222222</v>
      </c>
      <c r="E1762" t="s">
        <v>97</v>
      </c>
      <c r="F1762" t="s">
        <v>33</v>
      </c>
      <c r="G1762">
        <v>8654</v>
      </c>
      <c r="H1762" s="5" t="s">
        <v>105</v>
      </c>
      <c r="I1762" s="15">
        <v>45277</v>
      </c>
      <c r="J1762" s="15" t="s">
        <v>295</v>
      </c>
      <c r="K1762" s="6">
        <v>5.347222222222222E-2</v>
      </c>
      <c r="L1762" t="s">
        <v>145</v>
      </c>
      <c r="M1762">
        <v>100000</v>
      </c>
      <c r="N1762" t="s">
        <v>210</v>
      </c>
      <c r="O1762" t="s">
        <v>151</v>
      </c>
      <c r="P1762">
        <v>56</v>
      </c>
      <c r="Q1762" t="s">
        <v>156</v>
      </c>
    </row>
    <row r="1763" spans="1:17" x14ac:dyDescent="0.2">
      <c r="A1763">
        <v>1173471</v>
      </c>
      <c r="B1763">
        <v>1979</v>
      </c>
      <c r="C1763" s="1" t="s">
        <v>102</v>
      </c>
      <c r="D1763" s="11">
        <v>45158.083333333336</v>
      </c>
      <c r="E1763" t="s">
        <v>96</v>
      </c>
      <c r="F1763" t="s">
        <v>63</v>
      </c>
      <c r="G1763">
        <v>7703</v>
      </c>
      <c r="H1763" s="5" t="s">
        <v>102</v>
      </c>
      <c r="I1763" s="15">
        <v>45158</v>
      </c>
      <c r="J1763" s="15" t="s">
        <v>234</v>
      </c>
      <c r="K1763" s="6">
        <v>8.3333333333333329E-2</v>
      </c>
      <c r="L1763" t="s">
        <v>143</v>
      </c>
      <c r="M1763">
        <v>100000</v>
      </c>
      <c r="N1763" t="s">
        <v>198</v>
      </c>
      <c r="O1763" t="s">
        <v>152</v>
      </c>
      <c r="P1763">
        <v>21</v>
      </c>
      <c r="Q1763" t="s">
        <v>157</v>
      </c>
    </row>
    <row r="1764" spans="1:17" x14ac:dyDescent="0.2">
      <c r="A1764">
        <v>1175258</v>
      </c>
      <c r="B1764">
        <v>1643</v>
      </c>
      <c r="C1764" s="1" t="s">
        <v>101</v>
      </c>
      <c r="D1764" s="11">
        <v>45137.035416666666</v>
      </c>
      <c r="E1764" t="s">
        <v>97</v>
      </c>
      <c r="F1764" t="s">
        <v>90</v>
      </c>
      <c r="G1764">
        <v>6538</v>
      </c>
      <c r="H1764" s="5" t="s">
        <v>101</v>
      </c>
      <c r="I1764" s="15">
        <v>45137</v>
      </c>
      <c r="J1764" s="15" t="s">
        <v>234</v>
      </c>
      <c r="K1764" s="6">
        <v>0.53541666666666665</v>
      </c>
      <c r="L1764" t="s">
        <v>142</v>
      </c>
      <c r="M1764">
        <v>150000</v>
      </c>
      <c r="N1764" t="s">
        <v>208</v>
      </c>
      <c r="O1764" t="s">
        <v>152</v>
      </c>
      <c r="P1764">
        <v>29</v>
      </c>
      <c r="Q1764" t="s">
        <v>157</v>
      </c>
    </row>
    <row r="1765" spans="1:17" x14ac:dyDescent="0.2">
      <c r="A1765">
        <v>1175716</v>
      </c>
      <c r="B1765">
        <v>1442</v>
      </c>
      <c r="C1765" s="1" t="s">
        <v>99</v>
      </c>
      <c r="D1765" s="11">
        <v>45035.033333333333</v>
      </c>
      <c r="E1765" t="s">
        <v>98</v>
      </c>
      <c r="F1765" t="s">
        <v>39</v>
      </c>
      <c r="G1765">
        <v>9617</v>
      </c>
      <c r="H1765" s="5" t="s">
        <v>99</v>
      </c>
      <c r="I1765" s="15">
        <v>45035</v>
      </c>
      <c r="J1765" s="15" t="s">
        <v>233</v>
      </c>
      <c r="K1765" s="6">
        <v>0.53333333333333333</v>
      </c>
      <c r="L1765" t="s">
        <v>146</v>
      </c>
      <c r="M1765">
        <v>100000</v>
      </c>
      <c r="N1765" t="s">
        <v>212</v>
      </c>
      <c r="O1765" t="s">
        <v>151</v>
      </c>
      <c r="P1765">
        <v>82</v>
      </c>
      <c r="Q1765" t="s">
        <v>156</v>
      </c>
    </row>
    <row r="1766" spans="1:17" x14ac:dyDescent="0.2">
      <c r="A1766">
        <v>1177486</v>
      </c>
      <c r="B1766">
        <v>642</v>
      </c>
      <c r="C1766" s="1" t="s">
        <v>100</v>
      </c>
      <c r="D1766" s="11">
        <v>45278.068055555559</v>
      </c>
      <c r="E1766" t="s">
        <v>97</v>
      </c>
      <c r="F1766" t="s">
        <v>53</v>
      </c>
      <c r="G1766">
        <v>2740</v>
      </c>
      <c r="H1766" s="5" t="s">
        <v>100</v>
      </c>
      <c r="I1766" s="15">
        <v>45278</v>
      </c>
      <c r="J1766" s="15" t="s">
        <v>295</v>
      </c>
      <c r="K1766" s="6">
        <v>6.805555555555555E-2</v>
      </c>
      <c r="L1766" t="s">
        <v>142</v>
      </c>
      <c r="M1766">
        <v>100000</v>
      </c>
      <c r="N1766" t="s">
        <v>207</v>
      </c>
      <c r="O1766" t="s">
        <v>152</v>
      </c>
      <c r="P1766">
        <v>32</v>
      </c>
      <c r="Q1766" t="s">
        <v>155</v>
      </c>
    </row>
    <row r="1767" spans="1:17" x14ac:dyDescent="0.2">
      <c r="A1767">
        <v>1178982</v>
      </c>
      <c r="B1767">
        <v>687</v>
      </c>
      <c r="C1767" s="1" t="s">
        <v>100</v>
      </c>
      <c r="D1767" s="11">
        <v>45044.044444444444</v>
      </c>
      <c r="E1767" t="s">
        <v>191</v>
      </c>
      <c r="F1767" t="s">
        <v>64</v>
      </c>
      <c r="G1767">
        <v>52</v>
      </c>
      <c r="H1767" s="5" t="s">
        <v>100</v>
      </c>
      <c r="I1767" s="15">
        <v>45044</v>
      </c>
      <c r="J1767" s="15" t="s">
        <v>233</v>
      </c>
      <c r="K1767" s="6">
        <v>4.4444444444444446E-2</v>
      </c>
      <c r="L1767" t="s">
        <v>143</v>
      </c>
      <c r="M1767">
        <v>100000</v>
      </c>
      <c r="N1767" t="s">
        <v>223</v>
      </c>
      <c r="O1767" t="s">
        <v>152</v>
      </c>
      <c r="P1767">
        <v>50</v>
      </c>
      <c r="Q1767" t="s">
        <v>155</v>
      </c>
    </row>
    <row r="1768" spans="1:17" x14ac:dyDescent="0.2">
      <c r="A1768">
        <v>1179872</v>
      </c>
      <c r="B1768">
        <v>323</v>
      </c>
      <c r="C1768" s="1" t="s">
        <v>100</v>
      </c>
      <c r="D1768" s="11">
        <v>45134.00277777778</v>
      </c>
      <c r="E1768" t="s">
        <v>97</v>
      </c>
      <c r="F1768" t="s">
        <v>27</v>
      </c>
      <c r="G1768">
        <v>6228</v>
      </c>
      <c r="H1768" s="5" t="s">
        <v>100</v>
      </c>
      <c r="I1768" s="15">
        <v>45134</v>
      </c>
      <c r="J1768" s="15" t="s">
        <v>234</v>
      </c>
      <c r="K1768" s="6">
        <v>0.50277777777777777</v>
      </c>
      <c r="L1768" t="s">
        <v>142</v>
      </c>
      <c r="M1768">
        <v>1000000</v>
      </c>
      <c r="N1768" t="s">
        <v>209</v>
      </c>
      <c r="O1768" t="s">
        <v>151</v>
      </c>
      <c r="P1768">
        <v>49</v>
      </c>
      <c r="Q1768" t="s">
        <v>154</v>
      </c>
    </row>
    <row r="1769" spans="1:17" x14ac:dyDescent="0.2">
      <c r="A1769">
        <v>1180153</v>
      </c>
      <c r="B1769">
        <v>873</v>
      </c>
      <c r="C1769" s="1" t="s">
        <v>102</v>
      </c>
      <c r="D1769" s="11">
        <v>45221.020138888889</v>
      </c>
      <c r="E1769" t="s">
        <v>96</v>
      </c>
      <c r="F1769" t="s">
        <v>5</v>
      </c>
      <c r="G1769">
        <v>3374</v>
      </c>
      <c r="H1769" s="5" t="s">
        <v>102</v>
      </c>
      <c r="I1769" s="15">
        <v>45221</v>
      </c>
      <c r="J1769" s="15" t="s">
        <v>295</v>
      </c>
      <c r="K1769" s="6">
        <v>0.52013888888888893</v>
      </c>
      <c r="L1769" t="s">
        <v>143</v>
      </c>
      <c r="M1769">
        <v>200000</v>
      </c>
      <c r="N1769" t="s">
        <v>198</v>
      </c>
      <c r="O1769" t="s">
        <v>151</v>
      </c>
      <c r="P1769">
        <v>75</v>
      </c>
      <c r="Q1769" t="s">
        <v>155</v>
      </c>
    </row>
    <row r="1770" spans="1:17" x14ac:dyDescent="0.2">
      <c r="A1770">
        <v>1180567</v>
      </c>
      <c r="B1770">
        <v>898</v>
      </c>
      <c r="C1770" s="1" t="s">
        <v>99</v>
      </c>
      <c r="D1770" s="11">
        <v>45178.955555555556</v>
      </c>
      <c r="E1770" t="s">
        <v>96</v>
      </c>
      <c r="F1770" t="s">
        <v>65</v>
      </c>
      <c r="G1770">
        <v>7717</v>
      </c>
      <c r="H1770" s="5" t="s">
        <v>99</v>
      </c>
      <c r="I1770" s="15">
        <v>45178</v>
      </c>
      <c r="J1770" s="15" t="s">
        <v>234</v>
      </c>
      <c r="K1770" s="6">
        <v>0.45555555555555555</v>
      </c>
      <c r="L1770" t="s">
        <v>146</v>
      </c>
      <c r="M1770">
        <v>200000</v>
      </c>
      <c r="N1770" t="s">
        <v>225</v>
      </c>
      <c r="O1770" t="s">
        <v>151</v>
      </c>
      <c r="P1770">
        <v>64</v>
      </c>
      <c r="Q1770" t="s">
        <v>155</v>
      </c>
    </row>
    <row r="1771" spans="1:17" x14ac:dyDescent="0.2">
      <c r="A1771">
        <v>1180828</v>
      </c>
      <c r="B1771">
        <v>1063</v>
      </c>
      <c r="C1771" s="1" t="s">
        <v>113</v>
      </c>
      <c r="D1771" s="11">
        <v>45114.96875</v>
      </c>
      <c r="E1771" t="s">
        <v>191</v>
      </c>
      <c r="F1771" t="s">
        <v>91</v>
      </c>
      <c r="G1771">
        <v>7190</v>
      </c>
      <c r="H1771" s="5" t="s">
        <v>113</v>
      </c>
      <c r="I1771" s="15">
        <v>45114</v>
      </c>
      <c r="J1771" s="15" t="s">
        <v>234</v>
      </c>
      <c r="K1771" s="6">
        <v>0.46875</v>
      </c>
      <c r="L1771" t="s">
        <v>142</v>
      </c>
      <c r="M1771">
        <v>100000</v>
      </c>
      <c r="N1771" t="s">
        <v>213</v>
      </c>
      <c r="O1771" t="s">
        <v>152</v>
      </c>
      <c r="P1771">
        <v>82</v>
      </c>
      <c r="Q1771" t="s">
        <v>156</v>
      </c>
    </row>
    <row r="1772" spans="1:17" x14ac:dyDescent="0.2">
      <c r="A1772">
        <v>1181602</v>
      </c>
      <c r="B1772">
        <v>683</v>
      </c>
      <c r="C1772" s="1" t="s">
        <v>101</v>
      </c>
      <c r="D1772" s="11">
        <v>45134.023611111108</v>
      </c>
      <c r="E1772" t="s">
        <v>98</v>
      </c>
      <c r="F1772" t="s">
        <v>81</v>
      </c>
      <c r="G1772">
        <v>8578</v>
      </c>
      <c r="H1772" s="5" t="s">
        <v>101</v>
      </c>
      <c r="I1772" s="15">
        <v>45134</v>
      </c>
      <c r="J1772" s="15" t="s">
        <v>234</v>
      </c>
      <c r="K1772" s="6">
        <v>0.52361111111111114</v>
      </c>
      <c r="L1772" t="s">
        <v>143</v>
      </c>
      <c r="M1772">
        <v>250000</v>
      </c>
      <c r="N1772" t="s">
        <v>221</v>
      </c>
      <c r="O1772" t="s">
        <v>152</v>
      </c>
      <c r="P1772">
        <v>47</v>
      </c>
      <c r="Q1772" t="s">
        <v>155</v>
      </c>
    </row>
    <row r="1773" spans="1:17" x14ac:dyDescent="0.2">
      <c r="A1773">
        <v>1182031</v>
      </c>
      <c r="B1773">
        <v>1569</v>
      </c>
      <c r="C1773" s="1" t="s">
        <v>105</v>
      </c>
      <c r="D1773" s="11">
        <v>45238.036111111112</v>
      </c>
      <c r="E1773" t="s">
        <v>191</v>
      </c>
      <c r="F1773" t="s">
        <v>88</v>
      </c>
      <c r="G1773">
        <v>3428</v>
      </c>
      <c r="H1773" s="5" t="s">
        <v>105</v>
      </c>
      <c r="I1773" s="15">
        <v>45238</v>
      </c>
      <c r="J1773" s="15" t="s">
        <v>295</v>
      </c>
      <c r="K1773" s="6">
        <v>0.53611111111111109</v>
      </c>
      <c r="L1773" t="s">
        <v>144</v>
      </c>
      <c r="M1773">
        <v>100000</v>
      </c>
      <c r="N1773" t="s">
        <v>200</v>
      </c>
      <c r="O1773" t="s">
        <v>152</v>
      </c>
      <c r="P1773">
        <v>20</v>
      </c>
      <c r="Q1773" t="s">
        <v>157</v>
      </c>
    </row>
    <row r="1774" spans="1:17" x14ac:dyDescent="0.2">
      <c r="A1774">
        <v>1182341</v>
      </c>
      <c r="B1774">
        <v>225</v>
      </c>
      <c r="C1774" s="1" t="s">
        <v>106</v>
      </c>
      <c r="D1774" s="11">
        <v>45262.967361111114</v>
      </c>
      <c r="E1774" t="s">
        <v>98</v>
      </c>
      <c r="F1774" t="s">
        <v>46</v>
      </c>
      <c r="G1774">
        <v>567</v>
      </c>
      <c r="H1774" s="5" t="s">
        <v>106</v>
      </c>
      <c r="I1774" s="15">
        <v>45262</v>
      </c>
      <c r="J1774" s="15" t="s">
        <v>295</v>
      </c>
      <c r="K1774" s="6">
        <v>0.46736111111111112</v>
      </c>
      <c r="L1774" t="s">
        <v>142</v>
      </c>
      <c r="M1774">
        <v>200000</v>
      </c>
      <c r="N1774" t="s">
        <v>211</v>
      </c>
      <c r="O1774" t="s">
        <v>152</v>
      </c>
      <c r="P1774">
        <v>83</v>
      </c>
      <c r="Q1774" t="s">
        <v>154</v>
      </c>
    </row>
    <row r="1775" spans="1:17" x14ac:dyDescent="0.2">
      <c r="A1775">
        <v>1182759</v>
      </c>
      <c r="B1775">
        <v>722</v>
      </c>
      <c r="C1775" s="1" t="s">
        <v>99</v>
      </c>
      <c r="D1775" s="11">
        <v>44933.04583333333</v>
      </c>
      <c r="E1775" t="s">
        <v>98</v>
      </c>
      <c r="F1775" t="s">
        <v>82</v>
      </c>
      <c r="G1775">
        <v>2645</v>
      </c>
      <c r="H1775" s="5" t="s">
        <v>99</v>
      </c>
      <c r="I1775" s="15">
        <v>44933</v>
      </c>
      <c r="J1775" s="15" t="s">
        <v>232</v>
      </c>
      <c r="K1775" s="6">
        <v>4.583333333333333E-2</v>
      </c>
      <c r="L1775" t="s">
        <v>142</v>
      </c>
      <c r="M1775">
        <v>100000</v>
      </c>
      <c r="N1775" t="s">
        <v>209</v>
      </c>
      <c r="O1775" t="s">
        <v>152</v>
      </c>
      <c r="P1775">
        <v>27</v>
      </c>
      <c r="Q1775" t="s">
        <v>155</v>
      </c>
    </row>
    <row r="1776" spans="1:17" x14ac:dyDescent="0.2">
      <c r="A1776">
        <v>1182819</v>
      </c>
      <c r="B1776">
        <v>562</v>
      </c>
      <c r="C1776" s="1" t="s">
        <v>106</v>
      </c>
      <c r="D1776" s="11">
        <v>45161.976388888892</v>
      </c>
      <c r="E1776" t="s">
        <v>191</v>
      </c>
      <c r="F1776" t="s">
        <v>90</v>
      </c>
      <c r="G1776">
        <v>7031</v>
      </c>
      <c r="H1776" s="5" t="s">
        <v>106</v>
      </c>
      <c r="I1776" s="15">
        <v>45161</v>
      </c>
      <c r="J1776" s="15" t="s">
        <v>234</v>
      </c>
      <c r="K1776" s="6">
        <v>0.47638888888888886</v>
      </c>
      <c r="L1776" t="s">
        <v>142</v>
      </c>
      <c r="M1776">
        <v>150000</v>
      </c>
      <c r="N1776" t="s">
        <v>208</v>
      </c>
      <c r="O1776" t="s">
        <v>152</v>
      </c>
      <c r="P1776">
        <v>75</v>
      </c>
      <c r="Q1776" t="s">
        <v>155</v>
      </c>
    </row>
    <row r="1777" spans="1:17" x14ac:dyDescent="0.2">
      <c r="A1777">
        <v>1182826</v>
      </c>
      <c r="B1777">
        <v>1439</v>
      </c>
      <c r="C1777" s="1" t="s">
        <v>105</v>
      </c>
      <c r="D1777" s="11">
        <v>45239.998611111114</v>
      </c>
      <c r="E1777" t="s">
        <v>98</v>
      </c>
      <c r="F1777" t="s">
        <v>43</v>
      </c>
      <c r="G1777">
        <v>3629</v>
      </c>
      <c r="H1777" s="5" t="s">
        <v>105</v>
      </c>
      <c r="I1777" s="15">
        <v>45239</v>
      </c>
      <c r="J1777" s="15" t="s">
        <v>295</v>
      </c>
      <c r="K1777" s="6">
        <v>0.49861111111111112</v>
      </c>
      <c r="L1777" t="s">
        <v>145</v>
      </c>
      <c r="M1777">
        <v>1000000</v>
      </c>
      <c r="N1777" t="s">
        <v>203</v>
      </c>
      <c r="O1777" t="s">
        <v>151</v>
      </c>
      <c r="P1777">
        <v>40</v>
      </c>
      <c r="Q1777" t="s">
        <v>156</v>
      </c>
    </row>
    <row r="1778" spans="1:17" x14ac:dyDescent="0.2">
      <c r="A1778">
        <v>1183427</v>
      </c>
      <c r="B1778">
        <v>857</v>
      </c>
      <c r="C1778" s="1" t="s">
        <v>99</v>
      </c>
      <c r="D1778" s="11">
        <v>44962.940972222219</v>
      </c>
      <c r="E1778" t="s">
        <v>98</v>
      </c>
      <c r="F1778" t="s">
        <v>44</v>
      </c>
      <c r="G1778">
        <v>3095</v>
      </c>
      <c r="H1778" s="5" t="s">
        <v>99</v>
      </c>
      <c r="I1778" s="15">
        <v>44962</v>
      </c>
      <c r="J1778" s="15" t="s">
        <v>232</v>
      </c>
      <c r="K1778" s="6">
        <v>0.44097222222222221</v>
      </c>
      <c r="L1778" t="s">
        <v>144</v>
      </c>
      <c r="M1778">
        <v>150000</v>
      </c>
      <c r="N1778" t="s">
        <v>199</v>
      </c>
      <c r="O1778" t="s">
        <v>152</v>
      </c>
      <c r="P1778">
        <v>34</v>
      </c>
      <c r="Q1778" t="s">
        <v>155</v>
      </c>
    </row>
    <row r="1779" spans="1:17" x14ac:dyDescent="0.2">
      <c r="A1779">
        <v>1184082</v>
      </c>
      <c r="B1779">
        <v>312</v>
      </c>
      <c r="C1779" s="1" t="s">
        <v>107</v>
      </c>
      <c r="D1779" s="11">
        <v>44971.039583333331</v>
      </c>
      <c r="E1779" t="s">
        <v>96</v>
      </c>
      <c r="F1779" t="s">
        <v>78</v>
      </c>
      <c r="G1779">
        <v>734</v>
      </c>
      <c r="H1779" s="5" t="s">
        <v>107</v>
      </c>
      <c r="I1779" s="15">
        <v>44971</v>
      </c>
      <c r="J1779" s="15" t="s">
        <v>232</v>
      </c>
      <c r="K1779" s="6">
        <v>0.5395833333333333</v>
      </c>
      <c r="L1779" t="s">
        <v>143</v>
      </c>
      <c r="M1779">
        <v>200000</v>
      </c>
      <c r="N1779" t="s">
        <v>215</v>
      </c>
      <c r="O1779" t="s">
        <v>151</v>
      </c>
      <c r="P1779">
        <v>38</v>
      </c>
      <c r="Q1779" t="s">
        <v>154</v>
      </c>
    </row>
    <row r="1780" spans="1:17" x14ac:dyDescent="0.2">
      <c r="A1780">
        <v>1185440</v>
      </c>
      <c r="B1780">
        <v>1509</v>
      </c>
      <c r="C1780" s="1" t="s">
        <v>99</v>
      </c>
      <c r="D1780" s="11">
        <v>44958.011805555558</v>
      </c>
      <c r="E1780" t="s">
        <v>97</v>
      </c>
      <c r="F1780" t="s">
        <v>56</v>
      </c>
      <c r="G1780">
        <v>2567</v>
      </c>
      <c r="H1780" s="5" t="s">
        <v>99</v>
      </c>
      <c r="I1780" s="15">
        <v>44958</v>
      </c>
      <c r="J1780" s="15" t="s">
        <v>232</v>
      </c>
      <c r="K1780" s="6">
        <v>0.51180555555555551</v>
      </c>
      <c r="L1780" t="s">
        <v>146</v>
      </c>
      <c r="M1780">
        <v>50000</v>
      </c>
      <c r="N1780" t="s">
        <v>220</v>
      </c>
      <c r="O1780" t="s">
        <v>151</v>
      </c>
      <c r="P1780">
        <v>31</v>
      </c>
      <c r="Q1780" t="s">
        <v>157</v>
      </c>
    </row>
    <row r="1781" spans="1:17" x14ac:dyDescent="0.2">
      <c r="A1781">
        <v>1186707</v>
      </c>
      <c r="B1781">
        <v>1512</v>
      </c>
      <c r="C1781" s="1" t="s">
        <v>108</v>
      </c>
      <c r="D1781" s="11">
        <v>44968.01458333333</v>
      </c>
      <c r="E1781" t="s">
        <v>98</v>
      </c>
      <c r="F1781" t="s">
        <v>34</v>
      </c>
      <c r="G1781">
        <v>2061</v>
      </c>
      <c r="H1781" s="5" t="s">
        <v>108</v>
      </c>
      <c r="I1781" s="15">
        <v>44968</v>
      </c>
      <c r="J1781" s="15" t="s">
        <v>232</v>
      </c>
      <c r="K1781" s="6">
        <v>0.51458333333333328</v>
      </c>
      <c r="L1781" t="s">
        <v>144</v>
      </c>
      <c r="M1781">
        <v>150000</v>
      </c>
      <c r="N1781" t="s">
        <v>218</v>
      </c>
      <c r="O1781" t="s">
        <v>152</v>
      </c>
      <c r="P1781">
        <v>28</v>
      </c>
      <c r="Q1781" t="s">
        <v>157</v>
      </c>
    </row>
    <row r="1782" spans="1:17" x14ac:dyDescent="0.2">
      <c r="A1782">
        <v>1188487</v>
      </c>
      <c r="B1782">
        <v>526</v>
      </c>
      <c r="C1782" s="1" t="s">
        <v>99</v>
      </c>
      <c r="D1782" s="11">
        <v>45276.077777777777</v>
      </c>
      <c r="E1782" t="s">
        <v>98</v>
      </c>
      <c r="F1782" t="s">
        <v>87</v>
      </c>
      <c r="G1782">
        <v>2527</v>
      </c>
      <c r="H1782" s="5" t="s">
        <v>99</v>
      </c>
      <c r="I1782" s="15">
        <v>45276</v>
      </c>
      <c r="J1782" s="15" t="s">
        <v>295</v>
      </c>
      <c r="K1782" s="6">
        <v>7.7777777777777779E-2</v>
      </c>
      <c r="L1782" t="s">
        <v>144</v>
      </c>
      <c r="M1782">
        <v>100000</v>
      </c>
      <c r="N1782" t="s">
        <v>216</v>
      </c>
      <c r="O1782" t="s">
        <v>151</v>
      </c>
      <c r="P1782">
        <v>49</v>
      </c>
      <c r="Q1782" t="s">
        <v>155</v>
      </c>
    </row>
    <row r="1783" spans="1:17" x14ac:dyDescent="0.2">
      <c r="A1783">
        <v>1189460</v>
      </c>
      <c r="B1783">
        <v>1181</v>
      </c>
      <c r="C1783" s="1" t="s">
        <v>106</v>
      </c>
      <c r="D1783" s="11">
        <v>45110.019444444442</v>
      </c>
      <c r="E1783" t="s">
        <v>97</v>
      </c>
      <c r="F1783" t="s">
        <v>78</v>
      </c>
      <c r="G1783">
        <v>4527</v>
      </c>
      <c r="H1783" s="5" t="s">
        <v>106</v>
      </c>
      <c r="I1783" s="15">
        <v>45110</v>
      </c>
      <c r="J1783" s="15" t="s">
        <v>234</v>
      </c>
      <c r="K1783" s="6">
        <v>0.51944444444444449</v>
      </c>
      <c r="L1783" t="s">
        <v>143</v>
      </c>
      <c r="M1783">
        <v>200000</v>
      </c>
      <c r="N1783" t="s">
        <v>215</v>
      </c>
      <c r="O1783" t="s">
        <v>152</v>
      </c>
      <c r="P1783">
        <v>68</v>
      </c>
      <c r="Q1783" t="s">
        <v>156</v>
      </c>
    </row>
    <row r="1784" spans="1:17" x14ac:dyDescent="0.2">
      <c r="A1784">
        <v>1189996</v>
      </c>
      <c r="B1784">
        <v>522</v>
      </c>
      <c r="C1784" s="1" t="s">
        <v>99</v>
      </c>
      <c r="D1784" s="11">
        <v>45264.015277777777</v>
      </c>
      <c r="E1784" t="s">
        <v>97</v>
      </c>
      <c r="F1784" t="s">
        <v>27</v>
      </c>
      <c r="G1784">
        <v>4719</v>
      </c>
      <c r="H1784" s="5" t="s">
        <v>99</v>
      </c>
      <c r="I1784" s="15">
        <v>45264</v>
      </c>
      <c r="J1784" s="15" t="s">
        <v>295</v>
      </c>
      <c r="K1784" s="6">
        <v>0.51527777777777772</v>
      </c>
      <c r="L1784" t="s">
        <v>142</v>
      </c>
      <c r="M1784">
        <v>1000000</v>
      </c>
      <c r="N1784" t="s">
        <v>209</v>
      </c>
      <c r="O1784" t="s">
        <v>152</v>
      </c>
      <c r="P1784">
        <v>77</v>
      </c>
      <c r="Q1784" t="s">
        <v>155</v>
      </c>
    </row>
    <row r="1785" spans="1:17" x14ac:dyDescent="0.2">
      <c r="A1785">
        <v>1190330</v>
      </c>
      <c r="B1785">
        <v>1176</v>
      </c>
      <c r="C1785" s="1" t="s">
        <v>99</v>
      </c>
      <c r="D1785" s="11">
        <v>45033.018055555556</v>
      </c>
      <c r="E1785" t="s">
        <v>191</v>
      </c>
      <c r="F1785" t="s">
        <v>69</v>
      </c>
      <c r="G1785">
        <v>5495</v>
      </c>
      <c r="H1785" s="5" t="s">
        <v>99</v>
      </c>
      <c r="I1785" s="15">
        <v>45033</v>
      </c>
      <c r="J1785" s="15" t="s">
        <v>233</v>
      </c>
      <c r="K1785" s="6">
        <v>0.5180555555555556</v>
      </c>
      <c r="L1785" t="s">
        <v>146</v>
      </c>
      <c r="M1785">
        <v>250000</v>
      </c>
      <c r="N1785" t="s">
        <v>225</v>
      </c>
      <c r="O1785" t="s">
        <v>152</v>
      </c>
      <c r="P1785">
        <v>89</v>
      </c>
      <c r="Q1785" t="s">
        <v>156</v>
      </c>
    </row>
    <row r="1786" spans="1:17" x14ac:dyDescent="0.2">
      <c r="A1786">
        <v>1190887</v>
      </c>
      <c r="B1786">
        <v>942</v>
      </c>
      <c r="C1786" s="1" t="s">
        <v>99</v>
      </c>
      <c r="D1786" s="11">
        <v>44965.015972222223</v>
      </c>
      <c r="E1786" t="s">
        <v>98</v>
      </c>
      <c r="F1786" t="s">
        <v>26</v>
      </c>
      <c r="G1786">
        <v>2060</v>
      </c>
      <c r="H1786" s="5" t="s">
        <v>99</v>
      </c>
      <c r="I1786" s="15">
        <v>44965</v>
      </c>
      <c r="J1786" s="15" t="s">
        <v>232</v>
      </c>
      <c r="K1786" s="6">
        <v>0.51597222222222228</v>
      </c>
      <c r="L1786" t="s">
        <v>145</v>
      </c>
      <c r="M1786">
        <v>100000</v>
      </c>
      <c r="N1786" t="s">
        <v>210</v>
      </c>
      <c r="O1786" t="s">
        <v>152</v>
      </c>
      <c r="P1786">
        <v>72</v>
      </c>
      <c r="Q1786" t="s">
        <v>155</v>
      </c>
    </row>
    <row r="1787" spans="1:17" x14ac:dyDescent="0.2">
      <c r="A1787">
        <v>1191785</v>
      </c>
      <c r="B1787">
        <v>1364</v>
      </c>
      <c r="C1787" s="1" t="s">
        <v>100</v>
      </c>
      <c r="D1787" s="11">
        <v>45247.998611111114</v>
      </c>
      <c r="E1787" t="s">
        <v>191</v>
      </c>
      <c r="F1787" t="s">
        <v>27</v>
      </c>
      <c r="G1787">
        <v>8977</v>
      </c>
      <c r="H1787" s="5" t="s">
        <v>100</v>
      </c>
      <c r="I1787" s="15">
        <v>45247</v>
      </c>
      <c r="J1787" s="15" t="s">
        <v>295</v>
      </c>
      <c r="K1787" s="6">
        <v>0.49861111111111112</v>
      </c>
      <c r="L1787" t="s">
        <v>142</v>
      </c>
      <c r="M1787">
        <v>1000000</v>
      </c>
      <c r="N1787" t="s">
        <v>209</v>
      </c>
      <c r="O1787" t="s">
        <v>151</v>
      </c>
      <c r="P1787">
        <v>82</v>
      </c>
      <c r="Q1787" t="s">
        <v>156</v>
      </c>
    </row>
    <row r="1788" spans="1:17" x14ac:dyDescent="0.2">
      <c r="A1788">
        <v>1192105</v>
      </c>
      <c r="B1788">
        <v>1143</v>
      </c>
      <c r="C1788" s="1" t="s">
        <v>107</v>
      </c>
      <c r="D1788" s="11">
        <v>44957.99722222222</v>
      </c>
      <c r="E1788" t="s">
        <v>191</v>
      </c>
      <c r="F1788" t="s">
        <v>81</v>
      </c>
      <c r="G1788">
        <v>2021</v>
      </c>
      <c r="H1788" s="5" t="s">
        <v>107</v>
      </c>
      <c r="I1788" s="15">
        <v>44957</v>
      </c>
      <c r="J1788" s="15" t="s">
        <v>232</v>
      </c>
      <c r="K1788" s="6">
        <v>0.49722222222222223</v>
      </c>
      <c r="L1788" t="s">
        <v>143</v>
      </c>
      <c r="M1788">
        <v>250000</v>
      </c>
      <c r="N1788" t="s">
        <v>221</v>
      </c>
      <c r="O1788" t="s">
        <v>151</v>
      </c>
      <c r="P1788">
        <v>59</v>
      </c>
      <c r="Q1788" t="s">
        <v>156</v>
      </c>
    </row>
    <row r="1789" spans="1:17" x14ac:dyDescent="0.2">
      <c r="A1789">
        <v>1194493</v>
      </c>
      <c r="B1789">
        <v>600</v>
      </c>
      <c r="C1789" s="1" t="s">
        <v>99</v>
      </c>
      <c r="D1789" s="11">
        <v>45110.009027777778</v>
      </c>
      <c r="E1789" t="s">
        <v>96</v>
      </c>
      <c r="F1789" t="s">
        <v>88</v>
      </c>
      <c r="G1789">
        <v>3567</v>
      </c>
      <c r="H1789" s="5" t="s">
        <v>99</v>
      </c>
      <c r="I1789" s="15">
        <v>45110</v>
      </c>
      <c r="J1789" s="15" t="s">
        <v>234</v>
      </c>
      <c r="K1789" s="6">
        <v>0.50902777777777775</v>
      </c>
      <c r="L1789" t="s">
        <v>144</v>
      </c>
      <c r="M1789">
        <v>100000</v>
      </c>
      <c r="N1789" t="s">
        <v>200</v>
      </c>
      <c r="O1789" t="s">
        <v>151</v>
      </c>
      <c r="P1789">
        <v>77</v>
      </c>
      <c r="Q1789" t="s">
        <v>155</v>
      </c>
    </row>
    <row r="1790" spans="1:17" x14ac:dyDescent="0.2">
      <c r="A1790">
        <v>1196110</v>
      </c>
      <c r="B1790">
        <v>1746</v>
      </c>
      <c r="C1790" s="1" t="s">
        <v>107</v>
      </c>
      <c r="D1790" s="11">
        <v>45012.018750000003</v>
      </c>
      <c r="E1790" t="s">
        <v>96</v>
      </c>
      <c r="F1790" t="s">
        <v>43</v>
      </c>
      <c r="G1790">
        <v>4222</v>
      </c>
      <c r="H1790" s="5" t="s">
        <v>107</v>
      </c>
      <c r="I1790" s="15">
        <v>45012</v>
      </c>
      <c r="J1790" s="15" t="s">
        <v>232</v>
      </c>
      <c r="K1790" s="6">
        <v>0.51875000000000004</v>
      </c>
      <c r="L1790" t="s">
        <v>145</v>
      </c>
      <c r="M1790">
        <v>1000000</v>
      </c>
      <c r="N1790" t="s">
        <v>203</v>
      </c>
      <c r="O1790" t="s">
        <v>151</v>
      </c>
      <c r="P1790">
        <v>66</v>
      </c>
      <c r="Q1790" t="s">
        <v>157</v>
      </c>
    </row>
    <row r="1791" spans="1:17" x14ac:dyDescent="0.2">
      <c r="A1791">
        <v>1197422</v>
      </c>
      <c r="B1791">
        <v>960</v>
      </c>
      <c r="C1791" s="1" t="s">
        <v>99</v>
      </c>
      <c r="D1791" s="11">
        <v>45284.989583333336</v>
      </c>
      <c r="E1791" t="s">
        <v>97</v>
      </c>
      <c r="F1791" t="s">
        <v>27</v>
      </c>
      <c r="G1791">
        <v>6726</v>
      </c>
      <c r="H1791" s="5" t="s">
        <v>99</v>
      </c>
      <c r="I1791" s="15">
        <v>45284</v>
      </c>
      <c r="J1791" s="15" t="s">
        <v>295</v>
      </c>
      <c r="K1791" s="6">
        <v>0.48958333333333331</v>
      </c>
      <c r="L1791" t="s">
        <v>142</v>
      </c>
      <c r="M1791">
        <v>1000000</v>
      </c>
      <c r="N1791" t="s">
        <v>209</v>
      </c>
      <c r="O1791" t="s">
        <v>152</v>
      </c>
      <c r="P1791">
        <v>69</v>
      </c>
      <c r="Q1791" t="s">
        <v>155</v>
      </c>
    </row>
    <row r="1792" spans="1:17" x14ac:dyDescent="0.2">
      <c r="A1792">
        <v>1197876</v>
      </c>
      <c r="B1792">
        <v>1148</v>
      </c>
      <c r="C1792" s="1" t="s">
        <v>102</v>
      </c>
      <c r="D1792" s="11">
        <v>45263.023611111108</v>
      </c>
      <c r="E1792" t="s">
        <v>96</v>
      </c>
      <c r="F1792" t="s">
        <v>65</v>
      </c>
      <c r="G1792">
        <v>6055</v>
      </c>
      <c r="H1792" s="5" t="s">
        <v>102</v>
      </c>
      <c r="I1792" s="15">
        <v>45263</v>
      </c>
      <c r="J1792" s="15" t="s">
        <v>295</v>
      </c>
      <c r="K1792" s="6">
        <v>0.52361111111111114</v>
      </c>
      <c r="L1792" t="s">
        <v>146</v>
      </c>
      <c r="M1792">
        <v>200000</v>
      </c>
      <c r="N1792" t="s">
        <v>225</v>
      </c>
      <c r="O1792" t="s">
        <v>152</v>
      </c>
      <c r="P1792">
        <v>53</v>
      </c>
      <c r="Q1792" t="s">
        <v>156</v>
      </c>
    </row>
    <row r="1793" spans="1:17" x14ac:dyDescent="0.2">
      <c r="A1793">
        <v>1198103</v>
      </c>
      <c r="B1793">
        <v>485</v>
      </c>
      <c r="C1793" s="1" t="s">
        <v>100</v>
      </c>
      <c r="D1793" s="11">
        <v>45009.080555555556</v>
      </c>
      <c r="E1793" t="s">
        <v>97</v>
      </c>
      <c r="F1793" t="s">
        <v>24</v>
      </c>
      <c r="G1793">
        <v>1994</v>
      </c>
      <c r="H1793" s="5" t="s">
        <v>100</v>
      </c>
      <c r="I1793" s="15">
        <v>45009</v>
      </c>
      <c r="J1793" s="15" t="s">
        <v>232</v>
      </c>
      <c r="K1793" s="6">
        <v>8.0555555555555561E-2</v>
      </c>
      <c r="L1793" t="s">
        <v>143</v>
      </c>
      <c r="M1793">
        <v>200000</v>
      </c>
      <c r="N1793" t="s">
        <v>214</v>
      </c>
      <c r="O1793" t="s">
        <v>151</v>
      </c>
      <c r="P1793">
        <v>19</v>
      </c>
      <c r="Q1793" t="s">
        <v>154</v>
      </c>
    </row>
    <row r="1794" spans="1:17" x14ac:dyDescent="0.2">
      <c r="A1794">
        <v>1198240</v>
      </c>
      <c r="B1794">
        <v>1548</v>
      </c>
      <c r="C1794" s="1" t="s">
        <v>100</v>
      </c>
      <c r="D1794" s="11">
        <v>45161.078472222223</v>
      </c>
      <c r="E1794" t="s">
        <v>191</v>
      </c>
      <c r="F1794" t="s">
        <v>49</v>
      </c>
      <c r="G1794">
        <v>1736</v>
      </c>
      <c r="H1794" s="5" t="s">
        <v>100</v>
      </c>
      <c r="I1794" s="15">
        <v>45161</v>
      </c>
      <c r="J1794" s="15" t="s">
        <v>234</v>
      </c>
      <c r="K1794" s="6">
        <v>7.8472222222222221E-2</v>
      </c>
      <c r="L1794" t="s">
        <v>146</v>
      </c>
      <c r="M1794">
        <v>100000</v>
      </c>
      <c r="N1794" t="s">
        <v>222</v>
      </c>
      <c r="O1794" t="s">
        <v>151</v>
      </c>
      <c r="P1794">
        <v>46</v>
      </c>
      <c r="Q1794" t="s">
        <v>157</v>
      </c>
    </row>
    <row r="1795" spans="1:17" x14ac:dyDescent="0.2">
      <c r="A1795">
        <v>1198743</v>
      </c>
      <c r="B1795">
        <v>782</v>
      </c>
      <c r="C1795" s="1" t="s">
        <v>99</v>
      </c>
      <c r="D1795" s="11">
        <v>45108.045138888891</v>
      </c>
      <c r="E1795" t="s">
        <v>97</v>
      </c>
      <c r="F1795" t="s">
        <v>71</v>
      </c>
      <c r="G1795">
        <v>2152</v>
      </c>
      <c r="H1795" s="5" t="s">
        <v>99</v>
      </c>
      <c r="I1795" s="15">
        <v>45108</v>
      </c>
      <c r="J1795" s="15" t="s">
        <v>234</v>
      </c>
      <c r="K1795" s="6">
        <v>4.5138888888888888E-2</v>
      </c>
      <c r="L1795" t="s">
        <v>145</v>
      </c>
      <c r="M1795">
        <v>150000</v>
      </c>
      <c r="N1795" t="s">
        <v>226</v>
      </c>
      <c r="O1795" t="s">
        <v>152</v>
      </c>
      <c r="P1795">
        <v>74</v>
      </c>
      <c r="Q1795" t="s">
        <v>155</v>
      </c>
    </row>
    <row r="1796" spans="1:17" x14ac:dyDescent="0.2">
      <c r="A1796">
        <v>1199289</v>
      </c>
      <c r="B1796">
        <v>228</v>
      </c>
      <c r="C1796" s="1" t="s">
        <v>100</v>
      </c>
      <c r="D1796" s="11">
        <v>45093.047222222223</v>
      </c>
      <c r="E1796" t="s">
        <v>98</v>
      </c>
      <c r="F1796" t="s">
        <v>43</v>
      </c>
      <c r="G1796">
        <v>1078</v>
      </c>
      <c r="H1796" s="5" t="s">
        <v>100</v>
      </c>
      <c r="I1796" s="15">
        <v>45093</v>
      </c>
      <c r="J1796" s="15" t="s">
        <v>233</v>
      </c>
      <c r="K1796" s="6">
        <v>4.7222222222222221E-2</v>
      </c>
      <c r="L1796" t="s">
        <v>145</v>
      </c>
      <c r="M1796">
        <v>1000000</v>
      </c>
      <c r="N1796" t="s">
        <v>203</v>
      </c>
      <c r="O1796" t="s">
        <v>152</v>
      </c>
      <c r="P1796">
        <v>34</v>
      </c>
      <c r="Q1796" t="s">
        <v>154</v>
      </c>
    </row>
    <row r="1797" spans="1:17" x14ac:dyDescent="0.2">
      <c r="A1797">
        <v>1200718</v>
      </c>
      <c r="B1797">
        <v>1963</v>
      </c>
      <c r="C1797" s="1" t="s">
        <v>101</v>
      </c>
      <c r="D1797" s="11">
        <v>45195.03125</v>
      </c>
      <c r="E1797" t="s">
        <v>97</v>
      </c>
      <c r="F1797" t="s">
        <v>45</v>
      </c>
      <c r="G1797">
        <v>8488</v>
      </c>
      <c r="H1797" s="5" t="s">
        <v>101</v>
      </c>
      <c r="I1797" s="15">
        <v>45195</v>
      </c>
      <c r="J1797" s="15" t="s">
        <v>234</v>
      </c>
      <c r="K1797" s="6">
        <v>0.53125</v>
      </c>
      <c r="L1797" t="s">
        <v>142</v>
      </c>
      <c r="M1797">
        <v>100000</v>
      </c>
      <c r="N1797" t="s">
        <v>197</v>
      </c>
      <c r="O1797" t="s">
        <v>152</v>
      </c>
      <c r="P1797">
        <v>25</v>
      </c>
      <c r="Q1797" t="s">
        <v>157</v>
      </c>
    </row>
    <row r="1798" spans="1:17" x14ac:dyDescent="0.2">
      <c r="A1798">
        <v>1201138</v>
      </c>
      <c r="B1798">
        <v>1342</v>
      </c>
      <c r="C1798" s="1" t="s">
        <v>99</v>
      </c>
      <c r="D1798" s="11">
        <v>44999.039583333331</v>
      </c>
      <c r="E1798" t="s">
        <v>98</v>
      </c>
      <c r="F1798" t="s">
        <v>58</v>
      </c>
      <c r="G1798">
        <v>6081</v>
      </c>
      <c r="H1798" s="5" t="s">
        <v>99</v>
      </c>
      <c r="I1798" s="15">
        <v>44999</v>
      </c>
      <c r="J1798" s="15" t="s">
        <v>232</v>
      </c>
      <c r="K1798" s="6">
        <v>0.5395833333333333</v>
      </c>
      <c r="L1798" t="s">
        <v>143</v>
      </c>
      <c r="M1798">
        <v>80000</v>
      </c>
      <c r="N1798" t="s">
        <v>214</v>
      </c>
      <c r="O1798" t="s">
        <v>151</v>
      </c>
      <c r="P1798">
        <v>24</v>
      </c>
      <c r="Q1798" t="s">
        <v>156</v>
      </c>
    </row>
    <row r="1799" spans="1:17" x14ac:dyDescent="0.2">
      <c r="A1799">
        <v>1201156</v>
      </c>
      <c r="B1799">
        <v>1931</v>
      </c>
      <c r="C1799" s="1" t="s">
        <v>99</v>
      </c>
      <c r="D1799" s="11">
        <v>45047.043055555558</v>
      </c>
      <c r="E1799" t="s">
        <v>98</v>
      </c>
      <c r="F1799" t="s">
        <v>47</v>
      </c>
      <c r="G1799">
        <v>2329</v>
      </c>
      <c r="H1799" s="5" t="s">
        <v>99</v>
      </c>
      <c r="I1799" s="15">
        <v>45047</v>
      </c>
      <c r="J1799" s="15" t="s">
        <v>233</v>
      </c>
      <c r="K1799" s="6">
        <v>4.3055555555555555E-2</v>
      </c>
      <c r="L1799" t="s">
        <v>144</v>
      </c>
      <c r="M1799">
        <v>100000</v>
      </c>
      <c r="N1799" t="s">
        <v>218</v>
      </c>
      <c r="O1799" t="s">
        <v>152</v>
      </c>
      <c r="P1799">
        <v>76</v>
      </c>
      <c r="Q1799" t="s">
        <v>157</v>
      </c>
    </row>
    <row r="1800" spans="1:17" x14ac:dyDescent="0.2">
      <c r="A1800">
        <v>1202375</v>
      </c>
      <c r="B1800">
        <v>1662</v>
      </c>
      <c r="C1800" s="1" t="s">
        <v>101</v>
      </c>
      <c r="D1800" s="11">
        <v>44970.052777777775</v>
      </c>
      <c r="E1800" t="s">
        <v>191</v>
      </c>
      <c r="F1800" t="s">
        <v>44</v>
      </c>
      <c r="G1800">
        <v>2832</v>
      </c>
      <c r="H1800" s="5" t="s">
        <v>101</v>
      </c>
      <c r="I1800" s="15">
        <v>44970</v>
      </c>
      <c r="J1800" s="15" t="s">
        <v>232</v>
      </c>
      <c r="K1800" s="6">
        <v>5.2777777777777778E-2</v>
      </c>
      <c r="L1800" t="s">
        <v>144</v>
      </c>
      <c r="M1800">
        <v>150000</v>
      </c>
      <c r="N1800" t="s">
        <v>199</v>
      </c>
      <c r="O1800" t="s">
        <v>152</v>
      </c>
      <c r="P1800">
        <v>25</v>
      </c>
      <c r="Q1800" t="s">
        <v>157</v>
      </c>
    </row>
    <row r="1801" spans="1:17" x14ac:dyDescent="0.2">
      <c r="A1801">
        <v>1202392</v>
      </c>
      <c r="B1801">
        <v>344</v>
      </c>
      <c r="C1801" s="1" t="s">
        <v>102</v>
      </c>
      <c r="D1801" s="11">
        <v>45230.00277777778</v>
      </c>
      <c r="E1801" t="s">
        <v>98</v>
      </c>
      <c r="F1801" t="s">
        <v>11</v>
      </c>
      <c r="G1801">
        <v>8051</v>
      </c>
      <c r="H1801" s="5" t="s">
        <v>102</v>
      </c>
      <c r="I1801" s="15">
        <v>45230</v>
      </c>
      <c r="J1801" s="15" t="s">
        <v>295</v>
      </c>
      <c r="K1801" s="6">
        <v>0.50277777777777777</v>
      </c>
      <c r="L1801" t="s">
        <v>143</v>
      </c>
      <c r="M1801">
        <v>150000</v>
      </c>
      <c r="N1801" t="s">
        <v>204</v>
      </c>
      <c r="O1801" t="s">
        <v>152</v>
      </c>
      <c r="P1801">
        <v>84</v>
      </c>
      <c r="Q1801" t="s">
        <v>154</v>
      </c>
    </row>
    <row r="1802" spans="1:17" x14ac:dyDescent="0.2">
      <c r="A1802">
        <v>1203146</v>
      </c>
      <c r="B1802">
        <v>1172</v>
      </c>
      <c r="C1802" s="1" t="s">
        <v>101</v>
      </c>
      <c r="D1802" s="11">
        <v>45239.021527777775</v>
      </c>
      <c r="E1802" t="s">
        <v>97</v>
      </c>
      <c r="F1802" t="s">
        <v>27</v>
      </c>
      <c r="G1802">
        <v>6152</v>
      </c>
      <c r="H1802" s="5" t="s">
        <v>101</v>
      </c>
      <c r="I1802" s="15">
        <v>45239</v>
      </c>
      <c r="J1802" s="15" t="s">
        <v>295</v>
      </c>
      <c r="K1802" s="6">
        <v>0.52152777777777781</v>
      </c>
      <c r="L1802" t="s">
        <v>142</v>
      </c>
      <c r="M1802">
        <v>1000000</v>
      </c>
      <c r="N1802" t="s">
        <v>209</v>
      </c>
      <c r="O1802" t="s">
        <v>152</v>
      </c>
      <c r="P1802">
        <v>23</v>
      </c>
      <c r="Q1802" t="s">
        <v>156</v>
      </c>
    </row>
    <row r="1803" spans="1:17" x14ac:dyDescent="0.2">
      <c r="A1803">
        <v>1203312</v>
      </c>
      <c r="B1803">
        <v>1047</v>
      </c>
      <c r="C1803" s="1" t="s">
        <v>107</v>
      </c>
      <c r="D1803" s="11">
        <v>44938.995833333334</v>
      </c>
      <c r="E1803" t="s">
        <v>98</v>
      </c>
      <c r="F1803" t="s">
        <v>27</v>
      </c>
      <c r="G1803">
        <v>5488</v>
      </c>
      <c r="H1803" s="5" t="s">
        <v>107</v>
      </c>
      <c r="I1803" s="15">
        <v>44938</v>
      </c>
      <c r="J1803" s="15" t="s">
        <v>232</v>
      </c>
      <c r="K1803" s="6">
        <v>0.49583333333333335</v>
      </c>
      <c r="L1803" t="s">
        <v>142</v>
      </c>
      <c r="M1803">
        <v>1000000</v>
      </c>
      <c r="N1803" t="s">
        <v>209</v>
      </c>
      <c r="O1803" t="s">
        <v>152</v>
      </c>
      <c r="P1803">
        <v>20</v>
      </c>
      <c r="Q1803" t="s">
        <v>156</v>
      </c>
    </row>
    <row r="1804" spans="1:17" x14ac:dyDescent="0.2">
      <c r="A1804">
        <v>1204548</v>
      </c>
      <c r="B1804">
        <v>1467</v>
      </c>
      <c r="C1804" s="1" t="s">
        <v>99</v>
      </c>
      <c r="D1804" s="11">
        <v>45118.982638888891</v>
      </c>
      <c r="E1804" t="s">
        <v>191</v>
      </c>
      <c r="F1804" t="s">
        <v>73</v>
      </c>
      <c r="G1804">
        <v>5832</v>
      </c>
      <c r="H1804" s="5" t="s">
        <v>99</v>
      </c>
      <c r="I1804" s="15">
        <v>45118</v>
      </c>
      <c r="J1804" s="15" t="s">
        <v>234</v>
      </c>
      <c r="K1804" s="6">
        <v>0.4826388888888889</v>
      </c>
      <c r="L1804" t="s">
        <v>146</v>
      </c>
      <c r="M1804">
        <v>150000</v>
      </c>
      <c r="N1804" t="s">
        <v>222</v>
      </c>
      <c r="O1804" t="s">
        <v>152</v>
      </c>
      <c r="P1804">
        <v>18</v>
      </c>
      <c r="Q1804" t="s">
        <v>156</v>
      </c>
    </row>
    <row r="1805" spans="1:17" x14ac:dyDescent="0.2">
      <c r="A1805">
        <v>1205050</v>
      </c>
      <c r="B1805">
        <v>1695</v>
      </c>
      <c r="C1805" s="1" t="s">
        <v>105</v>
      </c>
      <c r="D1805" s="11">
        <v>45119.024305555555</v>
      </c>
      <c r="E1805" t="s">
        <v>96</v>
      </c>
      <c r="F1805" t="s">
        <v>64</v>
      </c>
      <c r="G1805">
        <v>9562</v>
      </c>
      <c r="H1805" s="5" t="s">
        <v>105</v>
      </c>
      <c r="I1805" s="15">
        <v>45119</v>
      </c>
      <c r="J1805" s="15" t="s">
        <v>234</v>
      </c>
      <c r="K1805" s="6">
        <v>0.52430555555555558</v>
      </c>
      <c r="L1805" t="s">
        <v>143</v>
      </c>
      <c r="M1805">
        <v>100000</v>
      </c>
      <c r="N1805" t="s">
        <v>223</v>
      </c>
      <c r="O1805" t="s">
        <v>152</v>
      </c>
      <c r="P1805">
        <v>37</v>
      </c>
      <c r="Q1805" t="s">
        <v>157</v>
      </c>
    </row>
    <row r="1806" spans="1:17" x14ac:dyDescent="0.2">
      <c r="A1806">
        <v>1206775</v>
      </c>
      <c r="B1806">
        <v>728</v>
      </c>
      <c r="C1806" s="1" t="s">
        <v>113</v>
      </c>
      <c r="D1806" s="11">
        <v>45202.973611111112</v>
      </c>
      <c r="E1806" t="s">
        <v>97</v>
      </c>
      <c r="F1806" t="s">
        <v>26</v>
      </c>
      <c r="G1806">
        <v>967</v>
      </c>
      <c r="H1806" s="5" t="s">
        <v>113</v>
      </c>
      <c r="I1806" s="15">
        <v>45202</v>
      </c>
      <c r="J1806" s="15" t="s">
        <v>295</v>
      </c>
      <c r="K1806" s="6">
        <v>0.47361111111111109</v>
      </c>
      <c r="L1806" t="s">
        <v>145</v>
      </c>
      <c r="M1806">
        <v>100000</v>
      </c>
      <c r="N1806" t="s">
        <v>210</v>
      </c>
      <c r="O1806" t="s">
        <v>152</v>
      </c>
      <c r="P1806">
        <v>64</v>
      </c>
      <c r="Q1806" t="s">
        <v>155</v>
      </c>
    </row>
    <row r="1807" spans="1:17" x14ac:dyDescent="0.2">
      <c r="A1807">
        <v>1211500</v>
      </c>
      <c r="B1807">
        <v>1120</v>
      </c>
      <c r="C1807" s="1" t="s">
        <v>108</v>
      </c>
      <c r="D1807" s="11">
        <v>45206.020138888889</v>
      </c>
      <c r="E1807" t="s">
        <v>96</v>
      </c>
      <c r="F1807" t="s">
        <v>74</v>
      </c>
      <c r="G1807">
        <v>845</v>
      </c>
      <c r="H1807" s="5" t="s">
        <v>108</v>
      </c>
      <c r="I1807" s="15">
        <v>45206</v>
      </c>
      <c r="J1807" s="15" t="s">
        <v>295</v>
      </c>
      <c r="K1807" s="6">
        <v>0.52013888888888893</v>
      </c>
      <c r="L1807" t="s">
        <v>145</v>
      </c>
      <c r="M1807">
        <v>150000</v>
      </c>
      <c r="N1807" t="s">
        <v>226</v>
      </c>
      <c r="O1807" t="s">
        <v>152</v>
      </c>
      <c r="P1807">
        <v>53</v>
      </c>
      <c r="Q1807" t="s">
        <v>156</v>
      </c>
    </row>
    <row r="1808" spans="1:17" x14ac:dyDescent="0.2">
      <c r="A1808">
        <v>1212151</v>
      </c>
      <c r="B1808">
        <v>1139</v>
      </c>
      <c r="C1808" s="1" t="s">
        <v>99</v>
      </c>
      <c r="D1808" s="11">
        <v>44935.981249999997</v>
      </c>
      <c r="E1808" t="s">
        <v>191</v>
      </c>
      <c r="F1808" t="s">
        <v>88</v>
      </c>
      <c r="G1808">
        <v>374</v>
      </c>
      <c r="H1808" s="5" t="s">
        <v>99</v>
      </c>
      <c r="I1808" s="15">
        <v>44935</v>
      </c>
      <c r="J1808" s="15" t="s">
        <v>232</v>
      </c>
      <c r="K1808" s="6">
        <v>0.48125000000000001</v>
      </c>
      <c r="L1808" t="s">
        <v>144</v>
      </c>
      <c r="M1808">
        <v>100000</v>
      </c>
      <c r="N1808" t="s">
        <v>200</v>
      </c>
      <c r="O1808" t="s">
        <v>152</v>
      </c>
      <c r="P1808">
        <v>84</v>
      </c>
      <c r="Q1808" t="s">
        <v>156</v>
      </c>
    </row>
    <row r="1809" spans="1:17" x14ac:dyDescent="0.2">
      <c r="A1809">
        <v>1212775</v>
      </c>
      <c r="B1809">
        <v>1685</v>
      </c>
      <c r="C1809" s="1" t="s">
        <v>99</v>
      </c>
      <c r="D1809" s="11">
        <v>45163.05972222222</v>
      </c>
      <c r="E1809" t="s">
        <v>97</v>
      </c>
      <c r="F1809" t="s">
        <v>73</v>
      </c>
      <c r="G1809">
        <v>9604</v>
      </c>
      <c r="H1809" s="5" t="s">
        <v>99</v>
      </c>
      <c r="I1809" s="15">
        <v>45163</v>
      </c>
      <c r="J1809" s="15" t="s">
        <v>234</v>
      </c>
      <c r="K1809" s="6">
        <v>5.9722222222222225E-2</v>
      </c>
      <c r="L1809" t="s">
        <v>146</v>
      </c>
      <c r="M1809">
        <v>150000</v>
      </c>
      <c r="N1809" t="s">
        <v>222</v>
      </c>
      <c r="O1809" t="s">
        <v>152</v>
      </c>
      <c r="P1809">
        <v>74</v>
      </c>
      <c r="Q1809" t="s">
        <v>157</v>
      </c>
    </row>
    <row r="1810" spans="1:17" x14ac:dyDescent="0.2">
      <c r="A1810">
        <v>1213103</v>
      </c>
      <c r="B1810">
        <v>1429</v>
      </c>
      <c r="C1810" s="1" t="s">
        <v>104</v>
      </c>
      <c r="D1810" s="11">
        <v>45113.002083333333</v>
      </c>
      <c r="E1810" t="s">
        <v>191</v>
      </c>
      <c r="F1810" t="s">
        <v>89</v>
      </c>
      <c r="G1810">
        <v>9678</v>
      </c>
      <c r="H1810" s="5" t="s">
        <v>104</v>
      </c>
      <c r="I1810" s="15">
        <v>45113</v>
      </c>
      <c r="J1810" s="15" t="s">
        <v>234</v>
      </c>
      <c r="K1810" s="6">
        <v>0.50208333333333333</v>
      </c>
      <c r="L1810" t="s">
        <v>144</v>
      </c>
      <c r="M1810">
        <v>150000</v>
      </c>
      <c r="N1810" t="s">
        <v>218</v>
      </c>
      <c r="O1810" t="s">
        <v>152</v>
      </c>
      <c r="P1810">
        <v>47</v>
      </c>
      <c r="Q1810" t="s">
        <v>156</v>
      </c>
    </row>
    <row r="1811" spans="1:17" x14ac:dyDescent="0.2">
      <c r="A1811">
        <v>1213344</v>
      </c>
      <c r="B1811">
        <v>504</v>
      </c>
      <c r="C1811" s="1" t="s">
        <v>102</v>
      </c>
      <c r="D1811" s="11">
        <v>45081.012499999997</v>
      </c>
      <c r="E1811" t="s">
        <v>96</v>
      </c>
      <c r="F1811" t="s">
        <v>72</v>
      </c>
      <c r="G1811">
        <v>4603</v>
      </c>
      <c r="H1811" s="5" t="s">
        <v>102</v>
      </c>
      <c r="I1811" s="15">
        <v>45081</v>
      </c>
      <c r="J1811" s="15" t="s">
        <v>233</v>
      </c>
      <c r="K1811" s="6">
        <v>0.51249999999999996</v>
      </c>
      <c r="L1811" t="s">
        <v>143</v>
      </c>
      <c r="M1811">
        <v>150000</v>
      </c>
      <c r="N1811" t="s">
        <v>223</v>
      </c>
      <c r="O1811" t="s">
        <v>151</v>
      </c>
      <c r="P1811">
        <v>48</v>
      </c>
      <c r="Q1811" t="s">
        <v>155</v>
      </c>
    </row>
    <row r="1812" spans="1:17" x14ac:dyDescent="0.2">
      <c r="A1812">
        <v>1213449</v>
      </c>
      <c r="B1812">
        <v>729</v>
      </c>
      <c r="C1812" s="1" t="s">
        <v>107</v>
      </c>
      <c r="D1812" s="11">
        <v>44992.015972222223</v>
      </c>
      <c r="E1812" t="s">
        <v>96</v>
      </c>
      <c r="F1812" t="s">
        <v>25</v>
      </c>
      <c r="G1812">
        <v>3344</v>
      </c>
      <c r="H1812" s="5" t="s">
        <v>107</v>
      </c>
      <c r="I1812" s="15">
        <v>44992</v>
      </c>
      <c r="J1812" s="15" t="s">
        <v>232</v>
      </c>
      <c r="K1812" s="6">
        <v>0.51597222222222228</v>
      </c>
      <c r="L1812" t="s">
        <v>142</v>
      </c>
      <c r="M1812">
        <v>100000</v>
      </c>
      <c r="N1812" t="s">
        <v>201</v>
      </c>
      <c r="O1812" t="s">
        <v>151</v>
      </c>
      <c r="P1812">
        <v>66</v>
      </c>
      <c r="Q1812" t="s">
        <v>155</v>
      </c>
    </row>
    <row r="1813" spans="1:17" x14ac:dyDescent="0.2">
      <c r="A1813">
        <v>1214613</v>
      </c>
      <c r="B1813">
        <v>1563</v>
      </c>
      <c r="C1813" s="1" t="s">
        <v>103</v>
      </c>
      <c r="D1813" s="11">
        <v>44946.07708333333</v>
      </c>
      <c r="E1813" t="s">
        <v>98</v>
      </c>
      <c r="F1813" t="s">
        <v>49</v>
      </c>
      <c r="G1813">
        <v>2322</v>
      </c>
      <c r="H1813" s="5" t="s">
        <v>103</v>
      </c>
      <c r="I1813" s="15">
        <v>44946</v>
      </c>
      <c r="J1813" s="15" t="s">
        <v>232</v>
      </c>
      <c r="K1813" s="6">
        <v>7.7083333333333337E-2</v>
      </c>
      <c r="L1813" t="s">
        <v>146</v>
      </c>
      <c r="M1813">
        <v>100000</v>
      </c>
      <c r="N1813" t="s">
        <v>222</v>
      </c>
      <c r="O1813" t="s">
        <v>152</v>
      </c>
      <c r="P1813">
        <v>65</v>
      </c>
      <c r="Q1813" t="s">
        <v>157</v>
      </c>
    </row>
    <row r="1814" spans="1:17" x14ac:dyDescent="0.2">
      <c r="A1814">
        <v>1214829</v>
      </c>
      <c r="B1814">
        <v>859</v>
      </c>
      <c r="C1814" s="1" t="s">
        <v>99</v>
      </c>
      <c r="D1814" s="11">
        <v>45219.024305555555</v>
      </c>
      <c r="E1814" t="s">
        <v>191</v>
      </c>
      <c r="F1814" t="s">
        <v>14</v>
      </c>
      <c r="G1814">
        <v>7575</v>
      </c>
      <c r="H1814" s="5" t="s">
        <v>99</v>
      </c>
      <c r="I1814" s="15">
        <v>45219</v>
      </c>
      <c r="J1814" s="15" t="s">
        <v>295</v>
      </c>
      <c r="K1814" s="6">
        <v>0.52430555555555558</v>
      </c>
      <c r="L1814" t="s">
        <v>142</v>
      </c>
      <c r="M1814">
        <v>250000</v>
      </c>
      <c r="N1814" t="s">
        <v>207</v>
      </c>
      <c r="O1814" t="s">
        <v>151</v>
      </c>
      <c r="P1814">
        <v>34</v>
      </c>
      <c r="Q1814" t="s">
        <v>155</v>
      </c>
    </row>
    <row r="1815" spans="1:17" x14ac:dyDescent="0.2">
      <c r="A1815">
        <v>1215680</v>
      </c>
      <c r="B1815">
        <v>1927</v>
      </c>
      <c r="C1815" s="1" t="s">
        <v>105</v>
      </c>
      <c r="D1815" s="11">
        <v>45164.031944444447</v>
      </c>
      <c r="E1815" t="s">
        <v>98</v>
      </c>
      <c r="F1815" t="s">
        <v>27</v>
      </c>
      <c r="G1815">
        <v>1775</v>
      </c>
      <c r="H1815" s="5" t="s">
        <v>105</v>
      </c>
      <c r="I1815" s="15">
        <v>45164</v>
      </c>
      <c r="J1815" s="15" t="s">
        <v>234</v>
      </c>
      <c r="K1815" s="6">
        <v>0.53194444444444444</v>
      </c>
      <c r="L1815" t="s">
        <v>142</v>
      </c>
      <c r="M1815">
        <v>1000000</v>
      </c>
      <c r="N1815" t="s">
        <v>209</v>
      </c>
      <c r="O1815" t="s">
        <v>152</v>
      </c>
      <c r="P1815">
        <v>52</v>
      </c>
      <c r="Q1815" t="s">
        <v>157</v>
      </c>
    </row>
    <row r="1816" spans="1:17" x14ac:dyDescent="0.2">
      <c r="A1816">
        <v>1217144</v>
      </c>
      <c r="B1816">
        <v>1762</v>
      </c>
      <c r="C1816" s="1" t="s">
        <v>99</v>
      </c>
      <c r="D1816" s="11">
        <v>45288.979166666664</v>
      </c>
      <c r="E1816" t="s">
        <v>191</v>
      </c>
      <c r="F1816" t="s">
        <v>7</v>
      </c>
      <c r="G1816">
        <v>3046</v>
      </c>
      <c r="H1816" s="5" t="s">
        <v>99</v>
      </c>
      <c r="I1816" s="15">
        <v>45288</v>
      </c>
      <c r="J1816" s="15" t="s">
        <v>295</v>
      </c>
      <c r="K1816" s="6">
        <v>0.47916666666666669</v>
      </c>
      <c r="L1816" t="s">
        <v>144</v>
      </c>
      <c r="M1816">
        <v>150000</v>
      </c>
      <c r="N1816" t="s">
        <v>200</v>
      </c>
      <c r="O1816" t="s">
        <v>151</v>
      </c>
      <c r="P1816">
        <v>29</v>
      </c>
      <c r="Q1816" t="s">
        <v>157</v>
      </c>
    </row>
    <row r="1817" spans="1:17" x14ac:dyDescent="0.2">
      <c r="A1817">
        <v>1218028</v>
      </c>
      <c r="B1817">
        <v>1649</v>
      </c>
      <c r="C1817" s="1" t="s">
        <v>99</v>
      </c>
      <c r="D1817" s="11">
        <v>44927.044444444444</v>
      </c>
      <c r="E1817" t="s">
        <v>98</v>
      </c>
      <c r="F1817" t="s">
        <v>27</v>
      </c>
      <c r="G1817">
        <v>3119</v>
      </c>
      <c r="H1817" s="5" t="s">
        <v>99</v>
      </c>
      <c r="I1817" s="15">
        <v>44927</v>
      </c>
      <c r="J1817" s="15" t="s">
        <v>232</v>
      </c>
      <c r="K1817" s="6">
        <v>4.4444444444444446E-2</v>
      </c>
      <c r="L1817" t="s">
        <v>142</v>
      </c>
      <c r="M1817">
        <v>1000000</v>
      </c>
      <c r="N1817" t="s">
        <v>209</v>
      </c>
      <c r="O1817" t="s">
        <v>151</v>
      </c>
      <c r="P1817">
        <v>27</v>
      </c>
      <c r="Q1817" t="s">
        <v>157</v>
      </c>
    </row>
    <row r="1818" spans="1:17" x14ac:dyDescent="0.2">
      <c r="A1818">
        <v>1218374</v>
      </c>
      <c r="B1818">
        <v>1511</v>
      </c>
      <c r="C1818" s="1" t="s">
        <v>99</v>
      </c>
      <c r="D1818" s="11">
        <v>44952.002083333333</v>
      </c>
      <c r="E1818" t="s">
        <v>97</v>
      </c>
      <c r="F1818" t="s">
        <v>43</v>
      </c>
      <c r="G1818">
        <v>44</v>
      </c>
      <c r="H1818" s="5" t="s">
        <v>99</v>
      </c>
      <c r="I1818" s="15">
        <v>44952</v>
      </c>
      <c r="J1818" s="15" t="s">
        <v>232</v>
      </c>
      <c r="K1818" s="6">
        <v>0.50208333333333333</v>
      </c>
      <c r="L1818" t="s">
        <v>145</v>
      </c>
      <c r="M1818">
        <v>1000000</v>
      </c>
      <c r="N1818" t="s">
        <v>203</v>
      </c>
      <c r="O1818" t="s">
        <v>151</v>
      </c>
      <c r="P1818">
        <v>19</v>
      </c>
      <c r="Q1818" t="s">
        <v>157</v>
      </c>
    </row>
    <row r="1819" spans="1:17" x14ac:dyDescent="0.2">
      <c r="A1819">
        <v>1218403</v>
      </c>
      <c r="B1819">
        <v>1583</v>
      </c>
      <c r="C1819" s="1" t="s">
        <v>106</v>
      </c>
      <c r="D1819" s="11">
        <v>44995.055555555555</v>
      </c>
      <c r="E1819" t="s">
        <v>192</v>
      </c>
      <c r="F1819" t="s">
        <v>87</v>
      </c>
      <c r="G1819">
        <v>8012</v>
      </c>
      <c r="H1819" s="5" t="s">
        <v>106</v>
      </c>
      <c r="I1819" s="15">
        <v>44995</v>
      </c>
      <c r="J1819" s="15" t="s">
        <v>232</v>
      </c>
      <c r="K1819" s="6">
        <v>5.5555555555555552E-2</v>
      </c>
      <c r="L1819" t="s">
        <v>144</v>
      </c>
      <c r="M1819">
        <v>100000</v>
      </c>
      <c r="N1819" t="s">
        <v>216</v>
      </c>
      <c r="O1819" t="s">
        <v>152</v>
      </c>
      <c r="P1819">
        <v>73</v>
      </c>
      <c r="Q1819" t="s">
        <v>157</v>
      </c>
    </row>
    <row r="1820" spans="1:17" x14ac:dyDescent="0.2">
      <c r="A1820">
        <v>1218457</v>
      </c>
      <c r="B1820">
        <v>870</v>
      </c>
      <c r="C1820" s="1" t="s">
        <v>113</v>
      </c>
      <c r="D1820" s="11">
        <v>44957.033333333333</v>
      </c>
      <c r="E1820" t="s">
        <v>97</v>
      </c>
      <c r="F1820" t="s">
        <v>23</v>
      </c>
      <c r="G1820">
        <v>7602</v>
      </c>
      <c r="H1820" s="5" t="s">
        <v>113</v>
      </c>
      <c r="I1820" s="15">
        <v>44957</v>
      </c>
      <c r="J1820" s="15" t="s">
        <v>232</v>
      </c>
      <c r="K1820" s="6">
        <v>0.53333333333333333</v>
      </c>
      <c r="L1820" t="s">
        <v>142</v>
      </c>
      <c r="M1820">
        <v>150000</v>
      </c>
      <c r="N1820" t="s">
        <v>213</v>
      </c>
      <c r="O1820" t="s">
        <v>151</v>
      </c>
      <c r="P1820">
        <v>65</v>
      </c>
      <c r="Q1820" t="s">
        <v>155</v>
      </c>
    </row>
    <row r="1821" spans="1:17" x14ac:dyDescent="0.2">
      <c r="A1821">
        <v>1219438</v>
      </c>
      <c r="B1821">
        <v>1051</v>
      </c>
      <c r="C1821" s="1" t="s">
        <v>105</v>
      </c>
      <c r="D1821" s="11">
        <v>44936.052083333336</v>
      </c>
      <c r="E1821" t="s">
        <v>98</v>
      </c>
      <c r="F1821" t="s">
        <v>52</v>
      </c>
      <c r="G1821">
        <v>3777</v>
      </c>
      <c r="H1821" s="5" t="s">
        <v>105</v>
      </c>
      <c r="I1821" s="15">
        <v>44936</v>
      </c>
      <c r="J1821" s="15" t="s">
        <v>232</v>
      </c>
      <c r="K1821" s="6">
        <v>5.2083333333333336E-2</v>
      </c>
      <c r="L1821" t="s">
        <v>143</v>
      </c>
      <c r="M1821">
        <v>100000</v>
      </c>
      <c r="N1821" t="s">
        <v>206</v>
      </c>
      <c r="O1821" t="s">
        <v>151</v>
      </c>
      <c r="P1821">
        <v>36</v>
      </c>
      <c r="Q1821" t="s">
        <v>156</v>
      </c>
    </row>
    <row r="1822" spans="1:17" x14ac:dyDescent="0.2">
      <c r="A1822">
        <v>1219662</v>
      </c>
      <c r="B1822">
        <v>45</v>
      </c>
      <c r="C1822" s="1" t="s">
        <v>99</v>
      </c>
      <c r="D1822" s="11">
        <v>45056.959722222222</v>
      </c>
      <c r="E1822" t="s">
        <v>191</v>
      </c>
      <c r="F1822" t="s">
        <v>23</v>
      </c>
      <c r="G1822">
        <v>8683</v>
      </c>
      <c r="H1822" s="5" t="s">
        <v>99</v>
      </c>
      <c r="I1822" s="15">
        <v>45056</v>
      </c>
      <c r="J1822" s="15" t="s">
        <v>233</v>
      </c>
      <c r="K1822" s="6">
        <v>0.4597222222222222</v>
      </c>
      <c r="L1822" t="s">
        <v>142</v>
      </c>
      <c r="M1822">
        <v>150000</v>
      </c>
      <c r="N1822" t="s">
        <v>213</v>
      </c>
      <c r="O1822" t="s">
        <v>151</v>
      </c>
      <c r="P1822">
        <v>89</v>
      </c>
      <c r="Q1822" t="s">
        <v>154</v>
      </c>
    </row>
    <row r="1823" spans="1:17" x14ac:dyDescent="0.2">
      <c r="A1823">
        <v>1219899</v>
      </c>
      <c r="B1823">
        <v>469</v>
      </c>
      <c r="C1823" s="1" t="s">
        <v>100</v>
      </c>
      <c r="D1823" s="11">
        <v>45114.010416666664</v>
      </c>
      <c r="E1823" t="s">
        <v>96</v>
      </c>
      <c r="F1823" t="s">
        <v>53</v>
      </c>
      <c r="G1823">
        <v>2819</v>
      </c>
      <c r="H1823" s="5" t="s">
        <v>100</v>
      </c>
      <c r="I1823" s="15">
        <v>45114</v>
      </c>
      <c r="J1823" s="15" t="s">
        <v>234</v>
      </c>
      <c r="K1823" s="6">
        <v>0.51041666666666663</v>
      </c>
      <c r="L1823" t="s">
        <v>142</v>
      </c>
      <c r="M1823">
        <v>100000</v>
      </c>
      <c r="N1823" t="s">
        <v>207</v>
      </c>
      <c r="O1823" t="s">
        <v>152</v>
      </c>
      <c r="P1823">
        <v>90</v>
      </c>
      <c r="Q1823" t="s">
        <v>154</v>
      </c>
    </row>
    <row r="1824" spans="1:17" x14ac:dyDescent="0.2">
      <c r="A1824">
        <v>1221201</v>
      </c>
      <c r="B1824">
        <v>1523</v>
      </c>
      <c r="C1824" s="1" t="s">
        <v>105</v>
      </c>
      <c r="D1824" s="11">
        <v>45159.001388888886</v>
      </c>
      <c r="E1824" t="s">
        <v>98</v>
      </c>
      <c r="F1824" t="s">
        <v>43</v>
      </c>
      <c r="G1824">
        <v>9665</v>
      </c>
      <c r="H1824" s="5" t="s">
        <v>105</v>
      </c>
      <c r="I1824" s="15">
        <v>45159</v>
      </c>
      <c r="J1824" s="15" t="s">
        <v>234</v>
      </c>
      <c r="K1824" s="6">
        <v>0.50138888888888888</v>
      </c>
      <c r="L1824" t="s">
        <v>145</v>
      </c>
      <c r="M1824">
        <v>1000000</v>
      </c>
      <c r="N1824" t="s">
        <v>203</v>
      </c>
      <c r="O1824" t="s">
        <v>151</v>
      </c>
      <c r="P1824">
        <v>50</v>
      </c>
      <c r="Q1824" t="s">
        <v>157</v>
      </c>
    </row>
    <row r="1825" spans="1:17" x14ac:dyDescent="0.2">
      <c r="A1825">
        <v>1221647</v>
      </c>
      <c r="B1825">
        <v>113</v>
      </c>
      <c r="C1825" s="1" t="s">
        <v>99</v>
      </c>
      <c r="D1825" s="11">
        <v>45011.025000000001</v>
      </c>
      <c r="E1825" t="s">
        <v>98</v>
      </c>
      <c r="F1825" t="s">
        <v>84</v>
      </c>
      <c r="G1825">
        <v>6210</v>
      </c>
      <c r="H1825" s="5" t="s">
        <v>99</v>
      </c>
      <c r="I1825" s="15">
        <v>45011</v>
      </c>
      <c r="J1825" s="15" t="s">
        <v>232</v>
      </c>
      <c r="K1825" s="6">
        <v>0.52500000000000002</v>
      </c>
      <c r="L1825" t="s">
        <v>144</v>
      </c>
      <c r="M1825">
        <v>30000</v>
      </c>
      <c r="N1825" t="s">
        <v>202</v>
      </c>
      <c r="O1825" t="s">
        <v>152</v>
      </c>
      <c r="P1825">
        <v>72</v>
      </c>
      <c r="Q1825" t="s">
        <v>154</v>
      </c>
    </row>
    <row r="1826" spans="1:17" x14ac:dyDescent="0.2">
      <c r="A1826">
        <v>1223016</v>
      </c>
      <c r="B1826">
        <v>1161</v>
      </c>
      <c r="C1826" s="1" t="s">
        <v>105</v>
      </c>
      <c r="D1826" s="11">
        <v>45180.986805555556</v>
      </c>
      <c r="E1826" t="s">
        <v>191</v>
      </c>
      <c r="F1826" t="s">
        <v>41</v>
      </c>
      <c r="G1826">
        <v>4739</v>
      </c>
      <c r="H1826" s="5" t="s">
        <v>105</v>
      </c>
      <c r="I1826" s="15">
        <v>45180</v>
      </c>
      <c r="J1826" s="15" t="s">
        <v>234</v>
      </c>
      <c r="K1826" s="6">
        <v>0.48680555555555555</v>
      </c>
      <c r="L1826" t="s">
        <v>145</v>
      </c>
      <c r="M1826">
        <v>150000</v>
      </c>
      <c r="N1826" t="s">
        <v>203</v>
      </c>
      <c r="O1826" t="s">
        <v>152</v>
      </c>
      <c r="P1826">
        <v>36</v>
      </c>
      <c r="Q1826" t="s">
        <v>156</v>
      </c>
    </row>
    <row r="1827" spans="1:17" x14ac:dyDescent="0.2">
      <c r="A1827">
        <v>1223038</v>
      </c>
      <c r="B1827">
        <v>1723</v>
      </c>
      <c r="C1827" s="1" t="s">
        <v>105</v>
      </c>
      <c r="D1827" s="11">
        <v>45212.993750000001</v>
      </c>
      <c r="E1827" t="s">
        <v>97</v>
      </c>
      <c r="F1827" t="s">
        <v>80</v>
      </c>
      <c r="G1827">
        <v>8273</v>
      </c>
      <c r="H1827" s="5" t="s">
        <v>105</v>
      </c>
      <c r="I1827" s="15">
        <v>45212</v>
      </c>
      <c r="J1827" s="15" t="s">
        <v>295</v>
      </c>
      <c r="K1827" s="6">
        <v>0.49375000000000002</v>
      </c>
      <c r="L1827" t="s">
        <v>146</v>
      </c>
      <c r="M1827">
        <v>50000</v>
      </c>
      <c r="N1827" t="s">
        <v>212</v>
      </c>
      <c r="O1827" t="s">
        <v>151</v>
      </c>
      <c r="P1827">
        <v>82</v>
      </c>
      <c r="Q1827" t="s">
        <v>157</v>
      </c>
    </row>
    <row r="1828" spans="1:17" x14ac:dyDescent="0.2">
      <c r="A1828">
        <v>1224367</v>
      </c>
      <c r="B1828">
        <v>1608</v>
      </c>
      <c r="C1828" s="1" t="s">
        <v>99</v>
      </c>
      <c r="D1828" s="11">
        <v>44979.020138888889</v>
      </c>
      <c r="E1828" t="s">
        <v>97</v>
      </c>
      <c r="F1828" t="s">
        <v>54</v>
      </c>
      <c r="G1828">
        <v>3078</v>
      </c>
      <c r="H1828" s="5" t="s">
        <v>99</v>
      </c>
      <c r="I1828" s="15">
        <v>44979</v>
      </c>
      <c r="J1828" s="15" t="s">
        <v>232</v>
      </c>
      <c r="K1828" s="6">
        <v>0.52013888888888893</v>
      </c>
      <c r="L1828" t="s">
        <v>144</v>
      </c>
      <c r="M1828">
        <v>100000</v>
      </c>
      <c r="N1828" t="s">
        <v>224</v>
      </c>
      <c r="O1828" t="s">
        <v>151</v>
      </c>
      <c r="P1828">
        <v>43</v>
      </c>
      <c r="Q1828" t="s">
        <v>157</v>
      </c>
    </row>
    <row r="1829" spans="1:17" x14ac:dyDescent="0.2">
      <c r="A1829">
        <v>1225156</v>
      </c>
      <c r="B1829">
        <v>1447</v>
      </c>
      <c r="C1829" s="1" t="s">
        <v>106</v>
      </c>
      <c r="D1829" s="11">
        <v>45206.972916666666</v>
      </c>
      <c r="E1829" t="s">
        <v>191</v>
      </c>
      <c r="F1829" t="s">
        <v>57</v>
      </c>
      <c r="G1829">
        <v>520</v>
      </c>
      <c r="H1829" s="5" t="s">
        <v>106</v>
      </c>
      <c r="I1829" s="15">
        <v>45206</v>
      </c>
      <c r="J1829" s="15" t="s">
        <v>295</v>
      </c>
      <c r="K1829" s="6">
        <v>0.47291666666666665</v>
      </c>
      <c r="L1829" t="s">
        <v>142</v>
      </c>
      <c r="M1829">
        <v>50000</v>
      </c>
      <c r="N1829" t="s">
        <v>208</v>
      </c>
      <c r="O1829" t="s">
        <v>152</v>
      </c>
      <c r="P1829">
        <v>20</v>
      </c>
      <c r="Q1829" t="s">
        <v>156</v>
      </c>
    </row>
    <row r="1830" spans="1:17" x14ac:dyDescent="0.2">
      <c r="A1830">
        <v>1226095</v>
      </c>
      <c r="B1830">
        <v>1257</v>
      </c>
      <c r="C1830" s="1" t="s">
        <v>99</v>
      </c>
      <c r="D1830" s="11">
        <v>45230.013888888891</v>
      </c>
      <c r="E1830" t="s">
        <v>191</v>
      </c>
      <c r="F1830" t="s">
        <v>34</v>
      </c>
      <c r="G1830">
        <v>782</v>
      </c>
      <c r="H1830" s="5" t="s">
        <v>99</v>
      </c>
      <c r="I1830" s="15">
        <v>45230</v>
      </c>
      <c r="J1830" s="15" t="s">
        <v>295</v>
      </c>
      <c r="K1830" s="6">
        <v>0.51388888888888884</v>
      </c>
      <c r="L1830" t="s">
        <v>144</v>
      </c>
      <c r="M1830">
        <v>150000</v>
      </c>
      <c r="N1830" t="s">
        <v>218</v>
      </c>
      <c r="O1830" t="s">
        <v>151</v>
      </c>
      <c r="P1830">
        <v>69</v>
      </c>
      <c r="Q1830" t="s">
        <v>156</v>
      </c>
    </row>
    <row r="1831" spans="1:17" x14ac:dyDescent="0.2">
      <c r="A1831">
        <v>1228500</v>
      </c>
      <c r="B1831">
        <v>355</v>
      </c>
      <c r="C1831" s="1" t="s">
        <v>100</v>
      </c>
      <c r="D1831" s="11">
        <v>45003.938888888886</v>
      </c>
      <c r="E1831" t="s">
        <v>191</v>
      </c>
      <c r="F1831" t="s">
        <v>59</v>
      </c>
      <c r="G1831">
        <v>8156</v>
      </c>
      <c r="H1831" s="5" t="s">
        <v>100</v>
      </c>
      <c r="I1831" s="15">
        <v>45003</v>
      </c>
      <c r="J1831" s="15" t="s">
        <v>232</v>
      </c>
      <c r="K1831" s="6">
        <v>0.43888888888888888</v>
      </c>
      <c r="L1831" t="s">
        <v>144</v>
      </c>
      <c r="M1831">
        <v>80000</v>
      </c>
      <c r="N1831" t="s">
        <v>224</v>
      </c>
      <c r="O1831" t="s">
        <v>152</v>
      </c>
      <c r="P1831">
        <v>49</v>
      </c>
      <c r="Q1831" t="s">
        <v>154</v>
      </c>
    </row>
    <row r="1832" spans="1:17" x14ac:dyDescent="0.2">
      <c r="A1832">
        <v>1228563</v>
      </c>
      <c r="B1832">
        <v>255</v>
      </c>
      <c r="C1832" s="1" t="s">
        <v>107</v>
      </c>
      <c r="D1832" s="11">
        <v>45213.033333333333</v>
      </c>
      <c r="E1832" t="s">
        <v>98</v>
      </c>
      <c r="F1832" t="s">
        <v>16</v>
      </c>
      <c r="G1832">
        <v>531</v>
      </c>
      <c r="H1832" s="5" t="s">
        <v>107</v>
      </c>
      <c r="I1832" s="15">
        <v>45213</v>
      </c>
      <c r="J1832" s="15" t="s">
        <v>295</v>
      </c>
      <c r="K1832" s="6">
        <v>0.53333333333333333</v>
      </c>
      <c r="L1832" t="s">
        <v>142</v>
      </c>
      <c r="M1832">
        <v>80000</v>
      </c>
      <c r="N1832" t="s">
        <v>208</v>
      </c>
      <c r="O1832" t="s">
        <v>151</v>
      </c>
      <c r="P1832">
        <v>62</v>
      </c>
      <c r="Q1832" t="s">
        <v>154</v>
      </c>
    </row>
    <row r="1833" spans="1:17" x14ac:dyDescent="0.2">
      <c r="A1833">
        <v>1229877</v>
      </c>
      <c r="B1833">
        <v>1342</v>
      </c>
      <c r="C1833" s="1" t="s">
        <v>99</v>
      </c>
      <c r="D1833" s="11">
        <v>45144.959027777775</v>
      </c>
      <c r="E1833" t="s">
        <v>96</v>
      </c>
      <c r="F1833" t="s">
        <v>4</v>
      </c>
      <c r="G1833">
        <v>3454</v>
      </c>
      <c r="H1833" s="5" t="s">
        <v>99</v>
      </c>
      <c r="I1833" s="15">
        <v>45144</v>
      </c>
      <c r="J1833" s="15" t="s">
        <v>234</v>
      </c>
      <c r="K1833" s="6">
        <v>0.45902777777777776</v>
      </c>
      <c r="L1833" t="s">
        <v>142</v>
      </c>
      <c r="M1833">
        <v>200000</v>
      </c>
      <c r="N1833" t="s">
        <v>197</v>
      </c>
      <c r="O1833" t="s">
        <v>151</v>
      </c>
      <c r="P1833">
        <v>24</v>
      </c>
      <c r="Q1833" t="s">
        <v>156</v>
      </c>
    </row>
    <row r="1834" spans="1:17" x14ac:dyDescent="0.2">
      <c r="A1834">
        <v>1229912</v>
      </c>
      <c r="B1834">
        <v>1193</v>
      </c>
      <c r="C1834" s="1" t="s">
        <v>107</v>
      </c>
      <c r="D1834" s="11">
        <v>45268.993750000001</v>
      </c>
      <c r="E1834" t="s">
        <v>96</v>
      </c>
      <c r="F1834" t="s">
        <v>47</v>
      </c>
      <c r="G1834">
        <v>3977</v>
      </c>
      <c r="H1834" s="5" t="s">
        <v>107</v>
      </c>
      <c r="I1834" s="15">
        <v>45268</v>
      </c>
      <c r="J1834" s="15" t="s">
        <v>295</v>
      </c>
      <c r="K1834" s="6">
        <v>0.49375000000000002</v>
      </c>
      <c r="L1834" t="s">
        <v>144</v>
      </c>
      <c r="M1834">
        <v>100000</v>
      </c>
      <c r="N1834" t="s">
        <v>218</v>
      </c>
      <c r="O1834" t="s">
        <v>151</v>
      </c>
      <c r="P1834">
        <v>69</v>
      </c>
      <c r="Q1834" t="s">
        <v>156</v>
      </c>
    </row>
    <row r="1835" spans="1:17" x14ac:dyDescent="0.2">
      <c r="A1835">
        <v>1230163</v>
      </c>
      <c r="B1835">
        <v>793</v>
      </c>
      <c r="C1835" s="1" t="s">
        <v>99</v>
      </c>
      <c r="D1835" s="11">
        <v>45082.945138888892</v>
      </c>
      <c r="E1835" t="s">
        <v>191</v>
      </c>
      <c r="F1835" t="s">
        <v>60</v>
      </c>
      <c r="G1835">
        <v>7586</v>
      </c>
      <c r="H1835" s="5" t="s">
        <v>99</v>
      </c>
      <c r="I1835" s="15">
        <v>45082</v>
      </c>
      <c r="J1835" s="15" t="s">
        <v>233</v>
      </c>
      <c r="K1835" s="6">
        <v>0.44513888888888886</v>
      </c>
      <c r="L1835" t="s">
        <v>146</v>
      </c>
      <c r="M1835">
        <v>100000</v>
      </c>
      <c r="N1835" t="s">
        <v>225</v>
      </c>
      <c r="O1835" t="s">
        <v>152</v>
      </c>
      <c r="P1835">
        <v>87</v>
      </c>
      <c r="Q1835" t="s">
        <v>155</v>
      </c>
    </row>
    <row r="1836" spans="1:17" x14ac:dyDescent="0.2">
      <c r="A1836">
        <v>1230246</v>
      </c>
      <c r="B1836">
        <v>190</v>
      </c>
      <c r="C1836" s="1" t="s">
        <v>100</v>
      </c>
      <c r="D1836" s="11">
        <v>45253.952777777777</v>
      </c>
      <c r="E1836" t="s">
        <v>98</v>
      </c>
      <c r="F1836" t="s">
        <v>61</v>
      </c>
      <c r="G1836">
        <v>7244</v>
      </c>
      <c r="H1836" s="5" t="s">
        <v>100</v>
      </c>
      <c r="I1836" s="15">
        <v>45253</v>
      </c>
      <c r="J1836" s="15" t="s">
        <v>295</v>
      </c>
      <c r="K1836" s="6">
        <v>0.45277777777777778</v>
      </c>
      <c r="L1836" t="s">
        <v>142</v>
      </c>
      <c r="M1836">
        <v>80000</v>
      </c>
      <c r="N1836" t="s">
        <v>197</v>
      </c>
      <c r="O1836" t="s">
        <v>151</v>
      </c>
      <c r="P1836">
        <v>71</v>
      </c>
      <c r="Q1836" t="s">
        <v>154</v>
      </c>
    </row>
    <row r="1837" spans="1:17" x14ac:dyDescent="0.2">
      <c r="A1837">
        <v>1230334</v>
      </c>
      <c r="B1837">
        <v>1502</v>
      </c>
      <c r="C1837" s="1" t="s">
        <v>105</v>
      </c>
      <c r="D1837" s="11">
        <v>45041.99722222222</v>
      </c>
      <c r="E1837" t="s">
        <v>96</v>
      </c>
      <c r="F1837" t="s">
        <v>62</v>
      </c>
      <c r="G1837">
        <v>2395</v>
      </c>
      <c r="H1837" s="5" t="s">
        <v>105</v>
      </c>
      <c r="I1837" s="15">
        <v>45041</v>
      </c>
      <c r="J1837" s="15" t="s">
        <v>233</v>
      </c>
      <c r="K1837" s="6">
        <v>0.49722222222222223</v>
      </c>
      <c r="L1837" t="s">
        <v>145</v>
      </c>
      <c r="M1837">
        <v>100000</v>
      </c>
      <c r="N1837" t="s">
        <v>217</v>
      </c>
      <c r="O1837" t="s">
        <v>152</v>
      </c>
      <c r="P1837">
        <v>33</v>
      </c>
      <c r="Q1837" t="s">
        <v>157</v>
      </c>
    </row>
    <row r="1838" spans="1:17" x14ac:dyDescent="0.2">
      <c r="A1838">
        <v>1231036</v>
      </c>
      <c r="B1838">
        <v>53</v>
      </c>
      <c r="C1838" s="1" t="s">
        <v>107</v>
      </c>
      <c r="D1838" s="11">
        <v>45158.0625</v>
      </c>
      <c r="E1838" t="s">
        <v>98</v>
      </c>
      <c r="F1838" t="s">
        <v>81</v>
      </c>
      <c r="G1838">
        <v>312</v>
      </c>
      <c r="H1838" s="5" t="s">
        <v>107</v>
      </c>
      <c r="I1838" s="15">
        <v>45158</v>
      </c>
      <c r="J1838" s="15" t="s">
        <v>234</v>
      </c>
      <c r="K1838" s="6">
        <v>6.25E-2</v>
      </c>
      <c r="L1838" t="s">
        <v>143</v>
      </c>
      <c r="M1838">
        <v>250000</v>
      </c>
      <c r="N1838" t="s">
        <v>221</v>
      </c>
      <c r="O1838" t="s">
        <v>151</v>
      </c>
      <c r="P1838">
        <v>62</v>
      </c>
      <c r="Q1838" t="s">
        <v>154</v>
      </c>
    </row>
    <row r="1839" spans="1:17" x14ac:dyDescent="0.2">
      <c r="A1839">
        <v>1232244</v>
      </c>
      <c r="B1839">
        <v>1686</v>
      </c>
      <c r="C1839" s="1" t="s">
        <v>100</v>
      </c>
      <c r="D1839" s="11">
        <v>45034.072916666664</v>
      </c>
      <c r="E1839" t="s">
        <v>191</v>
      </c>
      <c r="F1839" t="s">
        <v>18</v>
      </c>
      <c r="G1839">
        <v>7689</v>
      </c>
      <c r="H1839" s="5" t="s">
        <v>100</v>
      </c>
      <c r="I1839" s="15">
        <v>45034</v>
      </c>
      <c r="J1839" s="15" t="s">
        <v>233</v>
      </c>
      <c r="K1839" s="6">
        <v>7.2916666666666671E-2</v>
      </c>
      <c r="L1839" t="s">
        <v>145</v>
      </c>
      <c r="M1839">
        <v>200000</v>
      </c>
      <c r="N1839" t="s">
        <v>210</v>
      </c>
      <c r="O1839" t="s">
        <v>151</v>
      </c>
      <c r="P1839">
        <v>53</v>
      </c>
      <c r="Q1839" t="s">
        <v>157</v>
      </c>
    </row>
    <row r="1840" spans="1:17" x14ac:dyDescent="0.2">
      <c r="A1840">
        <v>1232656</v>
      </c>
      <c r="B1840">
        <v>888</v>
      </c>
      <c r="C1840" s="1" t="s">
        <v>108</v>
      </c>
      <c r="D1840" s="11">
        <v>45020.123611111114</v>
      </c>
      <c r="E1840" t="s">
        <v>96</v>
      </c>
      <c r="F1840" t="s">
        <v>28</v>
      </c>
      <c r="G1840">
        <v>1139</v>
      </c>
      <c r="H1840" s="5" t="s">
        <v>108</v>
      </c>
      <c r="I1840" s="15">
        <v>45020</v>
      </c>
      <c r="J1840" s="15" t="s">
        <v>233</v>
      </c>
      <c r="K1840" s="6">
        <v>0.12361111111111112</v>
      </c>
      <c r="L1840" t="s">
        <v>143</v>
      </c>
      <c r="M1840">
        <v>100000</v>
      </c>
      <c r="N1840" t="s">
        <v>215</v>
      </c>
      <c r="O1840" t="s">
        <v>151</v>
      </c>
      <c r="P1840">
        <v>71</v>
      </c>
      <c r="Q1840" t="s">
        <v>155</v>
      </c>
    </row>
    <row r="1841" spans="1:17" x14ac:dyDescent="0.2">
      <c r="A1841">
        <v>1234361</v>
      </c>
      <c r="B1841">
        <v>1857</v>
      </c>
      <c r="C1841" s="1" t="s">
        <v>100</v>
      </c>
      <c r="D1841" s="11">
        <v>45198.082638888889</v>
      </c>
      <c r="E1841" t="s">
        <v>98</v>
      </c>
      <c r="F1841" t="s">
        <v>39</v>
      </c>
      <c r="G1841">
        <v>760</v>
      </c>
      <c r="H1841" s="5" t="s">
        <v>100</v>
      </c>
      <c r="I1841" s="15">
        <v>45198</v>
      </c>
      <c r="J1841" s="15" t="s">
        <v>234</v>
      </c>
      <c r="K1841" s="6">
        <v>8.2638888888888887E-2</v>
      </c>
      <c r="L1841" t="s">
        <v>146</v>
      </c>
      <c r="M1841">
        <v>100000</v>
      </c>
      <c r="N1841" t="s">
        <v>212</v>
      </c>
      <c r="O1841" t="s">
        <v>152</v>
      </c>
      <c r="P1841">
        <v>75</v>
      </c>
      <c r="Q1841" t="s">
        <v>157</v>
      </c>
    </row>
    <row r="1842" spans="1:17" x14ac:dyDescent="0.2">
      <c r="A1842">
        <v>1234676</v>
      </c>
      <c r="B1842">
        <v>972</v>
      </c>
      <c r="C1842" s="1" t="s">
        <v>100</v>
      </c>
      <c r="D1842" s="11">
        <v>44929.027083333334</v>
      </c>
      <c r="E1842" t="s">
        <v>97</v>
      </c>
      <c r="F1842" t="s">
        <v>27</v>
      </c>
      <c r="G1842">
        <v>9851</v>
      </c>
      <c r="H1842" s="5" t="s">
        <v>100</v>
      </c>
      <c r="I1842" s="15">
        <v>44929</v>
      </c>
      <c r="J1842" s="15" t="s">
        <v>232</v>
      </c>
      <c r="K1842" s="6">
        <v>0.52708333333333335</v>
      </c>
      <c r="L1842" t="s">
        <v>142</v>
      </c>
      <c r="M1842">
        <v>1000000</v>
      </c>
      <c r="N1842" t="s">
        <v>209</v>
      </c>
      <c r="O1842" t="s">
        <v>152</v>
      </c>
      <c r="P1842">
        <v>35</v>
      </c>
      <c r="Q1842" t="s">
        <v>155</v>
      </c>
    </row>
    <row r="1843" spans="1:17" x14ac:dyDescent="0.2">
      <c r="A1843">
        <v>1234702</v>
      </c>
      <c r="B1843">
        <v>747</v>
      </c>
      <c r="C1843" s="1" t="s">
        <v>107</v>
      </c>
      <c r="D1843" s="11">
        <v>45202.008333333331</v>
      </c>
      <c r="E1843" t="s">
        <v>96</v>
      </c>
      <c r="F1843" t="s">
        <v>64</v>
      </c>
      <c r="G1843">
        <v>8157</v>
      </c>
      <c r="H1843" s="5" t="s">
        <v>107</v>
      </c>
      <c r="I1843" s="15">
        <v>45202</v>
      </c>
      <c r="J1843" s="15" t="s">
        <v>295</v>
      </c>
      <c r="K1843" s="6">
        <v>0.5083333333333333</v>
      </c>
      <c r="L1843" t="s">
        <v>143</v>
      </c>
      <c r="M1843">
        <v>100000</v>
      </c>
      <c r="N1843" t="s">
        <v>223</v>
      </c>
      <c r="O1843" t="s">
        <v>152</v>
      </c>
      <c r="P1843">
        <v>64</v>
      </c>
      <c r="Q1843" t="s">
        <v>155</v>
      </c>
    </row>
    <row r="1844" spans="1:17" x14ac:dyDescent="0.2">
      <c r="A1844">
        <v>1234926</v>
      </c>
      <c r="B1844">
        <v>1983</v>
      </c>
      <c r="C1844" s="1" t="s">
        <v>105</v>
      </c>
      <c r="D1844" s="11">
        <v>45208.977083333331</v>
      </c>
      <c r="E1844" t="s">
        <v>191</v>
      </c>
      <c r="F1844" t="s">
        <v>8</v>
      </c>
      <c r="G1844">
        <v>2280</v>
      </c>
      <c r="H1844" s="5" t="s">
        <v>105</v>
      </c>
      <c r="I1844" s="15">
        <v>45208</v>
      </c>
      <c r="J1844" s="15" t="s">
        <v>295</v>
      </c>
      <c r="K1844" s="6">
        <v>0.47708333333333336</v>
      </c>
      <c r="L1844" t="s">
        <v>142</v>
      </c>
      <c r="M1844">
        <v>200000</v>
      </c>
      <c r="N1844" t="s">
        <v>201</v>
      </c>
      <c r="O1844" t="s">
        <v>152</v>
      </c>
      <c r="P1844">
        <v>35</v>
      </c>
      <c r="Q1844" t="s">
        <v>157</v>
      </c>
    </row>
    <row r="1845" spans="1:17" x14ac:dyDescent="0.2">
      <c r="A1845">
        <v>1236573</v>
      </c>
      <c r="B1845">
        <v>1036</v>
      </c>
      <c r="C1845" s="1" t="s">
        <v>113</v>
      </c>
      <c r="D1845" s="11">
        <v>45166.995833333334</v>
      </c>
      <c r="E1845" t="s">
        <v>98</v>
      </c>
      <c r="F1845" t="s">
        <v>43</v>
      </c>
      <c r="G1845">
        <v>1114</v>
      </c>
      <c r="H1845" s="5" t="s">
        <v>113</v>
      </c>
      <c r="I1845" s="15">
        <v>45166</v>
      </c>
      <c r="J1845" s="15" t="s">
        <v>234</v>
      </c>
      <c r="K1845" s="6">
        <v>0.49583333333333335</v>
      </c>
      <c r="L1845" t="s">
        <v>145</v>
      </c>
      <c r="M1845">
        <v>1000000</v>
      </c>
      <c r="N1845" t="s">
        <v>203</v>
      </c>
      <c r="O1845" t="s">
        <v>152</v>
      </c>
      <c r="P1845">
        <v>29</v>
      </c>
      <c r="Q1845" t="s">
        <v>156</v>
      </c>
    </row>
    <row r="1846" spans="1:17" x14ac:dyDescent="0.2">
      <c r="A1846">
        <v>1236880</v>
      </c>
      <c r="B1846">
        <v>1511</v>
      </c>
      <c r="C1846" s="1" t="s">
        <v>99</v>
      </c>
      <c r="D1846" s="11">
        <v>45064.938194444447</v>
      </c>
      <c r="E1846" t="s">
        <v>96</v>
      </c>
      <c r="F1846" t="s">
        <v>62</v>
      </c>
      <c r="G1846">
        <v>1203</v>
      </c>
      <c r="H1846" s="5" t="s">
        <v>99</v>
      </c>
      <c r="I1846" s="15">
        <v>45064</v>
      </c>
      <c r="J1846" s="15" t="s">
        <v>233</v>
      </c>
      <c r="K1846" s="6">
        <v>0.43819444444444444</v>
      </c>
      <c r="L1846" t="s">
        <v>145</v>
      </c>
      <c r="M1846">
        <v>100000</v>
      </c>
      <c r="N1846" t="s">
        <v>217</v>
      </c>
      <c r="O1846" t="s">
        <v>151</v>
      </c>
      <c r="P1846">
        <v>19</v>
      </c>
      <c r="Q1846" t="s">
        <v>157</v>
      </c>
    </row>
    <row r="1847" spans="1:17" x14ac:dyDescent="0.2">
      <c r="A1847">
        <v>1237283</v>
      </c>
      <c r="B1847">
        <v>1263</v>
      </c>
      <c r="C1847" s="1" t="s">
        <v>99</v>
      </c>
      <c r="D1847" s="11">
        <v>44978.054861111108</v>
      </c>
      <c r="E1847" t="s">
        <v>96</v>
      </c>
      <c r="F1847" t="s">
        <v>81</v>
      </c>
      <c r="G1847">
        <v>3809</v>
      </c>
      <c r="H1847" s="5" t="s">
        <v>99</v>
      </c>
      <c r="I1847" s="15">
        <v>44978</v>
      </c>
      <c r="J1847" s="15" t="s">
        <v>232</v>
      </c>
      <c r="K1847" s="6">
        <v>5.486111111111111E-2</v>
      </c>
      <c r="L1847" t="s">
        <v>143</v>
      </c>
      <c r="M1847">
        <v>250000</v>
      </c>
      <c r="N1847" t="s">
        <v>221</v>
      </c>
      <c r="O1847" t="s">
        <v>152</v>
      </c>
      <c r="P1847">
        <v>78</v>
      </c>
      <c r="Q1847" t="s">
        <v>156</v>
      </c>
    </row>
    <row r="1848" spans="1:17" x14ac:dyDescent="0.2">
      <c r="A1848">
        <v>1237541</v>
      </c>
      <c r="B1848">
        <v>354</v>
      </c>
      <c r="C1848" s="1" t="s">
        <v>113</v>
      </c>
      <c r="D1848" s="11">
        <v>45202.998611111114</v>
      </c>
      <c r="E1848" t="s">
        <v>98</v>
      </c>
      <c r="F1848" t="s">
        <v>88</v>
      </c>
      <c r="G1848">
        <v>301</v>
      </c>
      <c r="H1848" s="5" t="s">
        <v>113</v>
      </c>
      <c r="I1848" s="15">
        <v>45202</v>
      </c>
      <c r="J1848" s="15" t="s">
        <v>295</v>
      </c>
      <c r="K1848" s="6">
        <v>0.49861111111111112</v>
      </c>
      <c r="L1848" t="s">
        <v>144</v>
      </c>
      <c r="M1848">
        <v>100000</v>
      </c>
      <c r="N1848" t="s">
        <v>200</v>
      </c>
      <c r="O1848" t="s">
        <v>151</v>
      </c>
      <c r="P1848">
        <v>29</v>
      </c>
      <c r="Q1848" t="s">
        <v>154</v>
      </c>
    </row>
    <row r="1849" spans="1:17" x14ac:dyDescent="0.2">
      <c r="A1849">
        <v>1238511</v>
      </c>
      <c r="B1849">
        <v>433</v>
      </c>
      <c r="C1849" s="1" t="s">
        <v>113</v>
      </c>
      <c r="D1849" s="11">
        <v>44935.01666666667</v>
      </c>
      <c r="E1849" t="s">
        <v>191</v>
      </c>
      <c r="F1849" t="s">
        <v>46</v>
      </c>
      <c r="G1849">
        <v>7820</v>
      </c>
      <c r="H1849" s="5" t="s">
        <v>113</v>
      </c>
      <c r="I1849" s="15">
        <v>44935</v>
      </c>
      <c r="J1849" s="15" t="s">
        <v>232</v>
      </c>
      <c r="K1849" s="6">
        <v>0.51666666666666672</v>
      </c>
      <c r="L1849" t="s">
        <v>142</v>
      </c>
      <c r="M1849">
        <v>200000</v>
      </c>
      <c r="N1849" t="s">
        <v>211</v>
      </c>
      <c r="O1849" t="s">
        <v>151</v>
      </c>
      <c r="P1849">
        <v>55</v>
      </c>
      <c r="Q1849" t="s">
        <v>154</v>
      </c>
    </row>
    <row r="1850" spans="1:17" x14ac:dyDescent="0.2">
      <c r="A1850">
        <v>1239298</v>
      </c>
      <c r="B1850">
        <v>270</v>
      </c>
      <c r="C1850" s="1" t="s">
        <v>101</v>
      </c>
      <c r="D1850" s="11">
        <v>45193.986805555556</v>
      </c>
      <c r="E1850" t="s">
        <v>97</v>
      </c>
      <c r="F1850" t="s">
        <v>82</v>
      </c>
      <c r="G1850">
        <v>1355</v>
      </c>
      <c r="H1850" s="5" t="s">
        <v>101</v>
      </c>
      <c r="I1850" s="15">
        <v>45193</v>
      </c>
      <c r="J1850" s="15" t="s">
        <v>234</v>
      </c>
      <c r="K1850" s="6">
        <v>0.48680555555555555</v>
      </c>
      <c r="L1850" t="s">
        <v>142</v>
      </c>
      <c r="M1850">
        <v>100000</v>
      </c>
      <c r="N1850" t="s">
        <v>209</v>
      </c>
      <c r="O1850" t="s">
        <v>152</v>
      </c>
      <c r="P1850">
        <v>74</v>
      </c>
      <c r="Q1850" t="s">
        <v>154</v>
      </c>
    </row>
    <row r="1851" spans="1:17" x14ac:dyDescent="0.2">
      <c r="A1851">
        <v>1239461</v>
      </c>
      <c r="B1851">
        <v>245</v>
      </c>
      <c r="C1851" s="1" t="s">
        <v>113</v>
      </c>
      <c r="D1851" s="11">
        <v>45183.053472222222</v>
      </c>
      <c r="E1851" t="s">
        <v>98</v>
      </c>
      <c r="F1851" t="s">
        <v>17</v>
      </c>
      <c r="G1851">
        <v>653</v>
      </c>
      <c r="H1851" s="5" t="s">
        <v>113</v>
      </c>
      <c r="I1851" s="15">
        <v>45183</v>
      </c>
      <c r="J1851" s="15" t="s">
        <v>234</v>
      </c>
      <c r="K1851" s="6">
        <v>5.347222222222222E-2</v>
      </c>
      <c r="L1851" t="s">
        <v>142</v>
      </c>
      <c r="M1851">
        <v>100000</v>
      </c>
      <c r="N1851" t="s">
        <v>209</v>
      </c>
      <c r="O1851" t="s">
        <v>151</v>
      </c>
      <c r="P1851">
        <v>63</v>
      </c>
      <c r="Q1851" t="s">
        <v>154</v>
      </c>
    </row>
    <row r="1852" spans="1:17" x14ac:dyDescent="0.2">
      <c r="A1852">
        <v>1240058</v>
      </c>
      <c r="B1852">
        <v>1665</v>
      </c>
      <c r="C1852" s="1" t="s">
        <v>110</v>
      </c>
      <c r="D1852" s="11">
        <v>44929.052083333336</v>
      </c>
      <c r="E1852" t="s">
        <v>97</v>
      </c>
      <c r="F1852" t="s">
        <v>43</v>
      </c>
      <c r="G1852">
        <v>1633</v>
      </c>
      <c r="H1852" s="5" t="s">
        <v>110</v>
      </c>
      <c r="I1852" s="15">
        <v>44929</v>
      </c>
      <c r="J1852" s="15" t="s">
        <v>232</v>
      </c>
      <c r="K1852" s="6">
        <v>5.2083333333333336E-2</v>
      </c>
      <c r="L1852" t="s">
        <v>145</v>
      </c>
      <c r="M1852">
        <v>1000000</v>
      </c>
      <c r="N1852" t="s">
        <v>203</v>
      </c>
      <c r="O1852" t="s">
        <v>152</v>
      </c>
      <c r="P1852">
        <v>19</v>
      </c>
      <c r="Q1852" t="s">
        <v>157</v>
      </c>
    </row>
    <row r="1853" spans="1:17" x14ac:dyDescent="0.2">
      <c r="A1853">
        <v>1240090</v>
      </c>
      <c r="B1853">
        <v>319</v>
      </c>
      <c r="C1853" s="1" t="s">
        <v>113</v>
      </c>
      <c r="D1853" s="11">
        <v>44968.015972222223</v>
      </c>
      <c r="E1853" t="s">
        <v>97</v>
      </c>
      <c r="F1853" t="s">
        <v>44</v>
      </c>
      <c r="G1853">
        <v>286</v>
      </c>
      <c r="H1853" s="5" t="s">
        <v>113</v>
      </c>
      <c r="I1853" s="15">
        <v>44968</v>
      </c>
      <c r="J1853" s="15" t="s">
        <v>232</v>
      </c>
      <c r="K1853" s="6">
        <v>0.51597222222222228</v>
      </c>
      <c r="L1853" t="s">
        <v>144</v>
      </c>
      <c r="M1853">
        <v>150000</v>
      </c>
      <c r="N1853" t="s">
        <v>199</v>
      </c>
      <c r="O1853" t="s">
        <v>152</v>
      </c>
      <c r="P1853">
        <v>39</v>
      </c>
      <c r="Q1853" t="s">
        <v>154</v>
      </c>
    </row>
    <row r="1854" spans="1:17" x14ac:dyDescent="0.2">
      <c r="A1854">
        <v>1241751</v>
      </c>
      <c r="B1854">
        <v>1252</v>
      </c>
      <c r="C1854" s="1" t="s">
        <v>99</v>
      </c>
      <c r="D1854" s="11">
        <v>45050.986111111109</v>
      </c>
      <c r="E1854" t="s">
        <v>191</v>
      </c>
      <c r="F1854" t="s">
        <v>78</v>
      </c>
      <c r="G1854">
        <v>6106</v>
      </c>
      <c r="H1854" s="5" t="s">
        <v>99</v>
      </c>
      <c r="I1854" s="15">
        <v>45050</v>
      </c>
      <c r="J1854" s="15" t="s">
        <v>233</v>
      </c>
      <c r="K1854" s="6">
        <v>0.4861111111111111</v>
      </c>
      <c r="L1854" t="s">
        <v>143</v>
      </c>
      <c r="M1854">
        <v>200000</v>
      </c>
      <c r="N1854" t="s">
        <v>215</v>
      </c>
      <c r="O1854" t="s">
        <v>152</v>
      </c>
      <c r="P1854">
        <v>66</v>
      </c>
      <c r="Q1854" t="s">
        <v>156</v>
      </c>
    </row>
    <row r="1855" spans="1:17" x14ac:dyDescent="0.2">
      <c r="A1855">
        <v>1242334</v>
      </c>
      <c r="B1855">
        <v>701</v>
      </c>
      <c r="C1855" s="1" t="s">
        <v>113</v>
      </c>
      <c r="D1855" s="11">
        <v>44965.96875</v>
      </c>
      <c r="E1855" t="s">
        <v>98</v>
      </c>
      <c r="F1855" t="s">
        <v>27</v>
      </c>
      <c r="G1855">
        <v>4664</v>
      </c>
      <c r="H1855" s="5" t="s">
        <v>113</v>
      </c>
      <c r="I1855" s="15">
        <v>44965</v>
      </c>
      <c r="J1855" s="15" t="s">
        <v>232</v>
      </c>
      <c r="K1855" s="6">
        <v>0.46875</v>
      </c>
      <c r="L1855" t="s">
        <v>142</v>
      </c>
      <c r="M1855">
        <v>1000000</v>
      </c>
      <c r="N1855" t="s">
        <v>209</v>
      </c>
      <c r="O1855" t="s">
        <v>151</v>
      </c>
      <c r="P1855">
        <v>72</v>
      </c>
      <c r="Q1855" t="s">
        <v>155</v>
      </c>
    </row>
    <row r="1856" spans="1:17" x14ac:dyDescent="0.2">
      <c r="A1856">
        <v>1242726</v>
      </c>
      <c r="B1856">
        <v>724</v>
      </c>
      <c r="C1856" s="1" t="s">
        <v>99</v>
      </c>
      <c r="D1856" s="11">
        <v>44952.98333333333</v>
      </c>
      <c r="E1856" t="s">
        <v>98</v>
      </c>
      <c r="F1856" t="s">
        <v>34</v>
      </c>
      <c r="G1856">
        <v>3036</v>
      </c>
      <c r="H1856" s="5" t="s">
        <v>99</v>
      </c>
      <c r="I1856" s="15">
        <v>44952</v>
      </c>
      <c r="J1856" s="15" t="s">
        <v>232</v>
      </c>
      <c r="K1856" s="6">
        <v>0.48333333333333334</v>
      </c>
      <c r="L1856" t="s">
        <v>144</v>
      </c>
      <c r="M1856">
        <v>150000</v>
      </c>
      <c r="N1856" t="s">
        <v>218</v>
      </c>
      <c r="O1856" t="s">
        <v>151</v>
      </c>
      <c r="P1856">
        <v>30</v>
      </c>
      <c r="Q1856" t="s">
        <v>155</v>
      </c>
    </row>
    <row r="1857" spans="1:17" x14ac:dyDescent="0.2">
      <c r="A1857">
        <v>1243085</v>
      </c>
      <c r="B1857">
        <v>39</v>
      </c>
      <c r="C1857" s="1" t="s">
        <v>99</v>
      </c>
      <c r="D1857" s="11">
        <v>45241.068749999999</v>
      </c>
      <c r="E1857" t="s">
        <v>191</v>
      </c>
      <c r="F1857" t="s">
        <v>87</v>
      </c>
      <c r="G1857">
        <v>6819</v>
      </c>
      <c r="H1857" s="5" t="s">
        <v>99</v>
      </c>
      <c r="I1857" s="15">
        <v>45241</v>
      </c>
      <c r="J1857" s="15" t="s">
        <v>295</v>
      </c>
      <c r="K1857" s="6">
        <v>6.8750000000000006E-2</v>
      </c>
      <c r="L1857" t="s">
        <v>144</v>
      </c>
      <c r="M1857">
        <v>100000</v>
      </c>
      <c r="N1857" t="s">
        <v>216</v>
      </c>
      <c r="O1857" t="s">
        <v>152</v>
      </c>
      <c r="P1857">
        <v>46</v>
      </c>
      <c r="Q1857" t="s">
        <v>154</v>
      </c>
    </row>
    <row r="1858" spans="1:17" x14ac:dyDescent="0.2">
      <c r="A1858">
        <v>1243807</v>
      </c>
      <c r="B1858">
        <v>869</v>
      </c>
      <c r="C1858" s="1" t="s">
        <v>104</v>
      </c>
      <c r="D1858" s="11">
        <v>45099.058333333334</v>
      </c>
      <c r="E1858" t="s">
        <v>98</v>
      </c>
      <c r="F1858" t="s">
        <v>78</v>
      </c>
      <c r="G1858">
        <v>5634</v>
      </c>
      <c r="H1858" s="5" t="s">
        <v>104</v>
      </c>
      <c r="I1858" s="15">
        <v>45099</v>
      </c>
      <c r="J1858" s="15" t="s">
        <v>233</v>
      </c>
      <c r="K1858" s="6">
        <v>5.8333333333333334E-2</v>
      </c>
      <c r="L1858" t="s">
        <v>143</v>
      </c>
      <c r="M1858">
        <v>200000</v>
      </c>
      <c r="N1858" t="s">
        <v>215</v>
      </c>
      <c r="O1858" t="s">
        <v>152</v>
      </c>
      <c r="P1858">
        <v>56</v>
      </c>
      <c r="Q1858" t="s">
        <v>155</v>
      </c>
    </row>
    <row r="1859" spans="1:17" x14ac:dyDescent="0.2">
      <c r="A1859">
        <v>1244097</v>
      </c>
      <c r="B1859">
        <v>380</v>
      </c>
      <c r="C1859" s="1" t="s">
        <v>100</v>
      </c>
      <c r="D1859" s="11">
        <v>45035.015277777777</v>
      </c>
      <c r="E1859" t="s">
        <v>191</v>
      </c>
      <c r="F1859" t="s">
        <v>27</v>
      </c>
      <c r="G1859">
        <v>1026</v>
      </c>
      <c r="H1859" s="5" t="s">
        <v>100</v>
      </c>
      <c r="I1859" s="15">
        <v>45035</v>
      </c>
      <c r="J1859" s="15" t="s">
        <v>233</v>
      </c>
      <c r="K1859" s="6">
        <v>0.51527777777777772</v>
      </c>
      <c r="L1859" t="s">
        <v>142</v>
      </c>
      <c r="M1859">
        <v>1000000</v>
      </c>
      <c r="N1859" t="s">
        <v>209</v>
      </c>
      <c r="O1859" t="s">
        <v>152</v>
      </c>
      <c r="P1859">
        <v>29</v>
      </c>
      <c r="Q1859" t="s">
        <v>154</v>
      </c>
    </row>
    <row r="1860" spans="1:17" x14ac:dyDescent="0.2">
      <c r="A1860">
        <v>1244668</v>
      </c>
      <c r="B1860">
        <v>1872</v>
      </c>
      <c r="C1860" s="1" t="s">
        <v>100</v>
      </c>
      <c r="D1860" s="11">
        <v>45159.04583333333</v>
      </c>
      <c r="E1860" t="s">
        <v>98</v>
      </c>
      <c r="F1860" t="s">
        <v>69</v>
      </c>
      <c r="G1860">
        <v>9021</v>
      </c>
      <c r="H1860" s="5" t="s">
        <v>100</v>
      </c>
      <c r="I1860" s="15">
        <v>45159</v>
      </c>
      <c r="J1860" s="15" t="s">
        <v>234</v>
      </c>
      <c r="K1860" s="6">
        <v>4.583333333333333E-2</v>
      </c>
      <c r="L1860" t="s">
        <v>146</v>
      </c>
      <c r="M1860">
        <v>250000</v>
      </c>
      <c r="N1860" t="s">
        <v>225</v>
      </c>
      <c r="O1860" t="s">
        <v>152</v>
      </c>
      <c r="P1860">
        <v>34</v>
      </c>
      <c r="Q1860" t="s">
        <v>157</v>
      </c>
    </row>
    <row r="1861" spans="1:17" x14ac:dyDescent="0.2">
      <c r="A1861">
        <v>1244841</v>
      </c>
      <c r="B1861">
        <v>402</v>
      </c>
      <c r="C1861" s="1" t="s">
        <v>113</v>
      </c>
      <c r="D1861" s="11">
        <v>45238.033333333333</v>
      </c>
      <c r="E1861" t="s">
        <v>98</v>
      </c>
      <c r="F1861" t="s">
        <v>26</v>
      </c>
      <c r="G1861">
        <v>3692</v>
      </c>
      <c r="H1861" s="5" t="s">
        <v>113</v>
      </c>
      <c r="I1861" s="15">
        <v>45238</v>
      </c>
      <c r="J1861" s="15" t="s">
        <v>295</v>
      </c>
      <c r="K1861" s="6">
        <v>0.53333333333333333</v>
      </c>
      <c r="L1861" t="s">
        <v>145</v>
      </c>
      <c r="M1861">
        <v>100000</v>
      </c>
      <c r="N1861" t="s">
        <v>210</v>
      </c>
      <c r="O1861" t="s">
        <v>151</v>
      </c>
      <c r="P1861">
        <v>27</v>
      </c>
      <c r="Q1861" t="s">
        <v>154</v>
      </c>
    </row>
    <row r="1862" spans="1:17" x14ac:dyDescent="0.2">
      <c r="A1862">
        <v>1244975</v>
      </c>
      <c r="B1862">
        <v>413</v>
      </c>
      <c r="C1862" s="1" t="s">
        <v>105</v>
      </c>
      <c r="D1862" s="11">
        <v>45218.089583333334</v>
      </c>
      <c r="E1862" t="s">
        <v>191</v>
      </c>
      <c r="F1862" t="s">
        <v>27</v>
      </c>
      <c r="G1862">
        <v>9062</v>
      </c>
      <c r="H1862" s="5" t="s">
        <v>105</v>
      </c>
      <c r="I1862" s="15">
        <v>45218</v>
      </c>
      <c r="J1862" s="15" t="s">
        <v>295</v>
      </c>
      <c r="K1862" s="6">
        <v>8.9583333333333334E-2</v>
      </c>
      <c r="L1862" t="s">
        <v>142</v>
      </c>
      <c r="M1862">
        <v>1000000</v>
      </c>
      <c r="N1862" t="s">
        <v>209</v>
      </c>
      <c r="O1862" t="s">
        <v>151</v>
      </c>
      <c r="P1862">
        <v>47</v>
      </c>
      <c r="Q1862" t="s">
        <v>154</v>
      </c>
    </row>
    <row r="1863" spans="1:17" x14ac:dyDescent="0.2">
      <c r="A1863">
        <v>1245959</v>
      </c>
      <c r="B1863">
        <v>1983</v>
      </c>
      <c r="C1863" s="1" t="s">
        <v>105</v>
      </c>
      <c r="D1863" s="11">
        <v>44981.952777777777</v>
      </c>
      <c r="E1863" t="s">
        <v>96</v>
      </c>
      <c r="F1863" t="s">
        <v>25</v>
      </c>
      <c r="G1863">
        <v>774</v>
      </c>
      <c r="H1863" s="5" t="s">
        <v>105</v>
      </c>
      <c r="I1863" s="15">
        <v>44981</v>
      </c>
      <c r="J1863" s="15" t="s">
        <v>232</v>
      </c>
      <c r="K1863" s="6">
        <v>0.45277777777777778</v>
      </c>
      <c r="L1863" t="s">
        <v>142</v>
      </c>
      <c r="M1863">
        <v>100000</v>
      </c>
      <c r="N1863" t="s">
        <v>201</v>
      </c>
      <c r="O1863" t="s">
        <v>152</v>
      </c>
      <c r="P1863">
        <v>35</v>
      </c>
      <c r="Q1863" t="s">
        <v>157</v>
      </c>
    </row>
    <row r="1864" spans="1:17" x14ac:dyDescent="0.2">
      <c r="A1864">
        <v>1246551</v>
      </c>
      <c r="B1864">
        <v>1907</v>
      </c>
      <c r="C1864" s="1" t="s">
        <v>101</v>
      </c>
      <c r="D1864" s="11">
        <v>45072.953472222223</v>
      </c>
      <c r="E1864" t="s">
        <v>191</v>
      </c>
      <c r="F1864" t="s">
        <v>81</v>
      </c>
      <c r="G1864">
        <v>5938</v>
      </c>
      <c r="H1864" s="5" t="s">
        <v>101</v>
      </c>
      <c r="I1864" s="15">
        <v>45072</v>
      </c>
      <c r="J1864" s="15" t="s">
        <v>233</v>
      </c>
      <c r="K1864" s="6">
        <v>0.45347222222222222</v>
      </c>
      <c r="L1864" t="s">
        <v>143</v>
      </c>
      <c r="M1864">
        <v>250000</v>
      </c>
      <c r="N1864" t="s">
        <v>221</v>
      </c>
      <c r="O1864" t="s">
        <v>152</v>
      </c>
      <c r="P1864">
        <v>83</v>
      </c>
      <c r="Q1864" t="s">
        <v>157</v>
      </c>
    </row>
    <row r="1865" spans="1:17" x14ac:dyDescent="0.2">
      <c r="A1865">
        <v>1246866</v>
      </c>
      <c r="B1865">
        <v>1884</v>
      </c>
      <c r="C1865" s="1" t="s">
        <v>99</v>
      </c>
      <c r="D1865" s="11">
        <v>45104.977777777778</v>
      </c>
      <c r="E1865" t="s">
        <v>98</v>
      </c>
      <c r="F1865" t="s">
        <v>88</v>
      </c>
      <c r="G1865">
        <v>849</v>
      </c>
      <c r="H1865" s="5" t="s">
        <v>99</v>
      </c>
      <c r="I1865" s="15">
        <v>45104</v>
      </c>
      <c r="J1865" s="15" t="s">
        <v>233</v>
      </c>
      <c r="K1865" s="6">
        <v>0.4777777777777778</v>
      </c>
      <c r="L1865" t="s">
        <v>144</v>
      </c>
      <c r="M1865">
        <v>100000</v>
      </c>
      <c r="N1865" t="s">
        <v>200</v>
      </c>
      <c r="O1865" t="s">
        <v>152</v>
      </c>
      <c r="P1865">
        <v>31</v>
      </c>
      <c r="Q1865" t="s">
        <v>157</v>
      </c>
    </row>
    <row r="1866" spans="1:17" x14ac:dyDescent="0.2">
      <c r="A1866">
        <v>1247542</v>
      </c>
      <c r="B1866">
        <v>1956</v>
      </c>
      <c r="C1866" s="1" t="s">
        <v>104</v>
      </c>
      <c r="D1866" s="11">
        <v>45151.992361111108</v>
      </c>
      <c r="E1866" t="s">
        <v>97</v>
      </c>
      <c r="F1866" t="s">
        <v>43</v>
      </c>
      <c r="G1866">
        <v>632</v>
      </c>
      <c r="H1866" s="5" t="s">
        <v>104</v>
      </c>
      <c r="I1866" s="15">
        <v>45151</v>
      </c>
      <c r="J1866" s="15" t="s">
        <v>234</v>
      </c>
      <c r="K1866" s="6">
        <v>0.49236111111111114</v>
      </c>
      <c r="L1866" t="s">
        <v>145</v>
      </c>
      <c r="M1866">
        <v>1000000</v>
      </c>
      <c r="N1866" t="s">
        <v>203</v>
      </c>
      <c r="O1866" t="s">
        <v>151</v>
      </c>
      <c r="P1866">
        <v>41</v>
      </c>
      <c r="Q1866" t="s">
        <v>157</v>
      </c>
    </row>
    <row r="1867" spans="1:17" x14ac:dyDescent="0.2">
      <c r="A1867">
        <v>1249517</v>
      </c>
      <c r="B1867">
        <v>1371</v>
      </c>
      <c r="C1867" s="1" t="s">
        <v>99</v>
      </c>
      <c r="D1867" s="11">
        <v>44963.025000000001</v>
      </c>
      <c r="E1867" t="s">
        <v>191</v>
      </c>
      <c r="F1867" t="s">
        <v>27</v>
      </c>
      <c r="G1867">
        <v>985</v>
      </c>
      <c r="H1867" s="5" t="s">
        <v>99</v>
      </c>
      <c r="I1867" s="15">
        <v>44963</v>
      </c>
      <c r="J1867" s="15" t="s">
        <v>232</v>
      </c>
      <c r="K1867" s="6">
        <v>0.52500000000000002</v>
      </c>
      <c r="L1867" t="s">
        <v>142</v>
      </c>
      <c r="M1867">
        <v>1000000</v>
      </c>
      <c r="N1867" t="s">
        <v>209</v>
      </c>
      <c r="O1867" t="s">
        <v>151</v>
      </c>
      <c r="P1867">
        <v>29</v>
      </c>
      <c r="Q1867" t="s">
        <v>156</v>
      </c>
    </row>
    <row r="1868" spans="1:17" x14ac:dyDescent="0.2">
      <c r="A1868">
        <v>1250394</v>
      </c>
      <c r="B1868">
        <v>1969</v>
      </c>
      <c r="C1868" s="1" t="s">
        <v>105</v>
      </c>
      <c r="D1868" s="11">
        <v>44970.01666666667</v>
      </c>
      <c r="E1868" t="s">
        <v>97</v>
      </c>
      <c r="F1868" t="s">
        <v>65</v>
      </c>
      <c r="G1868">
        <v>9703</v>
      </c>
      <c r="H1868" s="5" t="s">
        <v>105</v>
      </c>
      <c r="I1868" s="15">
        <v>44970</v>
      </c>
      <c r="J1868" s="15" t="s">
        <v>232</v>
      </c>
      <c r="K1868" s="6">
        <v>0.51666666666666672</v>
      </c>
      <c r="L1868" t="s">
        <v>146</v>
      </c>
      <c r="M1868">
        <v>200000</v>
      </c>
      <c r="N1868" t="s">
        <v>225</v>
      </c>
      <c r="O1868" t="s">
        <v>151</v>
      </c>
      <c r="P1868">
        <v>41</v>
      </c>
      <c r="Q1868" t="s">
        <v>157</v>
      </c>
    </row>
    <row r="1869" spans="1:17" x14ac:dyDescent="0.2">
      <c r="A1869">
        <v>1250419</v>
      </c>
      <c r="B1869">
        <v>1802</v>
      </c>
      <c r="C1869" s="1" t="s">
        <v>100</v>
      </c>
      <c r="D1869" s="11">
        <v>45070.065972222219</v>
      </c>
      <c r="E1869" t="s">
        <v>97</v>
      </c>
      <c r="F1869" t="s">
        <v>24</v>
      </c>
      <c r="G1869">
        <v>3390</v>
      </c>
      <c r="H1869" s="5" t="s">
        <v>100</v>
      </c>
      <c r="I1869" s="15">
        <v>45070</v>
      </c>
      <c r="J1869" s="15" t="s">
        <v>233</v>
      </c>
      <c r="K1869" s="6">
        <v>6.5972222222222224E-2</v>
      </c>
      <c r="L1869" t="s">
        <v>143</v>
      </c>
      <c r="M1869">
        <v>200000</v>
      </c>
      <c r="N1869" t="s">
        <v>214</v>
      </c>
      <c r="O1869" t="s">
        <v>152</v>
      </c>
      <c r="P1869">
        <v>61</v>
      </c>
      <c r="Q1869" t="s">
        <v>157</v>
      </c>
    </row>
    <row r="1870" spans="1:17" x14ac:dyDescent="0.2">
      <c r="A1870">
        <v>1252385</v>
      </c>
      <c r="B1870">
        <v>958</v>
      </c>
      <c r="C1870" s="1" t="s">
        <v>99</v>
      </c>
      <c r="D1870" s="11">
        <v>44983.984722222223</v>
      </c>
      <c r="E1870" t="s">
        <v>97</v>
      </c>
      <c r="F1870" t="s">
        <v>70</v>
      </c>
      <c r="G1870">
        <v>9723</v>
      </c>
      <c r="H1870" s="5" t="s">
        <v>99</v>
      </c>
      <c r="I1870" s="15">
        <v>44983</v>
      </c>
      <c r="J1870" s="15" t="s">
        <v>232</v>
      </c>
      <c r="K1870" s="6">
        <v>0.48472222222222222</v>
      </c>
      <c r="L1870" t="s">
        <v>143</v>
      </c>
      <c r="M1870">
        <v>100000</v>
      </c>
      <c r="N1870" t="s">
        <v>205</v>
      </c>
      <c r="O1870" t="s">
        <v>151</v>
      </c>
      <c r="P1870">
        <v>89</v>
      </c>
      <c r="Q1870" t="s">
        <v>155</v>
      </c>
    </row>
    <row r="1871" spans="1:17" x14ac:dyDescent="0.2">
      <c r="A1871">
        <v>1252899</v>
      </c>
      <c r="B1871">
        <v>749</v>
      </c>
      <c r="C1871" s="1" t="s">
        <v>106</v>
      </c>
      <c r="D1871" s="11">
        <v>45261.070138888892</v>
      </c>
      <c r="E1871" t="s">
        <v>97</v>
      </c>
      <c r="F1871" t="s">
        <v>71</v>
      </c>
      <c r="G1871">
        <v>3812</v>
      </c>
      <c r="H1871" s="5" t="s">
        <v>106</v>
      </c>
      <c r="I1871" s="15">
        <v>45261</v>
      </c>
      <c r="J1871" s="15" t="s">
        <v>295</v>
      </c>
      <c r="K1871" s="6">
        <v>7.013888888888889E-2</v>
      </c>
      <c r="L1871" t="s">
        <v>145</v>
      </c>
      <c r="M1871">
        <v>150000</v>
      </c>
      <c r="N1871" t="s">
        <v>226</v>
      </c>
      <c r="O1871" t="s">
        <v>152</v>
      </c>
      <c r="P1871">
        <v>82</v>
      </c>
      <c r="Q1871" t="s">
        <v>155</v>
      </c>
    </row>
    <row r="1872" spans="1:17" x14ac:dyDescent="0.2">
      <c r="A1872">
        <v>1253263</v>
      </c>
      <c r="B1872">
        <v>61</v>
      </c>
      <c r="C1872" s="1" t="s">
        <v>105</v>
      </c>
      <c r="D1872" s="11">
        <v>45072.068055555559</v>
      </c>
      <c r="E1872" t="s">
        <v>191</v>
      </c>
      <c r="F1872" t="s">
        <v>43</v>
      </c>
      <c r="G1872">
        <v>2843</v>
      </c>
      <c r="H1872" s="5" t="s">
        <v>105</v>
      </c>
      <c r="I1872" s="15">
        <v>45072</v>
      </c>
      <c r="J1872" s="15" t="s">
        <v>233</v>
      </c>
      <c r="K1872" s="6">
        <v>6.805555555555555E-2</v>
      </c>
      <c r="L1872" t="s">
        <v>145</v>
      </c>
      <c r="M1872">
        <v>1000000</v>
      </c>
      <c r="N1872" t="s">
        <v>203</v>
      </c>
      <c r="O1872" t="s">
        <v>152</v>
      </c>
      <c r="P1872">
        <v>47</v>
      </c>
      <c r="Q1872" t="s">
        <v>154</v>
      </c>
    </row>
    <row r="1873" spans="1:17" x14ac:dyDescent="0.2">
      <c r="A1873">
        <v>1253641</v>
      </c>
      <c r="B1873">
        <v>786</v>
      </c>
      <c r="C1873" s="1" t="s">
        <v>108</v>
      </c>
      <c r="D1873" s="11">
        <v>44956.076388888891</v>
      </c>
      <c r="E1873" t="s">
        <v>98</v>
      </c>
      <c r="F1873" t="s">
        <v>45</v>
      </c>
      <c r="G1873">
        <v>2881</v>
      </c>
      <c r="H1873" s="5" t="s">
        <v>108</v>
      </c>
      <c r="I1873" s="15">
        <v>44956</v>
      </c>
      <c r="J1873" s="15" t="s">
        <v>232</v>
      </c>
      <c r="K1873" s="6">
        <v>7.6388888888888895E-2</v>
      </c>
      <c r="L1873" t="s">
        <v>142</v>
      </c>
      <c r="M1873">
        <v>100000</v>
      </c>
      <c r="N1873" t="s">
        <v>197</v>
      </c>
      <c r="O1873" t="s">
        <v>151</v>
      </c>
      <c r="P1873">
        <v>61</v>
      </c>
      <c r="Q1873" t="s">
        <v>155</v>
      </c>
    </row>
    <row r="1874" spans="1:17" x14ac:dyDescent="0.2">
      <c r="A1874">
        <v>1254071</v>
      </c>
      <c r="B1874">
        <v>1367</v>
      </c>
      <c r="C1874" s="1" t="s">
        <v>107</v>
      </c>
      <c r="D1874" s="11">
        <v>44983.018055555556</v>
      </c>
      <c r="E1874" t="s">
        <v>191</v>
      </c>
      <c r="F1874" t="s">
        <v>8</v>
      </c>
      <c r="G1874">
        <v>3090</v>
      </c>
      <c r="H1874" s="5" t="s">
        <v>107</v>
      </c>
      <c r="I1874" s="15">
        <v>44983</v>
      </c>
      <c r="J1874" s="15" t="s">
        <v>232</v>
      </c>
      <c r="K1874" s="6">
        <v>0.5180555555555556</v>
      </c>
      <c r="L1874" t="s">
        <v>142</v>
      </c>
      <c r="M1874">
        <v>200000</v>
      </c>
      <c r="N1874" t="s">
        <v>201</v>
      </c>
      <c r="O1874" t="s">
        <v>152</v>
      </c>
      <c r="P1874">
        <v>25</v>
      </c>
      <c r="Q1874" t="s">
        <v>156</v>
      </c>
    </row>
    <row r="1875" spans="1:17" x14ac:dyDescent="0.2">
      <c r="A1875">
        <v>1254601</v>
      </c>
      <c r="B1875">
        <v>1734</v>
      </c>
      <c r="C1875" s="1" t="s">
        <v>99</v>
      </c>
      <c r="D1875" s="11">
        <v>45049.029166666667</v>
      </c>
      <c r="E1875" t="s">
        <v>98</v>
      </c>
      <c r="F1875" t="s">
        <v>46</v>
      </c>
      <c r="G1875">
        <v>4180</v>
      </c>
      <c r="H1875" s="5" t="s">
        <v>99</v>
      </c>
      <c r="I1875" s="15">
        <v>45049</v>
      </c>
      <c r="J1875" s="15" t="s">
        <v>233</v>
      </c>
      <c r="K1875" s="6">
        <v>0.52916666666666667</v>
      </c>
      <c r="L1875" t="s">
        <v>142</v>
      </c>
      <c r="M1875">
        <v>200000</v>
      </c>
      <c r="N1875" t="s">
        <v>211</v>
      </c>
      <c r="O1875" t="s">
        <v>151</v>
      </c>
      <c r="P1875">
        <v>62</v>
      </c>
      <c r="Q1875" t="s">
        <v>157</v>
      </c>
    </row>
    <row r="1876" spans="1:17" x14ac:dyDescent="0.2">
      <c r="A1876">
        <v>1254623</v>
      </c>
      <c r="B1876">
        <v>1234</v>
      </c>
      <c r="C1876" s="1" t="s">
        <v>99</v>
      </c>
      <c r="D1876" s="11">
        <v>44958.018750000003</v>
      </c>
      <c r="E1876" t="s">
        <v>191</v>
      </c>
      <c r="F1876" t="s">
        <v>11</v>
      </c>
      <c r="G1876">
        <v>3138</v>
      </c>
      <c r="H1876" s="5" t="s">
        <v>99</v>
      </c>
      <c r="I1876" s="15">
        <v>44958</v>
      </c>
      <c r="J1876" s="15" t="s">
        <v>232</v>
      </c>
      <c r="K1876" s="6">
        <v>0.51875000000000004</v>
      </c>
      <c r="L1876" t="s">
        <v>143</v>
      </c>
      <c r="M1876">
        <v>150000</v>
      </c>
      <c r="N1876" t="s">
        <v>204</v>
      </c>
      <c r="O1876" t="s">
        <v>151</v>
      </c>
      <c r="P1876">
        <v>89</v>
      </c>
      <c r="Q1876" t="s">
        <v>156</v>
      </c>
    </row>
    <row r="1877" spans="1:17" x14ac:dyDescent="0.2">
      <c r="A1877">
        <v>1255175</v>
      </c>
      <c r="B1877">
        <v>458</v>
      </c>
      <c r="C1877" s="1" t="s">
        <v>102</v>
      </c>
      <c r="D1877" s="11">
        <v>45254.970138888886</v>
      </c>
      <c r="E1877" t="s">
        <v>97</v>
      </c>
      <c r="F1877" t="s">
        <v>72</v>
      </c>
      <c r="G1877">
        <v>505</v>
      </c>
      <c r="H1877" s="5" t="s">
        <v>102</v>
      </c>
      <c r="I1877" s="15">
        <v>45254</v>
      </c>
      <c r="J1877" s="15" t="s">
        <v>295</v>
      </c>
      <c r="K1877" s="6">
        <v>0.47013888888888888</v>
      </c>
      <c r="L1877" t="s">
        <v>143</v>
      </c>
      <c r="M1877">
        <v>150000</v>
      </c>
      <c r="N1877" t="s">
        <v>223</v>
      </c>
      <c r="O1877" t="s">
        <v>151</v>
      </c>
      <c r="P1877">
        <v>60</v>
      </c>
      <c r="Q1877" t="s">
        <v>154</v>
      </c>
    </row>
    <row r="1878" spans="1:17" x14ac:dyDescent="0.2">
      <c r="A1878">
        <v>1255720</v>
      </c>
      <c r="B1878">
        <v>1690</v>
      </c>
      <c r="C1878" s="1" t="s">
        <v>101</v>
      </c>
      <c r="D1878" s="11">
        <v>45178.013888888891</v>
      </c>
      <c r="E1878" t="s">
        <v>97</v>
      </c>
      <c r="F1878" t="s">
        <v>27</v>
      </c>
      <c r="G1878">
        <v>6466</v>
      </c>
      <c r="H1878" s="5" t="s">
        <v>101</v>
      </c>
      <c r="I1878" s="15">
        <v>45178</v>
      </c>
      <c r="J1878" s="15" t="s">
        <v>234</v>
      </c>
      <c r="K1878" s="6">
        <v>0.51388888888888884</v>
      </c>
      <c r="L1878" t="s">
        <v>142</v>
      </c>
      <c r="M1878">
        <v>1000000</v>
      </c>
      <c r="N1878" t="s">
        <v>209</v>
      </c>
      <c r="O1878" t="s">
        <v>152</v>
      </c>
      <c r="P1878">
        <v>57</v>
      </c>
      <c r="Q1878" t="s">
        <v>157</v>
      </c>
    </row>
    <row r="1879" spans="1:17" x14ac:dyDescent="0.2">
      <c r="A1879">
        <v>1255723</v>
      </c>
      <c r="B1879">
        <v>57</v>
      </c>
      <c r="C1879" s="1" t="s">
        <v>113</v>
      </c>
      <c r="D1879" s="11">
        <v>45087.995833333334</v>
      </c>
      <c r="E1879" t="s">
        <v>96</v>
      </c>
      <c r="F1879" t="s">
        <v>13</v>
      </c>
      <c r="G1879">
        <v>9161</v>
      </c>
      <c r="H1879" s="5" t="s">
        <v>113</v>
      </c>
      <c r="I1879" s="15">
        <v>45087</v>
      </c>
      <c r="J1879" s="15" t="s">
        <v>233</v>
      </c>
      <c r="K1879" s="6">
        <v>0.49583333333333335</v>
      </c>
      <c r="L1879" t="s">
        <v>143</v>
      </c>
      <c r="M1879">
        <v>150000</v>
      </c>
      <c r="N1879" t="s">
        <v>206</v>
      </c>
      <c r="O1879" t="s">
        <v>151</v>
      </c>
      <c r="P1879">
        <v>79</v>
      </c>
      <c r="Q1879" t="s">
        <v>154</v>
      </c>
    </row>
    <row r="1880" spans="1:17" x14ac:dyDescent="0.2">
      <c r="A1880">
        <v>1256035</v>
      </c>
      <c r="B1880">
        <v>105</v>
      </c>
      <c r="C1880" s="1" t="s">
        <v>99</v>
      </c>
      <c r="D1880" s="11">
        <v>44941.965277777781</v>
      </c>
      <c r="E1880" t="s">
        <v>191</v>
      </c>
      <c r="F1880" t="s">
        <v>73</v>
      </c>
      <c r="G1880">
        <v>2774</v>
      </c>
      <c r="H1880" s="5" t="s">
        <v>99</v>
      </c>
      <c r="I1880" s="15">
        <v>44941</v>
      </c>
      <c r="J1880" s="15" t="s">
        <v>232</v>
      </c>
      <c r="K1880" s="6">
        <v>0.46527777777777779</v>
      </c>
      <c r="L1880" t="s">
        <v>146</v>
      </c>
      <c r="M1880">
        <v>150000</v>
      </c>
      <c r="N1880" t="s">
        <v>222</v>
      </c>
      <c r="O1880" t="s">
        <v>151</v>
      </c>
      <c r="P1880">
        <v>80</v>
      </c>
      <c r="Q1880" t="s">
        <v>154</v>
      </c>
    </row>
    <row r="1881" spans="1:17" x14ac:dyDescent="0.2">
      <c r="A1881">
        <v>1256522</v>
      </c>
      <c r="B1881">
        <v>816</v>
      </c>
      <c r="C1881" s="1" t="s">
        <v>113</v>
      </c>
      <c r="D1881" s="11">
        <v>45071.944444444445</v>
      </c>
      <c r="E1881" t="s">
        <v>96</v>
      </c>
      <c r="F1881" t="s">
        <v>52</v>
      </c>
      <c r="G1881">
        <v>7805</v>
      </c>
      <c r="H1881" s="5" t="s">
        <v>113</v>
      </c>
      <c r="I1881" s="15">
        <v>45071</v>
      </c>
      <c r="J1881" s="15" t="s">
        <v>233</v>
      </c>
      <c r="K1881" s="6">
        <v>0.44444444444444442</v>
      </c>
      <c r="L1881" t="s">
        <v>143</v>
      </c>
      <c r="M1881">
        <v>100000</v>
      </c>
      <c r="N1881" t="s">
        <v>206</v>
      </c>
      <c r="O1881" t="s">
        <v>151</v>
      </c>
      <c r="P1881">
        <v>46</v>
      </c>
      <c r="Q1881" t="s">
        <v>155</v>
      </c>
    </row>
    <row r="1882" spans="1:17" x14ac:dyDescent="0.2">
      <c r="A1882">
        <v>1256855</v>
      </c>
      <c r="B1882">
        <v>243</v>
      </c>
      <c r="C1882" s="1" t="s">
        <v>99</v>
      </c>
      <c r="D1882" s="11">
        <v>45185.038888888892</v>
      </c>
      <c r="E1882" t="s">
        <v>98</v>
      </c>
      <c r="F1882" t="s">
        <v>26</v>
      </c>
      <c r="G1882">
        <v>2567</v>
      </c>
      <c r="H1882" s="5" t="s">
        <v>99</v>
      </c>
      <c r="I1882" s="15">
        <v>45185</v>
      </c>
      <c r="J1882" s="15" t="s">
        <v>234</v>
      </c>
      <c r="K1882" s="6">
        <v>0.53888888888888886</v>
      </c>
      <c r="L1882" t="s">
        <v>145</v>
      </c>
      <c r="M1882">
        <v>100000</v>
      </c>
      <c r="N1882" t="s">
        <v>210</v>
      </c>
      <c r="O1882" t="s">
        <v>151</v>
      </c>
      <c r="P1882">
        <v>18</v>
      </c>
      <c r="Q1882" t="s">
        <v>154</v>
      </c>
    </row>
    <row r="1883" spans="1:17" x14ac:dyDescent="0.2">
      <c r="A1883">
        <v>1257018</v>
      </c>
      <c r="B1883">
        <v>87</v>
      </c>
      <c r="C1883" s="1" t="s">
        <v>113</v>
      </c>
      <c r="D1883" s="11">
        <v>44961.0625</v>
      </c>
      <c r="E1883" t="s">
        <v>97</v>
      </c>
      <c r="F1883" t="s">
        <v>74</v>
      </c>
      <c r="G1883">
        <v>8149</v>
      </c>
      <c r="H1883" s="5" t="s">
        <v>113</v>
      </c>
      <c r="I1883" s="15">
        <v>44961</v>
      </c>
      <c r="J1883" s="15" t="s">
        <v>232</v>
      </c>
      <c r="K1883" s="6">
        <v>6.25E-2</v>
      </c>
      <c r="L1883" t="s">
        <v>145</v>
      </c>
      <c r="M1883">
        <v>150000</v>
      </c>
      <c r="N1883" t="s">
        <v>226</v>
      </c>
      <c r="O1883" t="s">
        <v>151</v>
      </c>
      <c r="P1883">
        <v>62</v>
      </c>
      <c r="Q1883" t="s">
        <v>154</v>
      </c>
    </row>
    <row r="1884" spans="1:17" x14ac:dyDescent="0.2">
      <c r="A1884">
        <v>1258064</v>
      </c>
      <c r="B1884">
        <v>1478</v>
      </c>
      <c r="C1884" s="1" t="s">
        <v>104</v>
      </c>
      <c r="D1884" s="11">
        <v>45042.019444444442</v>
      </c>
      <c r="E1884" t="s">
        <v>191</v>
      </c>
      <c r="F1884" t="s">
        <v>75</v>
      </c>
      <c r="G1884">
        <v>6527</v>
      </c>
      <c r="H1884" s="5" t="s">
        <v>104</v>
      </c>
      <c r="I1884" s="15">
        <v>45042</v>
      </c>
      <c r="J1884" s="15" t="s">
        <v>233</v>
      </c>
      <c r="K1884" s="6">
        <v>0.51944444444444449</v>
      </c>
      <c r="L1884" t="s">
        <v>143</v>
      </c>
      <c r="M1884">
        <v>50000</v>
      </c>
      <c r="N1884" t="s">
        <v>205</v>
      </c>
      <c r="O1884" t="s">
        <v>151</v>
      </c>
      <c r="P1884">
        <v>43</v>
      </c>
      <c r="Q1884" t="s">
        <v>156</v>
      </c>
    </row>
    <row r="1885" spans="1:17" x14ac:dyDescent="0.2">
      <c r="A1885">
        <v>1258245</v>
      </c>
      <c r="B1885">
        <v>1654</v>
      </c>
      <c r="C1885" s="1" t="s">
        <v>99</v>
      </c>
      <c r="D1885" s="11">
        <v>45020.994444444441</v>
      </c>
      <c r="E1885" t="s">
        <v>97</v>
      </c>
      <c r="F1885" t="s">
        <v>73</v>
      </c>
      <c r="G1885">
        <v>3634</v>
      </c>
      <c r="H1885" s="5" t="s">
        <v>99</v>
      </c>
      <c r="I1885" s="15">
        <v>45020</v>
      </c>
      <c r="J1885" s="15" t="s">
        <v>233</v>
      </c>
      <c r="K1885" s="6">
        <v>0.49444444444444446</v>
      </c>
      <c r="L1885" t="s">
        <v>146</v>
      </c>
      <c r="M1885">
        <v>150000</v>
      </c>
      <c r="N1885" t="s">
        <v>222</v>
      </c>
      <c r="O1885" t="s">
        <v>152</v>
      </c>
      <c r="P1885">
        <v>56</v>
      </c>
      <c r="Q1885" t="s">
        <v>157</v>
      </c>
    </row>
    <row r="1886" spans="1:17" x14ac:dyDescent="0.2">
      <c r="A1886">
        <v>1259011</v>
      </c>
      <c r="B1886">
        <v>1198</v>
      </c>
      <c r="C1886" s="1" t="s">
        <v>99</v>
      </c>
      <c r="D1886" s="11">
        <v>45087.071527777778</v>
      </c>
      <c r="E1886" t="s">
        <v>98</v>
      </c>
      <c r="F1886" t="s">
        <v>76</v>
      </c>
      <c r="G1886">
        <v>247</v>
      </c>
      <c r="H1886" s="5" t="s">
        <v>99</v>
      </c>
      <c r="I1886" s="15">
        <v>45087</v>
      </c>
      <c r="J1886" s="15" t="s">
        <v>233</v>
      </c>
      <c r="K1886" s="6">
        <v>7.1527777777777773E-2</v>
      </c>
      <c r="L1886" t="s">
        <v>142</v>
      </c>
      <c r="M1886">
        <v>80000</v>
      </c>
      <c r="N1886" t="s">
        <v>201</v>
      </c>
      <c r="O1886" t="s">
        <v>151</v>
      </c>
      <c r="P1886">
        <v>63</v>
      </c>
      <c r="Q1886" t="s">
        <v>156</v>
      </c>
    </row>
    <row r="1887" spans="1:17" x14ac:dyDescent="0.2">
      <c r="A1887">
        <v>1259418</v>
      </c>
      <c r="B1887">
        <v>1199</v>
      </c>
      <c r="C1887" s="1" t="s">
        <v>107</v>
      </c>
      <c r="D1887" s="11">
        <v>44953.01458333333</v>
      </c>
      <c r="E1887" t="s">
        <v>97</v>
      </c>
      <c r="F1887" t="s">
        <v>72</v>
      </c>
      <c r="G1887">
        <v>7775</v>
      </c>
      <c r="H1887" s="5" t="s">
        <v>107</v>
      </c>
      <c r="I1887" s="15">
        <v>44953</v>
      </c>
      <c r="J1887" s="15" t="s">
        <v>232</v>
      </c>
      <c r="K1887" s="6">
        <v>0.51458333333333328</v>
      </c>
      <c r="L1887" t="s">
        <v>143</v>
      </c>
      <c r="M1887">
        <v>150000</v>
      </c>
      <c r="N1887" t="s">
        <v>223</v>
      </c>
      <c r="O1887" t="s">
        <v>151</v>
      </c>
      <c r="P1887">
        <v>38</v>
      </c>
      <c r="Q1887" t="s">
        <v>156</v>
      </c>
    </row>
    <row r="1888" spans="1:17" x14ac:dyDescent="0.2">
      <c r="A1888">
        <v>1259696</v>
      </c>
      <c r="B1888">
        <v>1798</v>
      </c>
      <c r="C1888" s="1" t="s">
        <v>99</v>
      </c>
      <c r="D1888" s="11">
        <v>45030.026388888888</v>
      </c>
      <c r="E1888" t="s">
        <v>98</v>
      </c>
      <c r="F1888" t="s">
        <v>28</v>
      </c>
      <c r="G1888">
        <v>4028</v>
      </c>
      <c r="H1888" s="5" t="s">
        <v>99</v>
      </c>
      <c r="I1888" s="15">
        <v>45030</v>
      </c>
      <c r="J1888" s="15" t="s">
        <v>233</v>
      </c>
      <c r="K1888" s="6">
        <v>0.52638888888888891</v>
      </c>
      <c r="L1888" t="s">
        <v>143</v>
      </c>
      <c r="M1888">
        <v>100000</v>
      </c>
      <c r="N1888" t="s">
        <v>215</v>
      </c>
      <c r="O1888" t="s">
        <v>151</v>
      </c>
      <c r="P1888">
        <v>31</v>
      </c>
      <c r="Q1888" t="s">
        <v>157</v>
      </c>
    </row>
    <row r="1889" spans="1:17" x14ac:dyDescent="0.2">
      <c r="A1889">
        <v>1260670</v>
      </c>
      <c r="B1889">
        <v>1301</v>
      </c>
      <c r="C1889" s="1" t="s">
        <v>105</v>
      </c>
      <c r="D1889" s="11">
        <v>44934.047222222223</v>
      </c>
      <c r="E1889" t="s">
        <v>191</v>
      </c>
      <c r="F1889" t="s">
        <v>49</v>
      </c>
      <c r="G1889">
        <v>1655</v>
      </c>
      <c r="H1889" s="5" t="s">
        <v>105</v>
      </c>
      <c r="I1889" s="15">
        <v>44934</v>
      </c>
      <c r="J1889" s="15" t="s">
        <v>232</v>
      </c>
      <c r="K1889" s="6">
        <v>4.7222222222222221E-2</v>
      </c>
      <c r="L1889" t="s">
        <v>146</v>
      </c>
      <c r="M1889">
        <v>100000</v>
      </c>
      <c r="N1889" t="s">
        <v>222</v>
      </c>
      <c r="O1889" t="s">
        <v>151</v>
      </c>
      <c r="P1889">
        <v>84</v>
      </c>
      <c r="Q1889" t="s">
        <v>156</v>
      </c>
    </row>
    <row r="1890" spans="1:17" x14ac:dyDescent="0.2">
      <c r="A1890">
        <v>1262059</v>
      </c>
      <c r="B1890">
        <v>1719</v>
      </c>
      <c r="C1890" s="1" t="s">
        <v>107</v>
      </c>
      <c r="D1890" s="11">
        <v>45134.066666666666</v>
      </c>
      <c r="E1890" t="s">
        <v>96</v>
      </c>
      <c r="F1890" t="s">
        <v>14</v>
      </c>
      <c r="G1890">
        <v>1114</v>
      </c>
      <c r="H1890" s="5" t="s">
        <v>107</v>
      </c>
      <c r="I1890" s="15">
        <v>45134</v>
      </c>
      <c r="J1890" s="15" t="s">
        <v>234</v>
      </c>
      <c r="K1890" s="6">
        <v>6.6666666666666666E-2</v>
      </c>
      <c r="L1890" t="s">
        <v>142</v>
      </c>
      <c r="M1890">
        <v>250000</v>
      </c>
      <c r="N1890" t="s">
        <v>207</v>
      </c>
      <c r="O1890" t="s">
        <v>152</v>
      </c>
      <c r="P1890">
        <v>23</v>
      </c>
      <c r="Q1890" t="s">
        <v>157</v>
      </c>
    </row>
    <row r="1891" spans="1:17" x14ac:dyDescent="0.2">
      <c r="A1891">
        <v>1265339</v>
      </c>
      <c r="B1891">
        <v>1916</v>
      </c>
      <c r="C1891" s="1" t="s">
        <v>110</v>
      </c>
      <c r="D1891" s="11">
        <v>44928.075694444444</v>
      </c>
      <c r="E1891" t="s">
        <v>98</v>
      </c>
      <c r="F1891" t="s">
        <v>27</v>
      </c>
      <c r="G1891">
        <v>5272</v>
      </c>
      <c r="H1891" s="5" t="s">
        <v>110</v>
      </c>
      <c r="I1891" s="15">
        <v>44928</v>
      </c>
      <c r="J1891" s="15" t="s">
        <v>232</v>
      </c>
      <c r="K1891" s="6">
        <v>7.5694444444444439E-2</v>
      </c>
      <c r="L1891" t="s">
        <v>142</v>
      </c>
      <c r="M1891">
        <v>1000000</v>
      </c>
      <c r="N1891" t="s">
        <v>209</v>
      </c>
      <c r="O1891" t="s">
        <v>151</v>
      </c>
      <c r="P1891">
        <v>34</v>
      </c>
      <c r="Q1891" t="s">
        <v>157</v>
      </c>
    </row>
    <row r="1892" spans="1:17" x14ac:dyDescent="0.2">
      <c r="A1892">
        <v>1265561</v>
      </c>
      <c r="B1892">
        <v>1</v>
      </c>
      <c r="C1892" s="1" t="s">
        <v>100</v>
      </c>
      <c r="D1892" s="11">
        <v>44985.023611111108</v>
      </c>
      <c r="E1892" t="s">
        <v>98</v>
      </c>
      <c r="F1892" t="s">
        <v>77</v>
      </c>
      <c r="G1892">
        <v>3338</v>
      </c>
      <c r="H1892" s="5" t="s">
        <v>100</v>
      </c>
      <c r="I1892" s="15">
        <v>44985</v>
      </c>
      <c r="J1892" s="15" t="s">
        <v>232</v>
      </c>
      <c r="K1892" s="6">
        <v>0.52361111111111114</v>
      </c>
      <c r="L1892" t="s">
        <v>146</v>
      </c>
      <c r="M1892">
        <v>100000</v>
      </c>
      <c r="N1892" t="s">
        <v>222</v>
      </c>
      <c r="O1892" t="s">
        <v>151</v>
      </c>
      <c r="P1892">
        <v>31</v>
      </c>
      <c r="Q1892" t="s">
        <v>154</v>
      </c>
    </row>
    <row r="1893" spans="1:17" x14ac:dyDescent="0.2">
      <c r="A1893">
        <v>1267084</v>
      </c>
      <c r="B1893">
        <v>312</v>
      </c>
      <c r="C1893" s="1" t="s">
        <v>107</v>
      </c>
      <c r="D1893" s="11">
        <v>45271.968055555553</v>
      </c>
      <c r="E1893" t="s">
        <v>96</v>
      </c>
      <c r="F1893" t="s">
        <v>27</v>
      </c>
      <c r="G1893">
        <v>3305</v>
      </c>
      <c r="H1893" s="5" t="s">
        <v>107</v>
      </c>
      <c r="I1893" s="15">
        <v>45271</v>
      </c>
      <c r="J1893" s="15" t="s">
        <v>295</v>
      </c>
      <c r="K1893" s="6">
        <v>0.46805555555555556</v>
      </c>
      <c r="L1893" t="s">
        <v>142</v>
      </c>
      <c r="M1893">
        <v>1000000</v>
      </c>
      <c r="N1893" t="s">
        <v>209</v>
      </c>
      <c r="O1893" t="s">
        <v>151</v>
      </c>
      <c r="P1893">
        <v>38</v>
      </c>
      <c r="Q1893" t="s">
        <v>154</v>
      </c>
    </row>
    <row r="1894" spans="1:17" x14ac:dyDescent="0.2">
      <c r="A1894">
        <v>1267886</v>
      </c>
      <c r="B1894">
        <v>1900</v>
      </c>
      <c r="C1894" s="1" t="s">
        <v>106</v>
      </c>
      <c r="D1894" s="11">
        <v>45086.069444444445</v>
      </c>
      <c r="E1894" t="s">
        <v>97</v>
      </c>
      <c r="F1894" t="s">
        <v>43</v>
      </c>
      <c r="G1894">
        <v>5588</v>
      </c>
      <c r="H1894" s="5" t="s">
        <v>106</v>
      </c>
      <c r="I1894" s="15">
        <v>45086</v>
      </c>
      <c r="J1894" s="15" t="s">
        <v>233</v>
      </c>
      <c r="K1894" s="6">
        <v>6.9444444444444448E-2</v>
      </c>
      <c r="L1894" t="s">
        <v>145</v>
      </c>
      <c r="M1894">
        <v>1000000</v>
      </c>
      <c r="N1894" t="s">
        <v>203</v>
      </c>
      <c r="O1894" t="s">
        <v>152</v>
      </c>
      <c r="P1894">
        <v>28</v>
      </c>
      <c r="Q1894" t="s">
        <v>157</v>
      </c>
    </row>
    <row r="1895" spans="1:17" x14ac:dyDescent="0.2">
      <c r="A1895">
        <v>1268060</v>
      </c>
      <c r="B1895">
        <v>1316</v>
      </c>
      <c r="C1895" s="1" t="s">
        <v>101</v>
      </c>
      <c r="D1895" s="11">
        <v>44930.076388888891</v>
      </c>
      <c r="E1895" t="s">
        <v>191</v>
      </c>
      <c r="F1895" t="s">
        <v>23</v>
      </c>
      <c r="G1895">
        <v>3876</v>
      </c>
      <c r="H1895" s="5" t="s">
        <v>101</v>
      </c>
      <c r="I1895" s="15">
        <v>44930</v>
      </c>
      <c r="J1895" s="15" t="s">
        <v>232</v>
      </c>
      <c r="K1895" s="6">
        <v>7.6388888888888895E-2</v>
      </c>
      <c r="L1895" t="s">
        <v>142</v>
      </c>
      <c r="M1895">
        <v>150000</v>
      </c>
      <c r="N1895" t="s">
        <v>213</v>
      </c>
      <c r="O1895" t="s">
        <v>152</v>
      </c>
      <c r="P1895">
        <v>70</v>
      </c>
      <c r="Q1895" t="s">
        <v>156</v>
      </c>
    </row>
    <row r="1896" spans="1:17" x14ac:dyDescent="0.2">
      <c r="A1896">
        <v>1269964</v>
      </c>
      <c r="B1896">
        <v>1035</v>
      </c>
      <c r="C1896" s="1" t="s">
        <v>113</v>
      </c>
      <c r="D1896" s="11">
        <v>44969.027777777781</v>
      </c>
      <c r="E1896" t="s">
        <v>191</v>
      </c>
      <c r="F1896" t="s">
        <v>90</v>
      </c>
      <c r="G1896">
        <v>9940</v>
      </c>
      <c r="H1896" s="5" t="s">
        <v>113</v>
      </c>
      <c r="I1896" s="15">
        <v>44969</v>
      </c>
      <c r="J1896" s="15" t="s">
        <v>232</v>
      </c>
      <c r="K1896" s="6">
        <v>0.52777777777777779</v>
      </c>
      <c r="L1896" t="s">
        <v>142</v>
      </c>
      <c r="M1896">
        <v>150000</v>
      </c>
      <c r="N1896" t="s">
        <v>208</v>
      </c>
      <c r="O1896" t="s">
        <v>151</v>
      </c>
      <c r="P1896">
        <v>56</v>
      </c>
      <c r="Q1896" t="s">
        <v>156</v>
      </c>
    </row>
    <row r="1897" spans="1:17" x14ac:dyDescent="0.2">
      <c r="A1897">
        <v>1271055</v>
      </c>
      <c r="B1897">
        <v>1509</v>
      </c>
      <c r="C1897" s="1" t="s">
        <v>99</v>
      </c>
      <c r="D1897" s="11">
        <v>44935.035416666666</v>
      </c>
      <c r="E1897" t="s">
        <v>97</v>
      </c>
      <c r="F1897" t="s">
        <v>23</v>
      </c>
      <c r="G1897">
        <v>9159</v>
      </c>
      <c r="H1897" s="5" t="s">
        <v>99</v>
      </c>
      <c r="I1897" s="15">
        <v>44935</v>
      </c>
      <c r="J1897" s="15" t="s">
        <v>232</v>
      </c>
      <c r="K1897" s="6">
        <v>0.53541666666666665</v>
      </c>
      <c r="L1897" t="s">
        <v>142</v>
      </c>
      <c r="M1897">
        <v>150000</v>
      </c>
      <c r="N1897" t="s">
        <v>213</v>
      </c>
      <c r="O1897" t="s">
        <v>151</v>
      </c>
      <c r="P1897">
        <v>31</v>
      </c>
      <c r="Q1897" t="s">
        <v>157</v>
      </c>
    </row>
    <row r="1898" spans="1:17" x14ac:dyDescent="0.2">
      <c r="A1898">
        <v>1271264</v>
      </c>
      <c r="B1898">
        <v>450</v>
      </c>
      <c r="C1898" s="1" t="s">
        <v>107</v>
      </c>
      <c r="D1898" s="11">
        <v>45198.050694444442</v>
      </c>
      <c r="E1898" t="s">
        <v>98</v>
      </c>
      <c r="F1898" t="s">
        <v>92</v>
      </c>
      <c r="G1898">
        <v>2686</v>
      </c>
      <c r="H1898" s="5" t="s">
        <v>107</v>
      </c>
      <c r="I1898" s="15">
        <v>45198</v>
      </c>
      <c r="J1898" s="15" t="s">
        <v>234</v>
      </c>
      <c r="K1898" s="6">
        <v>5.0694444444444445E-2</v>
      </c>
      <c r="L1898" t="s">
        <v>145</v>
      </c>
      <c r="M1898">
        <v>30000</v>
      </c>
      <c r="N1898" t="s">
        <v>226</v>
      </c>
      <c r="O1898" t="s">
        <v>152</v>
      </c>
      <c r="P1898">
        <v>53</v>
      </c>
      <c r="Q1898" t="s">
        <v>154</v>
      </c>
    </row>
    <row r="1899" spans="1:17" x14ac:dyDescent="0.2">
      <c r="A1899">
        <v>1271599</v>
      </c>
      <c r="B1899">
        <v>987</v>
      </c>
      <c r="C1899" s="1" t="s">
        <v>99</v>
      </c>
      <c r="D1899" s="11">
        <v>45125.975694444445</v>
      </c>
      <c r="E1899" t="s">
        <v>97</v>
      </c>
      <c r="F1899" t="s">
        <v>54</v>
      </c>
      <c r="G1899">
        <v>2478</v>
      </c>
      <c r="H1899" s="5" t="s">
        <v>99</v>
      </c>
      <c r="I1899" s="15">
        <v>45125</v>
      </c>
      <c r="J1899" s="15" t="s">
        <v>234</v>
      </c>
      <c r="K1899" s="6">
        <v>0.47569444444444442</v>
      </c>
      <c r="L1899" t="s">
        <v>144</v>
      </c>
      <c r="M1899">
        <v>100000</v>
      </c>
      <c r="N1899" t="s">
        <v>224</v>
      </c>
      <c r="O1899" t="s">
        <v>152</v>
      </c>
      <c r="P1899">
        <v>23</v>
      </c>
      <c r="Q1899" t="s">
        <v>155</v>
      </c>
    </row>
    <row r="1900" spans="1:17" x14ac:dyDescent="0.2">
      <c r="A1900">
        <v>1272310</v>
      </c>
      <c r="B1900">
        <v>1183</v>
      </c>
      <c r="C1900" s="1" t="s">
        <v>100</v>
      </c>
      <c r="D1900" s="11">
        <v>45139.004861111112</v>
      </c>
      <c r="E1900" t="s">
        <v>96</v>
      </c>
      <c r="F1900" t="s">
        <v>20</v>
      </c>
      <c r="G1900">
        <v>7092</v>
      </c>
      <c r="H1900" s="5" t="s">
        <v>100</v>
      </c>
      <c r="I1900" s="15">
        <v>45139</v>
      </c>
      <c r="J1900" s="15" t="s">
        <v>234</v>
      </c>
      <c r="K1900" s="6">
        <v>0.50486111111111109</v>
      </c>
      <c r="L1900" t="s">
        <v>146</v>
      </c>
      <c r="M1900">
        <v>150000</v>
      </c>
      <c r="N1900" t="s">
        <v>212</v>
      </c>
      <c r="O1900" t="s">
        <v>151</v>
      </c>
      <c r="P1900">
        <v>66</v>
      </c>
      <c r="Q1900" t="s">
        <v>156</v>
      </c>
    </row>
    <row r="1901" spans="1:17" x14ac:dyDescent="0.2">
      <c r="A1901">
        <v>1272986</v>
      </c>
      <c r="B1901">
        <v>1475</v>
      </c>
      <c r="C1901" s="1" t="s">
        <v>105</v>
      </c>
      <c r="D1901" s="11">
        <v>44965.068055555559</v>
      </c>
      <c r="E1901" t="s">
        <v>97</v>
      </c>
      <c r="F1901" t="s">
        <v>41</v>
      </c>
      <c r="G1901">
        <v>4629</v>
      </c>
      <c r="H1901" s="5" t="s">
        <v>105</v>
      </c>
      <c r="I1901" s="15">
        <v>44965</v>
      </c>
      <c r="J1901" s="15" t="s">
        <v>232</v>
      </c>
      <c r="K1901" s="6">
        <v>6.805555555555555E-2</v>
      </c>
      <c r="L1901" t="s">
        <v>145</v>
      </c>
      <c r="M1901">
        <v>150000</v>
      </c>
      <c r="N1901" t="s">
        <v>203</v>
      </c>
      <c r="O1901" t="s">
        <v>152</v>
      </c>
      <c r="P1901">
        <v>25</v>
      </c>
      <c r="Q1901" t="s">
        <v>156</v>
      </c>
    </row>
    <row r="1902" spans="1:17" x14ac:dyDescent="0.2">
      <c r="A1902">
        <v>1273418</v>
      </c>
      <c r="B1902">
        <v>581</v>
      </c>
      <c r="C1902" s="1" t="s">
        <v>99</v>
      </c>
      <c r="D1902" s="11">
        <v>45253.969444444447</v>
      </c>
      <c r="E1902" t="s">
        <v>191</v>
      </c>
      <c r="F1902" t="s">
        <v>55</v>
      </c>
      <c r="G1902">
        <v>5316</v>
      </c>
      <c r="H1902" s="5" t="s">
        <v>99</v>
      </c>
      <c r="I1902" s="15">
        <v>45253</v>
      </c>
      <c r="J1902" s="15" t="s">
        <v>295</v>
      </c>
      <c r="K1902" s="6">
        <v>0.46944444444444444</v>
      </c>
      <c r="L1902" t="s">
        <v>144</v>
      </c>
      <c r="M1902">
        <v>100000</v>
      </c>
      <c r="N1902" t="s">
        <v>219</v>
      </c>
      <c r="O1902" t="s">
        <v>151</v>
      </c>
      <c r="P1902">
        <v>53</v>
      </c>
      <c r="Q1902" t="s">
        <v>155</v>
      </c>
    </row>
    <row r="1903" spans="1:17" x14ac:dyDescent="0.2">
      <c r="A1903">
        <v>1273432</v>
      </c>
      <c r="B1903">
        <v>1216</v>
      </c>
      <c r="C1903" s="1" t="s">
        <v>101</v>
      </c>
      <c r="D1903" s="11">
        <v>44963.990972222222</v>
      </c>
      <c r="E1903" t="s">
        <v>96</v>
      </c>
      <c r="F1903" t="s">
        <v>56</v>
      </c>
      <c r="G1903">
        <v>3235</v>
      </c>
      <c r="H1903" s="5" t="s">
        <v>101</v>
      </c>
      <c r="I1903" s="15">
        <v>44963</v>
      </c>
      <c r="J1903" s="15" t="s">
        <v>232</v>
      </c>
      <c r="K1903" s="6">
        <v>0.4909722222222222</v>
      </c>
      <c r="L1903" t="s">
        <v>146</v>
      </c>
      <c r="M1903">
        <v>50000</v>
      </c>
      <c r="N1903" t="s">
        <v>220</v>
      </c>
      <c r="O1903" t="s">
        <v>151</v>
      </c>
      <c r="P1903">
        <v>63</v>
      </c>
      <c r="Q1903" t="s">
        <v>156</v>
      </c>
    </row>
    <row r="1904" spans="1:17" x14ac:dyDescent="0.2">
      <c r="A1904">
        <v>1273811</v>
      </c>
      <c r="B1904">
        <v>1905</v>
      </c>
      <c r="C1904" s="1" t="s">
        <v>105</v>
      </c>
      <c r="D1904" s="11">
        <v>45277.997916666667</v>
      </c>
      <c r="E1904" t="s">
        <v>98</v>
      </c>
      <c r="F1904" t="s">
        <v>70</v>
      </c>
      <c r="G1904">
        <v>5538</v>
      </c>
      <c r="H1904" s="5" t="s">
        <v>105</v>
      </c>
      <c r="I1904" s="15">
        <v>45277</v>
      </c>
      <c r="J1904" s="15" t="s">
        <v>295</v>
      </c>
      <c r="K1904" s="6">
        <v>0.49791666666666667</v>
      </c>
      <c r="L1904" t="s">
        <v>143</v>
      </c>
      <c r="M1904">
        <v>100000</v>
      </c>
      <c r="N1904" t="s">
        <v>205</v>
      </c>
      <c r="O1904" t="s">
        <v>151</v>
      </c>
      <c r="P1904">
        <v>48</v>
      </c>
      <c r="Q1904" t="s">
        <v>157</v>
      </c>
    </row>
    <row r="1905" spans="1:17" x14ac:dyDescent="0.2">
      <c r="A1905">
        <v>1274337</v>
      </c>
      <c r="B1905">
        <v>974</v>
      </c>
      <c r="C1905" s="1" t="s">
        <v>100</v>
      </c>
      <c r="D1905" s="11">
        <v>45231.087500000001</v>
      </c>
      <c r="E1905" t="s">
        <v>191</v>
      </c>
      <c r="F1905" t="s">
        <v>58</v>
      </c>
      <c r="G1905">
        <v>856</v>
      </c>
      <c r="H1905" s="5" t="s">
        <v>100</v>
      </c>
      <c r="I1905" s="15">
        <v>45231</v>
      </c>
      <c r="J1905" s="15" t="s">
        <v>295</v>
      </c>
      <c r="K1905" s="6">
        <v>8.7499999999999994E-2</v>
      </c>
      <c r="L1905" t="s">
        <v>143</v>
      </c>
      <c r="M1905">
        <v>80000</v>
      </c>
      <c r="N1905" t="s">
        <v>214</v>
      </c>
      <c r="O1905" t="s">
        <v>151</v>
      </c>
      <c r="P1905">
        <v>60</v>
      </c>
      <c r="Q1905" t="s">
        <v>155</v>
      </c>
    </row>
    <row r="1906" spans="1:17" x14ac:dyDescent="0.2">
      <c r="A1906">
        <v>1274561</v>
      </c>
      <c r="B1906">
        <v>640</v>
      </c>
      <c r="C1906" s="1" t="s">
        <v>100</v>
      </c>
      <c r="D1906" s="11">
        <v>45188.081250000003</v>
      </c>
      <c r="E1906" t="s">
        <v>97</v>
      </c>
      <c r="F1906" t="s">
        <v>59</v>
      </c>
      <c r="G1906">
        <v>3448</v>
      </c>
      <c r="H1906" s="5" t="s">
        <v>100</v>
      </c>
      <c r="I1906" s="15">
        <v>45188</v>
      </c>
      <c r="J1906" s="15" t="s">
        <v>234</v>
      </c>
      <c r="K1906" s="6">
        <v>8.1250000000000003E-2</v>
      </c>
      <c r="L1906" t="s">
        <v>144</v>
      </c>
      <c r="M1906">
        <v>80000</v>
      </c>
      <c r="N1906" t="s">
        <v>224</v>
      </c>
      <c r="O1906" t="s">
        <v>152</v>
      </c>
      <c r="P1906">
        <v>51</v>
      </c>
      <c r="Q1906" t="s">
        <v>155</v>
      </c>
    </row>
    <row r="1907" spans="1:17" x14ac:dyDescent="0.2">
      <c r="A1907">
        <v>1275891</v>
      </c>
      <c r="B1907">
        <v>248</v>
      </c>
      <c r="C1907" s="1" t="s">
        <v>99</v>
      </c>
      <c r="D1907" s="11">
        <v>45248.943749999999</v>
      </c>
      <c r="E1907" t="s">
        <v>96</v>
      </c>
      <c r="F1907" t="s">
        <v>37</v>
      </c>
      <c r="G1907">
        <v>1143</v>
      </c>
      <c r="H1907" s="5" t="s">
        <v>99</v>
      </c>
      <c r="I1907" s="15">
        <v>45248</v>
      </c>
      <c r="J1907" s="15" t="s">
        <v>295</v>
      </c>
      <c r="K1907" s="6">
        <v>0.44374999999999998</v>
      </c>
      <c r="L1907" t="s">
        <v>144</v>
      </c>
      <c r="M1907">
        <v>100000</v>
      </c>
      <c r="N1907" t="s">
        <v>199</v>
      </c>
      <c r="O1907" t="s">
        <v>152</v>
      </c>
      <c r="P1907">
        <v>47</v>
      </c>
      <c r="Q1907" t="s">
        <v>154</v>
      </c>
    </row>
    <row r="1908" spans="1:17" x14ac:dyDescent="0.2">
      <c r="A1908">
        <v>1275955</v>
      </c>
      <c r="B1908">
        <v>1506</v>
      </c>
      <c r="C1908" s="1" t="s">
        <v>99</v>
      </c>
      <c r="D1908" s="11">
        <v>45144.067361111112</v>
      </c>
      <c r="E1908" t="s">
        <v>191</v>
      </c>
      <c r="F1908" t="s">
        <v>27</v>
      </c>
      <c r="G1908">
        <v>8000</v>
      </c>
      <c r="H1908" s="5" t="s">
        <v>99</v>
      </c>
      <c r="I1908" s="15">
        <v>45144</v>
      </c>
      <c r="J1908" s="15" t="s">
        <v>234</v>
      </c>
      <c r="K1908" s="6">
        <v>6.7361111111111108E-2</v>
      </c>
      <c r="L1908" t="s">
        <v>142</v>
      </c>
      <c r="M1908">
        <v>1000000</v>
      </c>
      <c r="N1908" t="s">
        <v>209</v>
      </c>
      <c r="O1908" t="s">
        <v>151</v>
      </c>
      <c r="P1908">
        <v>18</v>
      </c>
      <c r="Q1908" t="s">
        <v>157</v>
      </c>
    </row>
    <row r="1909" spans="1:17" x14ac:dyDescent="0.2">
      <c r="A1909">
        <v>1276372</v>
      </c>
      <c r="B1909">
        <v>414</v>
      </c>
      <c r="C1909" s="1" t="s">
        <v>113</v>
      </c>
      <c r="D1909" s="11">
        <v>44988.036805555559</v>
      </c>
      <c r="E1909" t="s">
        <v>96</v>
      </c>
      <c r="F1909" t="s">
        <v>45</v>
      </c>
      <c r="G1909">
        <v>1465</v>
      </c>
      <c r="H1909" s="5" t="s">
        <v>113</v>
      </c>
      <c r="I1909" s="15">
        <v>44988</v>
      </c>
      <c r="J1909" s="15" t="s">
        <v>232</v>
      </c>
      <c r="K1909" s="6">
        <v>0.53680555555555554</v>
      </c>
      <c r="L1909" t="s">
        <v>142</v>
      </c>
      <c r="M1909">
        <v>100000</v>
      </c>
      <c r="N1909" t="s">
        <v>197</v>
      </c>
      <c r="O1909" t="s">
        <v>151</v>
      </c>
      <c r="P1909">
        <v>86</v>
      </c>
      <c r="Q1909" t="s">
        <v>154</v>
      </c>
    </row>
    <row r="1910" spans="1:17" x14ac:dyDescent="0.2">
      <c r="A1910">
        <v>1277957</v>
      </c>
      <c r="B1910">
        <v>1687</v>
      </c>
      <c r="C1910" s="1" t="s">
        <v>101</v>
      </c>
      <c r="D1910" s="11">
        <v>44952.071527777778</v>
      </c>
      <c r="E1910" t="s">
        <v>98</v>
      </c>
      <c r="F1910" t="s">
        <v>89</v>
      </c>
      <c r="G1910">
        <v>2062</v>
      </c>
      <c r="H1910" s="5" t="s">
        <v>101</v>
      </c>
      <c r="I1910" s="15">
        <v>44952</v>
      </c>
      <c r="J1910" s="15" t="s">
        <v>232</v>
      </c>
      <c r="K1910" s="6">
        <v>7.1527777777777773E-2</v>
      </c>
      <c r="L1910" t="s">
        <v>144</v>
      </c>
      <c r="M1910">
        <v>150000</v>
      </c>
      <c r="N1910" t="s">
        <v>218</v>
      </c>
      <c r="O1910" t="s">
        <v>151</v>
      </c>
      <c r="P1910">
        <v>38</v>
      </c>
      <c r="Q1910" t="s">
        <v>157</v>
      </c>
    </row>
    <row r="1911" spans="1:17" x14ac:dyDescent="0.2">
      <c r="A1911">
        <v>1278430</v>
      </c>
      <c r="B1911">
        <v>1947</v>
      </c>
      <c r="C1911" s="1" t="s">
        <v>105</v>
      </c>
      <c r="D1911" s="11">
        <v>45141.994444444441</v>
      </c>
      <c r="E1911" t="s">
        <v>98</v>
      </c>
      <c r="F1911" t="s">
        <v>93</v>
      </c>
      <c r="G1911">
        <v>2876</v>
      </c>
      <c r="H1911" s="5" t="s">
        <v>105</v>
      </c>
      <c r="I1911" s="15">
        <v>45141</v>
      </c>
      <c r="J1911" s="15" t="s">
        <v>234</v>
      </c>
      <c r="K1911" s="6">
        <v>0.49444444444444446</v>
      </c>
      <c r="L1911" t="s">
        <v>146</v>
      </c>
      <c r="M1911">
        <v>30000</v>
      </c>
      <c r="N1911" t="s">
        <v>220</v>
      </c>
      <c r="O1911" t="s">
        <v>152</v>
      </c>
      <c r="P1911">
        <v>33</v>
      </c>
      <c r="Q1911" t="s">
        <v>157</v>
      </c>
    </row>
    <row r="1912" spans="1:17" x14ac:dyDescent="0.2">
      <c r="A1912">
        <v>1278929</v>
      </c>
      <c r="B1912">
        <v>413</v>
      </c>
      <c r="C1912" s="1" t="s">
        <v>105</v>
      </c>
      <c r="D1912" s="11">
        <v>45032.976388888892</v>
      </c>
      <c r="E1912" t="s">
        <v>98</v>
      </c>
      <c r="F1912" t="s">
        <v>33</v>
      </c>
      <c r="G1912">
        <v>6020</v>
      </c>
      <c r="H1912" s="5" t="s">
        <v>105</v>
      </c>
      <c r="I1912" s="15">
        <v>45032</v>
      </c>
      <c r="J1912" s="15" t="s">
        <v>233</v>
      </c>
      <c r="K1912" s="6">
        <v>0.47638888888888886</v>
      </c>
      <c r="L1912" t="s">
        <v>145</v>
      </c>
      <c r="M1912">
        <v>100000</v>
      </c>
      <c r="N1912" t="s">
        <v>210</v>
      </c>
      <c r="O1912" t="s">
        <v>151</v>
      </c>
      <c r="P1912">
        <v>47</v>
      </c>
      <c r="Q1912" t="s">
        <v>154</v>
      </c>
    </row>
    <row r="1913" spans="1:17" x14ac:dyDescent="0.2">
      <c r="A1913">
        <v>1279393</v>
      </c>
      <c r="B1913">
        <v>1340</v>
      </c>
      <c r="C1913" s="1" t="s">
        <v>107</v>
      </c>
      <c r="D1913" s="11">
        <v>45177.042361111111</v>
      </c>
      <c r="E1913" t="s">
        <v>96</v>
      </c>
      <c r="F1913" t="s">
        <v>63</v>
      </c>
      <c r="G1913">
        <v>9753</v>
      </c>
      <c r="H1913" s="5" t="s">
        <v>107</v>
      </c>
      <c r="I1913" s="15">
        <v>45177</v>
      </c>
      <c r="J1913" s="15" t="s">
        <v>234</v>
      </c>
      <c r="K1913" s="6">
        <v>4.2361111111111113E-2</v>
      </c>
      <c r="L1913" t="s">
        <v>143</v>
      </c>
      <c r="M1913">
        <v>100000</v>
      </c>
      <c r="N1913" t="s">
        <v>198</v>
      </c>
      <c r="O1913" t="s">
        <v>152</v>
      </c>
      <c r="P1913">
        <v>40</v>
      </c>
      <c r="Q1913" t="s">
        <v>156</v>
      </c>
    </row>
    <row r="1914" spans="1:17" x14ac:dyDescent="0.2">
      <c r="A1914">
        <v>1280103</v>
      </c>
      <c r="B1914">
        <v>909</v>
      </c>
      <c r="C1914" s="1" t="s">
        <v>113</v>
      </c>
      <c r="D1914" s="11">
        <v>45205.048611111109</v>
      </c>
      <c r="E1914" t="s">
        <v>96</v>
      </c>
      <c r="F1914" t="s">
        <v>90</v>
      </c>
      <c r="G1914">
        <v>2054</v>
      </c>
      <c r="H1914" s="5" t="s">
        <v>113</v>
      </c>
      <c r="I1914" s="15">
        <v>45205</v>
      </c>
      <c r="J1914" s="15" t="s">
        <v>295</v>
      </c>
      <c r="K1914" s="6">
        <v>4.8611111111111112E-2</v>
      </c>
      <c r="L1914" t="s">
        <v>142</v>
      </c>
      <c r="M1914">
        <v>150000</v>
      </c>
      <c r="N1914" t="s">
        <v>208</v>
      </c>
      <c r="O1914" t="s">
        <v>151</v>
      </c>
      <c r="P1914">
        <v>71</v>
      </c>
      <c r="Q1914" t="s">
        <v>155</v>
      </c>
    </row>
    <row r="1915" spans="1:17" x14ac:dyDescent="0.2">
      <c r="A1915">
        <v>1280199</v>
      </c>
      <c r="B1915">
        <v>337</v>
      </c>
      <c r="C1915" s="1" t="s">
        <v>106</v>
      </c>
      <c r="D1915" s="11">
        <v>45223.025694444441</v>
      </c>
      <c r="E1915" t="s">
        <v>96</v>
      </c>
      <c r="F1915" t="s">
        <v>39</v>
      </c>
      <c r="G1915">
        <v>622</v>
      </c>
      <c r="H1915" s="5" t="s">
        <v>106</v>
      </c>
      <c r="I1915" s="15">
        <v>45223</v>
      </c>
      <c r="J1915" s="15" t="s">
        <v>295</v>
      </c>
      <c r="K1915" s="6">
        <v>0.52569444444444446</v>
      </c>
      <c r="L1915" t="s">
        <v>146</v>
      </c>
      <c r="M1915">
        <v>100000</v>
      </c>
      <c r="N1915" t="s">
        <v>212</v>
      </c>
      <c r="O1915" t="s">
        <v>151</v>
      </c>
      <c r="P1915">
        <v>58</v>
      </c>
      <c r="Q1915" t="s">
        <v>154</v>
      </c>
    </row>
    <row r="1916" spans="1:17" x14ac:dyDescent="0.2">
      <c r="A1916">
        <v>1282426</v>
      </c>
      <c r="B1916">
        <v>1866</v>
      </c>
      <c r="C1916" s="1" t="s">
        <v>105</v>
      </c>
      <c r="D1916" s="11">
        <v>45112.007638888892</v>
      </c>
      <c r="E1916" t="s">
        <v>191</v>
      </c>
      <c r="F1916" t="s">
        <v>53</v>
      </c>
      <c r="G1916">
        <v>9455</v>
      </c>
      <c r="H1916" s="5" t="s">
        <v>105</v>
      </c>
      <c r="I1916" s="15">
        <v>45112</v>
      </c>
      <c r="J1916" s="15" t="s">
        <v>234</v>
      </c>
      <c r="K1916" s="6">
        <v>0.50763888888888886</v>
      </c>
      <c r="L1916" t="s">
        <v>142</v>
      </c>
      <c r="M1916">
        <v>100000</v>
      </c>
      <c r="N1916" t="s">
        <v>207</v>
      </c>
      <c r="O1916" t="s">
        <v>151</v>
      </c>
      <c r="P1916">
        <v>53</v>
      </c>
      <c r="Q1916" t="s">
        <v>157</v>
      </c>
    </row>
    <row r="1917" spans="1:17" x14ac:dyDescent="0.2">
      <c r="A1917">
        <v>1283493</v>
      </c>
      <c r="B1917">
        <v>1075</v>
      </c>
      <c r="C1917" s="1" t="s">
        <v>108</v>
      </c>
      <c r="D1917" s="11">
        <v>45226.04791666667</v>
      </c>
      <c r="E1917" t="s">
        <v>98</v>
      </c>
      <c r="F1917" t="s">
        <v>24</v>
      </c>
      <c r="G1917">
        <v>4773</v>
      </c>
      <c r="H1917" s="5" t="s">
        <v>108</v>
      </c>
      <c r="I1917" s="15">
        <v>45226</v>
      </c>
      <c r="J1917" s="15" t="s">
        <v>295</v>
      </c>
      <c r="K1917" s="6">
        <v>4.791666666666667E-2</v>
      </c>
      <c r="L1917" t="s">
        <v>143</v>
      </c>
      <c r="M1917">
        <v>200000</v>
      </c>
      <c r="N1917" t="s">
        <v>214</v>
      </c>
      <c r="O1917" t="s">
        <v>151</v>
      </c>
      <c r="P1917">
        <v>55</v>
      </c>
      <c r="Q1917" t="s">
        <v>156</v>
      </c>
    </row>
    <row r="1918" spans="1:17" x14ac:dyDescent="0.2">
      <c r="A1918">
        <v>1284119</v>
      </c>
      <c r="B1918">
        <v>1980</v>
      </c>
      <c r="C1918" s="1" t="s">
        <v>110</v>
      </c>
      <c r="D1918" s="11">
        <v>45206.051388888889</v>
      </c>
      <c r="E1918" t="s">
        <v>97</v>
      </c>
      <c r="F1918" t="s">
        <v>64</v>
      </c>
      <c r="G1918">
        <v>6976</v>
      </c>
      <c r="H1918" s="5" t="s">
        <v>110</v>
      </c>
      <c r="I1918" s="15">
        <v>45206</v>
      </c>
      <c r="J1918" s="15" t="s">
        <v>295</v>
      </c>
      <c r="K1918" s="6">
        <v>5.1388888888888887E-2</v>
      </c>
      <c r="L1918" t="s">
        <v>143</v>
      </c>
      <c r="M1918">
        <v>100000</v>
      </c>
      <c r="N1918" t="s">
        <v>223</v>
      </c>
      <c r="O1918" t="s">
        <v>151</v>
      </c>
      <c r="P1918">
        <v>57</v>
      </c>
      <c r="Q1918" t="s">
        <v>157</v>
      </c>
    </row>
    <row r="1919" spans="1:17" x14ac:dyDescent="0.2">
      <c r="A1919">
        <v>1284352</v>
      </c>
      <c r="B1919">
        <v>1957</v>
      </c>
      <c r="C1919" s="1" t="s">
        <v>99</v>
      </c>
      <c r="D1919" s="11">
        <v>45082.000694444447</v>
      </c>
      <c r="E1919" t="s">
        <v>191</v>
      </c>
      <c r="F1919" t="s">
        <v>27</v>
      </c>
      <c r="G1919">
        <v>2512</v>
      </c>
      <c r="H1919" s="5" t="s">
        <v>99</v>
      </c>
      <c r="I1919" s="15">
        <v>45082</v>
      </c>
      <c r="J1919" s="15" t="s">
        <v>233</v>
      </c>
      <c r="K1919" s="6">
        <v>0.50069444444444444</v>
      </c>
      <c r="L1919" t="s">
        <v>142</v>
      </c>
      <c r="M1919">
        <v>1000000</v>
      </c>
      <c r="N1919" t="s">
        <v>209</v>
      </c>
      <c r="O1919" t="s">
        <v>152</v>
      </c>
      <c r="P1919">
        <v>42</v>
      </c>
      <c r="Q1919" t="s">
        <v>157</v>
      </c>
    </row>
    <row r="1920" spans="1:17" x14ac:dyDescent="0.2">
      <c r="A1920">
        <v>1284756</v>
      </c>
      <c r="B1920">
        <v>1015</v>
      </c>
      <c r="C1920" s="1" t="s">
        <v>107</v>
      </c>
      <c r="D1920" s="11">
        <v>45237.004166666666</v>
      </c>
      <c r="E1920" t="s">
        <v>97</v>
      </c>
      <c r="F1920" t="s">
        <v>5</v>
      </c>
      <c r="G1920">
        <v>8923</v>
      </c>
      <c r="H1920" s="5" t="s">
        <v>107</v>
      </c>
      <c r="I1920" s="15">
        <v>45237</v>
      </c>
      <c r="J1920" s="15" t="s">
        <v>295</v>
      </c>
      <c r="K1920" s="6">
        <v>0.50416666666666665</v>
      </c>
      <c r="L1920" t="s">
        <v>143</v>
      </c>
      <c r="M1920">
        <v>200000</v>
      </c>
      <c r="N1920" t="s">
        <v>198</v>
      </c>
      <c r="O1920" t="s">
        <v>152</v>
      </c>
      <c r="P1920">
        <v>50</v>
      </c>
      <c r="Q1920" t="s">
        <v>156</v>
      </c>
    </row>
    <row r="1921" spans="1:17" x14ac:dyDescent="0.2">
      <c r="A1921">
        <v>1287324</v>
      </c>
      <c r="B1921">
        <v>819</v>
      </c>
      <c r="C1921" s="1" t="s">
        <v>111</v>
      </c>
      <c r="D1921" s="11">
        <v>44988.004166666666</v>
      </c>
      <c r="E1921" t="s">
        <v>191</v>
      </c>
      <c r="F1921" t="s">
        <v>65</v>
      </c>
      <c r="G1921">
        <v>930</v>
      </c>
      <c r="H1921" s="5" t="s">
        <v>111</v>
      </c>
      <c r="I1921" s="15">
        <v>44988</v>
      </c>
      <c r="J1921" s="15" t="s">
        <v>232</v>
      </c>
      <c r="K1921" s="6">
        <v>0.50416666666666665</v>
      </c>
      <c r="L1921" t="s">
        <v>146</v>
      </c>
      <c r="M1921">
        <v>200000</v>
      </c>
      <c r="N1921" t="s">
        <v>225</v>
      </c>
      <c r="O1921" t="s">
        <v>152</v>
      </c>
      <c r="P1921">
        <v>75</v>
      </c>
      <c r="Q1921" t="s">
        <v>155</v>
      </c>
    </row>
    <row r="1922" spans="1:17" x14ac:dyDescent="0.2">
      <c r="A1922">
        <v>1288242</v>
      </c>
      <c r="B1922">
        <v>1879</v>
      </c>
      <c r="C1922" s="1" t="s">
        <v>99</v>
      </c>
      <c r="D1922" s="11">
        <v>45161.003472222219</v>
      </c>
      <c r="E1922" t="s">
        <v>191</v>
      </c>
      <c r="F1922" t="s">
        <v>91</v>
      </c>
      <c r="G1922">
        <v>5169</v>
      </c>
      <c r="H1922" s="5" t="s">
        <v>99</v>
      </c>
      <c r="I1922" s="15">
        <v>45161</v>
      </c>
      <c r="J1922" s="15" t="s">
        <v>234</v>
      </c>
      <c r="K1922" s="6">
        <v>0.50347222222222221</v>
      </c>
      <c r="L1922" t="s">
        <v>142</v>
      </c>
      <c r="M1922">
        <v>100000</v>
      </c>
      <c r="N1922" t="s">
        <v>213</v>
      </c>
      <c r="O1922" t="s">
        <v>151</v>
      </c>
      <c r="P1922">
        <v>76</v>
      </c>
      <c r="Q1922" t="s">
        <v>157</v>
      </c>
    </row>
    <row r="1923" spans="1:17" x14ac:dyDescent="0.2">
      <c r="A1923">
        <v>1288279</v>
      </c>
      <c r="B1923">
        <v>420</v>
      </c>
      <c r="C1923" s="1" t="s">
        <v>105</v>
      </c>
      <c r="D1923" s="11">
        <v>45073.999305555553</v>
      </c>
      <c r="E1923" t="s">
        <v>97</v>
      </c>
      <c r="F1923" t="s">
        <v>81</v>
      </c>
      <c r="G1923">
        <v>5628</v>
      </c>
      <c r="H1923" s="5" t="s">
        <v>105</v>
      </c>
      <c r="I1923" s="15">
        <v>45073</v>
      </c>
      <c r="J1923" s="15" t="s">
        <v>233</v>
      </c>
      <c r="K1923" s="6">
        <v>0.49930555555555556</v>
      </c>
      <c r="L1923" t="s">
        <v>143</v>
      </c>
      <c r="M1923">
        <v>250000</v>
      </c>
      <c r="N1923" t="s">
        <v>221</v>
      </c>
      <c r="O1923" t="s">
        <v>152</v>
      </c>
      <c r="P1923">
        <v>72</v>
      </c>
      <c r="Q1923" t="s">
        <v>154</v>
      </c>
    </row>
    <row r="1924" spans="1:17" x14ac:dyDescent="0.2">
      <c r="A1924">
        <v>1288732</v>
      </c>
      <c r="B1924">
        <v>354</v>
      </c>
      <c r="C1924" s="1" t="s">
        <v>113</v>
      </c>
      <c r="D1924" s="11">
        <v>44965.968055555553</v>
      </c>
      <c r="E1924" t="s">
        <v>191</v>
      </c>
      <c r="F1924" t="s">
        <v>88</v>
      </c>
      <c r="G1924">
        <v>1265</v>
      </c>
      <c r="H1924" s="5" t="s">
        <v>113</v>
      </c>
      <c r="I1924" s="15">
        <v>44965</v>
      </c>
      <c r="J1924" s="15" t="s">
        <v>232</v>
      </c>
      <c r="K1924" s="6">
        <v>0.46805555555555556</v>
      </c>
      <c r="L1924" t="s">
        <v>144</v>
      </c>
      <c r="M1924">
        <v>100000</v>
      </c>
      <c r="N1924" t="s">
        <v>200</v>
      </c>
      <c r="O1924" t="s">
        <v>151</v>
      </c>
      <c r="P1924">
        <v>29</v>
      </c>
      <c r="Q1924" t="s">
        <v>154</v>
      </c>
    </row>
    <row r="1925" spans="1:17" x14ac:dyDescent="0.2">
      <c r="A1925">
        <v>1288792</v>
      </c>
      <c r="B1925">
        <v>25</v>
      </c>
      <c r="C1925" s="1" t="s">
        <v>99</v>
      </c>
      <c r="D1925" s="11">
        <v>45265.070138888892</v>
      </c>
      <c r="E1925" t="s">
        <v>191</v>
      </c>
      <c r="F1925" t="s">
        <v>46</v>
      </c>
      <c r="G1925">
        <v>3516</v>
      </c>
      <c r="H1925" s="5" t="s">
        <v>99</v>
      </c>
      <c r="I1925" s="15">
        <v>45265</v>
      </c>
      <c r="J1925" s="15" t="s">
        <v>295</v>
      </c>
      <c r="K1925" s="6">
        <v>7.013888888888889E-2</v>
      </c>
      <c r="L1925" t="s">
        <v>142</v>
      </c>
      <c r="M1925">
        <v>200000</v>
      </c>
      <c r="N1925" t="s">
        <v>211</v>
      </c>
      <c r="O1925" t="s">
        <v>151</v>
      </c>
      <c r="P1925">
        <v>59</v>
      </c>
      <c r="Q1925" t="s">
        <v>154</v>
      </c>
    </row>
    <row r="1926" spans="1:17" x14ac:dyDescent="0.2">
      <c r="A1926">
        <v>1288824</v>
      </c>
      <c r="B1926">
        <v>912</v>
      </c>
      <c r="C1926" s="1" t="s">
        <v>99</v>
      </c>
      <c r="D1926" s="11">
        <v>44930.002083333333</v>
      </c>
      <c r="E1926" t="s">
        <v>97</v>
      </c>
      <c r="F1926" t="s">
        <v>82</v>
      </c>
      <c r="G1926">
        <v>8079</v>
      </c>
      <c r="H1926" s="5" t="s">
        <v>99</v>
      </c>
      <c r="I1926" s="15">
        <v>44930</v>
      </c>
      <c r="J1926" s="15" t="s">
        <v>232</v>
      </c>
      <c r="K1926" s="6">
        <v>0.50208333333333333</v>
      </c>
      <c r="L1926" t="s">
        <v>142</v>
      </c>
      <c r="M1926">
        <v>100000</v>
      </c>
      <c r="N1926" t="s">
        <v>209</v>
      </c>
      <c r="O1926" t="s">
        <v>151</v>
      </c>
      <c r="P1926">
        <v>33</v>
      </c>
      <c r="Q1926" t="s">
        <v>155</v>
      </c>
    </row>
    <row r="1927" spans="1:17" x14ac:dyDescent="0.2">
      <c r="A1927">
        <v>1289179</v>
      </c>
      <c r="B1927">
        <v>65</v>
      </c>
      <c r="C1927" s="1" t="s">
        <v>105</v>
      </c>
      <c r="D1927" s="11">
        <v>44961.044444444444</v>
      </c>
      <c r="E1927" t="s">
        <v>98</v>
      </c>
      <c r="F1927" t="s">
        <v>17</v>
      </c>
      <c r="G1927">
        <v>2409</v>
      </c>
      <c r="H1927" s="5" t="s">
        <v>105</v>
      </c>
      <c r="I1927" s="15">
        <v>44961</v>
      </c>
      <c r="J1927" s="15" t="s">
        <v>232</v>
      </c>
      <c r="K1927" s="6">
        <v>4.4444444444444446E-2</v>
      </c>
      <c r="L1927" t="s">
        <v>142</v>
      </c>
      <c r="M1927">
        <v>100000</v>
      </c>
      <c r="N1927" t="s">
        <v>209</v>
      </c>
      <c r="O1927" t="s">
        <v>152</v>
      </c>
      <c r="P1927">
        <v>37</v>
      </c>
      <c r="Q1927" t="s">
        <v>154</v>
      </c>
    </row>
    <row r="1928" spans="1:17" x14ac:dyDescent="0.2">
      <c r="A1928">
        <v>1289588</v>
      </c>
      <c r="B1928">
        <v>336</v>
      </c>
      <c r="C1928" s="1" t="s">
        <v>105</v>
      </c>
      <c r="D1928" s="11">
        <v>45174.995833333334</v>
      </c>
      <c r="E1928" t="s">
        <v>191</v>
      </c>
      <c r="F1928" t="s">
        <v>43</v>
      </c>
      <c r="G1928">
        <v>4944</v>
      </c>
      <c r="H1928" s="5" t="s">
        <v>105</v>
      </c>
      <c r="I1928" s="15">
        <v>45174</v>
      </c>
      <c r="J1928" s="15" t="s">
        <v>234</v>
      </c>
      <c r="K1928" s="6">
        <v>0.49583333333333335</v>
      </c>
      <c r="L1928" t="s">
        <v>145</v>
      </c>
      <c r="M1928">
        <v>1000000</v>
      </c>
      <c r="N1928" t="s">
        <v>203</v>
      </c>
      <c r="O1928" t="s">
        <v>152</v>
      </c>
      <c r="P1928">
        <v>26</v>
      </c>
      <c r="Q1928" t="s">
        <v>154</v>
      </c>
    </row>
    <row r="1929" spans="1:17" x14ac:dyDescent="0.2">
      <c r="A1929">
        <v>1289856</v>
      </c>
      <c r="B1929">
        <v>1174</v>
      </c>
      <c r="C1929" s="1" t="s">
        <v>99</v>
      </c>
      <c r="D1929" s="11">
        <v>45115.018055555556</v>
      </c>
      <c r="E1929" t="s">
        <v>191</v>
      </c>
      <c r="F1929" t="s">
        <v>44</v>
      </c>
      <c r="G1929">
        <v>5660</v>
      </c>
      <c r="H1929" s="5" t="s">
        <v>99</v>
      </c>
      <c r="I1929" s="15">
        <v>45115</v>
      </c>
      <c r="J1929" s="15" t="s">
        <v>234</v>
      </c>
      <c r="K1929" s="6">
        <v>0.5180555555555556</v>
      </c>
      <c r="L1929" t="s">
        <v>144</v>
      </c>
      <c r="M1929">
        <v>150000</v>
      </c>
      <c r="N1929" t="s">
        <v>199</v>
      </c>
      <c r="O1929" t="s">
        <v>151</v>
      </c>
      <c r="P1929">
        <v>60</v>
      </c>
      <c r="Q1929" t="s">
        <v>156</v>
      </c>
    </row>
    <row r="1930" spans="1:17" x14ac:dyDescent="0.2">
      <c r="A1930">
        <v>1289947</v>
      </c>
      <c r="B1930">
        <v>164</v>
      </c>
      <c r="C1930" s="1" t="s">
        <v>99</v>
      </c>
      <c r="D1930" s="11">
        <v>45251.975694444445</v>
      </c>
      <c r="E1930" t="s">
        <v>98</v>
      </c>
      <c r="F1930" t="s">
        <v>78</v>
      </c>
      <c r="G1930">
        <v>1867</v>
      </c>
      <c r="H1930" s="5" t="s">
        <v>99</v>
      </c>
      <c r="I1930" s="15">
        <v>45251</v>
      </c>
      <c r="J1930" s="15" t="s">
        <v>295</v>
      </c>
      <c r="K1930" s="6">
        <v>0.47569444444444442</v>
      </c>
      <c r="L1930" t="s">
        <v>143</v>
      </c>
      <c r="M1930">
        <v>200000</v>
      </c>
      <c r="N1930" t="s">
        <v>215</v>
      </c>
      <c r="O1930" t="s">
        <v>151</v>
      </c>
      <c r="P1930">
        <v>36</v>
      </c>
      <c r="Q1930" t="s">
        <v>154</v>
      </c>
    </row>
    <row r="1931" spans="1:17" x14ac:dyDescent="0.2">
      <c r="A1931">
        <v>1290448</v>
      </c>
      <c r="B1931">
        <v>1083</v>
      </c>
      <c r="C1931" s="1" t="s">
        <v>105</v>
      </c>
      <c r="D1931" s="11">
        <v>44971.065972222219</v>
      </c>
      <c r="E1931" t="s">
        <v>191</v>
      </c>
      <c r="F1931" t="s">
        <v>27</v>
      </c>
      <c r="G1931">
        <v>9507</v>
      </c>
      <c r="H1931" s="5" t="s">
        <v>105</v>
      </c>
      <c r="I1931" s="15">
        <v>44971</v>
      </c>
      <c r="J1931" s="15" t="s">
        <v>232</v>
      </c>
      <c r="K1931" s="6">
        <v>6.5972222222222224E-2</v>
      </c>
      <c r="L1931" t="s">
        <v>142</v>
      </c>
      <c r="M1931">
        <v>1000000</v>
      </c>
      <c r="N1931" t="s">
        <v>209</v>
      </c>
      <c r="O1931" t="s">
        <v>152</v>
      </c>
      <c r="P1931">
        <v>25</v>
      </c>
      <c r="Q1931" t="s">
        <v>156</v>
      </c>
    </row>
    <row r="1932" spans="1:17" x14ac:dyDescent="0.2">
      <c r="A1932">
        <v>1290759</v>
      </c>
      <c r="B1932">
        <v>497</v>
      </c>
      <c r="C1932" s="1" t="s">
        <v>99</v>
      </c>
      <c r="D1932" s="11">
        <v>44976.036805555559</v>
      </c>
      <c r="E1932" t="s">
        <v>98</v>
      </c>
      <c r="F1932" t="s">
        <v>59</v>
      </c>
      <c r="G1932">
        <v>6538</v>
      </c>
      <c r="H1932" s="5" t="s">
        <v>99</v>
      </c>
      <c r="I1932" s="15">
        <v>44976</v>
      </c>
      <c r="J1932" s="15" t="s">
        <v>232</v>
      </c>
      <c r="K1932" s="6">
        <v>0.53680555555555554</v>
      </c>
      <c r="L1932" t="s">
        <v>144</v>
      </c>
      <c r="M1932">
        <v>80000</v>
      </c>
      <c r="N1932" t="s">
        <v>224</v>
      </c>
      <c r="O1932" t="s">
        <v>151</v>
      </c>
      <c r="P1932">
        <v>88</v>
      </c>
      <c r="Q1932" t="s">
        <v>154</v>
      </c>
    </row>
    <row r="1933" spans="1:17" x14ac:dyDescent="0.2">
      <c r="A1933">
        <v>1290822</v>
      </c>
      <c r="B1933">
        <v>430</v>
      </c>
      <c r="C1933" s="1" t="s">
        <v>113</v>
      </c>
      <c r="D1933" s="11">
        <v>45034.056944444441</v>
      </c>
      <c r="E1933" t="s">
        <v>97</v>
      </c>
      <c r="F1933" t="s">
        <v>87</v>
      </c>
      <c r="G1933">
        <v>3136</v>
      </c>
      <c r="H1933" s="5" t="s">
        <v>113</v>
      </c>
      <c r="I1933" s="15">
        <v>45034</v>
      </c>
      <c r="J1933" s="15" t="s">
        <v>233</v>
      </c>
      <c r="K1933" s="6">
        <v>5.6944444444444443E-2</v>
      </c>
      <c r="L1933" t="s">
        <v>144</v>
      </c>
      <c r="M1933">
        <v>100000</v>
      </c>
      <c r="N1933" t="s">
        <v>216</v>
      </c>
      <c r="O1933" t="s">
        <v>151</v>
      </c>
      <c r="P1933">
        <v>82</v>
      </c>
      <c r="Q1933" t="s">
        <v>154</v>
      </c>
    </row>
    <row r="1934" spans="1:17" x14ac:dyDescent="0.2">
      <c r="A1934">
        <v>1291386</v>
      </c>
      <c r="B1934">
        <v>1855</v>
      </c>
      <c r="C1934" s="1" t="s">
        <v>108</v>
      </c>
      <c r="D1934" s="11">
        <v>45098.051388888889</v>
      </c>
      <c r="E1934" t="s">
        <v>98</v>
      </c>
      <c r="F1934" t="s">
        <v>78</v>
      </c>
      <c r="G1934">
        <v>6840</v>
      </c>
      <c r="H1934" s="5" t="s">
        <v>108</v>
      </c>
      <c r="I1934" s="15">
        <v>45098</v>
      </c>
      <c r="J1934" s="15" t="s">
        <v>233</v>
      </c>
      <c r="K1934" s="6">
        <v>5.1388888888888887E-2</v>
      </c>
      <c r="L1934" t="s">
        <v>143</v>
      </c>
      <c r="M1934">
        <v>200000</v>
      </c>
      <c r="N1934" t="s">
        <v>215</v>
      </c>
      <c r="O1934" t="s">
        <v>152</v>
      </c>
      <c r="P1934">
        <v>44</v>
      </c>
      <c r="Q1934" t="s">
        <v>157</v>
      </c>
    </row>
    <row r="1935" spans="1:17" x14ac:dyDescent="0.2">
      <c r="A1935">
        <v>1291392</v>
      </c>
      <c r="B1935">
        <v>1083</v>
      </c>
      <c r="C1935" s="1" t="s">
        <v>105</v>
      </c>
      <c r="D1935" s="11">
        <v>45119.025000000001</v>
      </c>
      <c r="E1935" t="s">
        <v>97</v>
      </c>
      <c r="F1935" t="s">
        <v>27</v>
      </c>
      <c r="G1935">
        <v>7984</v>
      </c>
      <c r="H1935" s="5" t="s">
        <v>105</v>
      </c>
      <c r="I1935" s="15">
        <v>45119</v>
      </c>
      <c r="J1935" s="15" t="s">
        <v>234</v>
      </c>
      <c r="K1935" s="6">
        <v>0.52500000000000002</v>
      </c>
      <c r="L1935" t="s">
        <v>142</v>
      </c>
      <c r="M1935">
        <v>1000000</v>
      </c>
      <c r="N1935" t="s">
        <v>209</v>
      </c>
      <c r="O1935" t="s">
        <v>152</v>
      </c>
      <c r="P1935">
        <v>25</v>
      </c>
      <c r="Q1935" t="s">
        <v>156</v>
      </c>
    </row>
    <row r="1936" spans="1:17" x14ac:dyDescent="0.2">
      <c r="A1936">
        <v>1291584</v>
      </c>
      <c r="B1936">
        <v>1215</v>
      </c>
      <c r="C1936" s="1" t="s">
        <v>99</v>
      </c>
      <c r="D1936" s="11">
        <v>45074.02847222222</v>
      </c>
      <c r="E1936" t="s">
        <v>97</v>
      </c>
      <c r="F1936" t="s">
        <v>69</v>
      </c>
      <c r="G1936">
        <v>813</v>
      </c>
      <c r="H1936" s="5" t="s">
        <v>99</v>
      </c>
      <c r="I1936" s="15">
        <v>45074</v>
      </c>
      <c r="J1936" s="15" t="s">
        <v>233</v>
      </c>
      <c r="K1936" s="6">
        <v>0.52847222222222223</v>
      </c>
      <c r="L1936" t="s">
        <v>146</v>
      </c>
      <c r="M1936">
        <v>250000</v>
      </c>
      <c r="N1936" t="s">
        <v>225</v>
      </c>
      <c r="O1936" t="s">
        <v>151</v>
      </c>
      <c r="P1936">
        <v>33</v>
      </c>
      <c r="Q1936" t="s">
        <v>156</v>
      </c>
    </row>
    <row r="1937" spans="1:17" x14ac:dyDescent="0.2">
      <c r="A1937">
        <v>1291650</v>
      </c>
      <c r="B1937">
        <v>1982</v>
      </c>
      <c r="C1937" s="1" t="s">
        <v>107</v>
      </c>
      <c r="D1937" s="11">
        <v>45080.065972222219</v>
      </c>
      <c r="E1937" t="s">
        <v>98</v>
      </c>
      <c r="F1937" t="s">
        <v>89</v>
      </c>
      <c r="G1937">
        <v>5585</v>
      </c>
      <c r="H1937" s="5" t="s">
        <v>107</v>
      </c>
      <c r="I1937" s="15">
        <v>45080</v>
      </c>
      <c r="J1937" s="15" t="s">
        <v>233</v>
      </c>
      <c r="K1937" s="6">
        <v>6.5972222222222224E-2</v>
      </c>
      <c r="L1937" t="s">
        <v>144</v>
      </c>
      <c r="M1937">
        <v>150000</v>
      </c>
      <c r="N1937" t="s">
        <v>218</v>
      </c>
      <c r="O1937" t="s">
        <v>152</v>
      </c>
      <c r="P1937">
        <v>74</v>
      </c>
      <c r="Q1937" t="s">
        <v>157</v>
      </c>
    </row>
    <row r="1938" spans="1:17" x14ac:dyDescent="0.2">
      <c r="A1938">
        <v>1291973</v>
      </c>
      <c r="B1938">
        <v>461</v>
      </c>
      <c r="C1938" s="1" t="s">
        <v>101</v>
      </c>
      <c r="D1938" s="11">
        <v>44933.057638888888</v>
      </c>
      <c r="E1938" t="s">
        <v>96</v>
      </c>
      <c r="F1938" t="s">
        <v>27</v>
      </c>
      <c r="G1938">
        <v>5976</v>
      </c>
      <c r="H1938" s="5" t="s">
        <v>101</v>
      </c>
      <c r="I1938" s="15">
        <v>44933</v>
      </c>
      <c r="J1938" s="15" t="s">
        <v>232</v>
      </c>
      <c r="K1938" s="6">
        <v>5.7638888888888892E-2</v>
      </c>
      <c r="L1938" t="s">
        <v>142</v>
      </c>
      <c r="M1938">
        <v>1000000</v>
      </c>
      <c r="N1938" t="s">
        <v>209</v>
      </c>
      <c r="O1938" t="s">
        <v>151</v>
      </c>
      <c r="P1938">
        <v>77</v>
      </c>
      <c r="Q1938" t="s">
        <v>154</v>
      </c>
    </row>
    <row r="1939" spans="1:17" x14ac:dyDescent="0.2">
      <c r="A1939">
        <v>1292166</v>
      </c>
      <c r="B1939">
        <v>758</v>
      </c>
      <c r="C1939" s="1" t="s">
        <v>99</v>
      </c>
      <c r="D1939" s="11">
        <v>44974.002083333333</v>
      </c>
      <c r="E1939" t="s">
        <v>96</v>
      </c>
      <c r="F1939" t="s">
        <v>25</v>
      </c>
      <c r="G1939">
        <v>7030</v>
      </c>
      <c r="H1939" s="5" t="s">
        <v>99</v>
      </c>
      <c r="I1939" s="15">
        <v>44974</v>
      </c>
      <c r="J1939" s="15" t="s">
        <v>232</v>
      </c>
      <c r="K1939" s="6">
        <v>0.50208333333333333</v>
      </c>
      <c r="L1939" t="s">
        <v>142</v>
      </c>
      <c r="M1939">
        <v>100000</v>
      </c>
      <c r="N1939" t="s">
        <v>201</v>
      </c>
      <c r="O1939" t="s">
        <v>152</v>
      </c>
      <c r="P1939">
        <v>22</v>
      </c>
      <c r="Q1939" t="s">
        <v>155</v>
      </c>
    </row>
    <row r="1940" spans="1:17" x14ac:dyDescent="0.2">
      <c r="A1940">
        <v>1292922</v>
      </c>
      <c r="B1940">
        <v>27</v>
      </c>
      <c r="C1940" s="1" t="s">
        <v>99</v>
      </c>
      <c r="D1940" s="11">
        <v>44966.074305555558</v>
      </c>
      <c r="E1940" t="s">
        <v>97</v>
      </c>
      <c r="F1940" t="s">
        <v>81</v>
      </c>
      <c r="G1940">
        <v>1646</v>
      </c>
      <c r="H1940" s="5" t="s">
        <v>99</v>
      </c>
      <c r="I1940" s="15">
        <v>44966</v>
      </c>
      <c r="J1940" s="15" t="s">
        <v>232</v>
      </c>
      <c r="K1940" s="6">
        <v>7.4305555555555555E-2</v>
      </c>
      <c r="L1940" t="s">
        <v>143</v>
      </c>
      <c r="M1940">
        <v>250000</v>
      </c>
      <c r="N1940" t="s">
        <v>221</v>
      </c>
      <c r="O1940" t="s">
        <v>152</v>
      </c>
      <c r="P1940">
        <v>66</v>
      </c>
      <c r="Q1940" t="s">
        <v>154</v>
      </c>
    </row>
    <row r="1941" spans="1:17" x14ac:dyDescent="0.2">
      <c r="A1941">
        <v>1294009</v>
      </c>
      <c r="B1941">
        <v>538</v>
      </c>
      <c r="C1941" s="1" t="s">
        <v>113</v>
      </c>
      <c r="D1941" s="11">
        <v>44932.073611111111</v>
      </c>
      <c r="E1941" t="s">
        <v>96</v>
      </c>
      <c r="F1941" t="s">
        <v>88</v>
      </c>
      <c r="G1941">
        <v>4279</v>
      </c>
      <c r="H1941" s="5" t="s">
        <v>113</v>
      </c>
      <c r="I1941" s="15">
        <v>44932</v>
      </c>
      <c r="J1941" s="15" t="s">
        <v>232</v>
      </c>
      <c r="K1941" s="6">
        <v>7.3611111111111113E-2</v>
      </c>
      <c r="L1941" t="s">
        <v>144</v>
      </c>
      <c r="M1941">
        <v>100000</v>
      </c>
      <c r="N1941" t="s">
        <v>200</v>
      </c>
      <c r="O1941" t="s">
        <v>151</v>
      </c>
      <c r="P1941">
        <v>32</v>
      </c>
      <c r="Q1941" t="s">
        <v>155</v>
      </c>
    </row>
    <row r="1942" spans="1:17" x14ac:dyDescent="0.2">
      <c r="A1942">
        <v>1297610</v>
      </c>
      <c r="B1942">
        <v>1732</v>
      </c>
      <c r="C1942" s="1" t="s">
        <v>99</v>
      </c>
      <c r="D1942" s="11">
        <v>45209.058333333334</v>
      </c>
      <c r="E1942" t="s">
        <v>98</v>
      </c>
      <c r="F1942" t="s">
        <v>43</v>
      </c>
      <c r="G1942">
        <v>2563</v>
      </c>
      <c r="H1942" s="5" t="s">
        <v>99</v>
      </c>
      <c r="I1942" s="15">
        <v>45209</v>
      </c>
      <c r="J1942" s="15" t="s">
        <v>295</v>
      </c>
      <c r="K1942" s="6">
        <v>5.8333333333333334E-2</v>
      </c>
      <c r="L1942" t="s">
        <v>145</v>
      </c>
      <c r="M1942">
        <v>1000000</v>
      </c>
      <c r="N1942" t="s">
        <v>203</v>
      </c>
      <c r="O1942" t="s">
        <v>151</v>
      </c>
      <c r="P1942">
        <v>90</v>
      </c>
      <c r="Q1942" t="s">
        <v>157</v>
      </c>
    </row>
    <row r="1943" spans="1:17" x14ac:dyDescent="0.2">
      <c r="A1943">
        <v>1297796</v>
      </c>
      <c r="B1943">
        <v>640</v>
      </c>
      <c r="C1943" s="1" t="s">
        <v>100</v>
      </c>
      <c r="D1943" s="11">
        <v>44983.027777777781</v>
      </c>
      <c r="E1943" t="s">
        <v>97</v>
      </c>
      <c r="F1943" t="s">
        <v>27</v>
      </c>
      <c r="G1943">
        <v>9438</v>
      </c>
      <c r="H1943" s="5" t="s">
        <v>100</v>
      </c>
      <c r="I1943" s="15">
        <v>44983</v>
      </c>
      <c r="J1943" s="15" t="s">
        <v>232</v>
      </c>
      <c r="K1943" s="6">
        <v>0.52777777777777779</v>
      </c>
      <c r="L1943" t="s">
        <v>142</v>
      </c>
      <c r="M1943">
        <v>1000000</v>
      </c>
      <c r="N1943" t="s">
        <v>209</v>
      </c>
      <c r="O1943" t="s">
        <v>152</v>
      </c>
      <c r="P1943">
        <v>51</v>
      </c>
      <c r="Q1943" t="s">
        <v>155</v>
      </c>
    </row>
    <row r="1944" spans="1:17" x14ac:dyDescent="0.2">
      <c r="A1944">
        <v>1299122</v>
      </c>
      <c r="B1944">
        <v>220</v>
      </c>
      <c r="C1944" s="1" t="s">
        <v>101</v>
      </c>
      <c r="D1944" s="11">
        <v>44933.97152777778</v>
      </c>
      <c r="E1944" t="s">
        <v>98</v>
      </c>
      <c r="F1944" t="s">
        <v>65</v>
      </c>
      <c r="G1944">
        <v>9458</v>
      </c>
      <c r="H1944" s="5" t="s">
        <v>101</v>
      </c>
      <c r="I1944" s="15">
        <v>44933</v>
      </c>
      <c r="J1944" s="15" t="s">
        <v>232</v>
      </c>
      <c r="K1944" s="6">
        <v>0.47152777777777777</v>
      </c>
      <c r="L1944" t="s">
        <v>146</v>
      </c>
      <c r="M1944">
        <v>200000</v>
      </c>
      <c r="N1944" t="s">
        <v>225</v>
      </c>
      <c r="O1944" t="s">
        <v>151</v>
      </c>
      <c r="P1944">
        <v>71</v>
      </c>
      <c r="Q1944" t="s">
        <v>154</v>
      </c>
    </row>
    <row r="1945" spans="1:17" x14ac:dyDescent="0.2">
      <c r="A1945">
        <v>1303658</v>
      </c>
      <c r="B1945">
        <v>67</v>
      </c>
      <c r="C1945" s="1" t="s">
        <v>107</v>
      </c>
      <c r="D1945" s="11">
        <v>45087.070833333331</v>
      </c>
      <c r="E1945" t="s">
        <v>97</v>
      </c>
      <c r="F1945" t="s">
        <v>24</v>
      </c>
      <c r="G1945">
        <v>897</v>
      </c>
      <c r="H1945" s="5" t="s">
        <v>107</v>
      </c>
      <c r="I1945" s="15">
        <v>45087</v>
      </c>
      <c r="J1945" s="15" t="s">
        <v>233</v>
      </c>
      <c r="K1945" s="6">
        <v>7.0833333333333331E-2</v>
      </c>
      <c r="L1945" t="s">
        <v>143</v>
      </c>
      <c r="M1945">
        <v>200000</v>
      </c>
      <c r="N1945" t="s">
        <v>214</v>
      </c>
      <c r="O1945" t="s">
        <v>151</v>
      </c>
      <c r="P1945">
        <v>51</v>
      </c>
      <c r="Q1945" t="s">
        <v>154</v>
      </c>
    </row>
    <row r="1946" spans="1:17" x14ac:dyDescent="0.2">
      <c r="A1946">
        <v>1305831</v>
      </c>
      <c r="B1946">
        <v>1531</v>
      </c>
      <c r="C1946" s="1" t="s">
        <v>106</v>
      </c>
      <c r="D1946" s="11">
        <v>45195.96597222222</v>
      </c>
      <c r="E1946" t="s">
        <v>191</v>
      </c>
      <c r="F1946" t="s">
        <v>52</v>
      </c>
      <c r="G1946">
        <v>695</v>
      </c>
      <c r="H1946" s="5" t="s">
        <v>106</v>
      </c>
      <c r="I1946" s="15">
        <v>45195</v>
      </c>
      <c r="J1946" s="15" t="s">
        <v>234</v>
      </c>
      <c r="K1946" s="6">
        <v>0.46597222222222223</v>
      </c>
      <c r="L1946" t="s">
        <v>143</v>
      </c>
      <c r="M1946">
        <v>100000</v>
      </c>
      <c r="N1946" t="s">
        <v>206</v>
      </c>
      <c r="O1946" t="s">
        <v>152</v>
      </c>
      <c r="P1946">
        <v>41</v>
      </c>
      <c r="Q1946" t="s">
        <v>157</v>
      </c>
    </row>
    <row r="1947" spans="1:17" x14ac:dyDescent="0.2">
      <c r="A1947">
        <v>1307458</v>
      </c>
      <c r="B1947">
        <v>122</v>
      </c>
      <c r="C1947" s="1" t="s">
        <v>105</v>
      </c>
      <c r="D1947" s="11">
        <v>44927.063194444447</v>
      </c>
      <c r="E1947" t="s">
        <v>191</v>
      </c>
      <c r="F1947" t="s">
        <v>23</v>
      </c>
      <c r="G1947">
        <v>943</v>
      </c>
      <c r="H1947" s="5" t="s">
        <v>105</v>
      </c>
      <c r="I1947" s="15">
        <v>44927</v>
      </c>
      <c r="J1947" s="15" t="s">
        <v>232</v>
      </c>
      <c r="K1947" s="6">
        <v>6.3194444444444442E-2</v>
      </c>
      <c r="L1947" t="s">
        <v>142</v>
      </c>
      <c r="M1947">
        <v>150000</v>
      </c>
      <c r="N1947" t="s">
        <v>213</v>
      </c>
      <c r="O1947" t="s">
        <v>151</v>
      </c>
      <c r="P1947">
        <v>41</v>
      </c>
      <c r="Q1947" t="s">
        <v>154</v>
      </c>
    </row>
    <row r="1948" spans="1:17" x14ac:dyDescent="0.2">
      <c r="A1948">
        <v>1308621</v>
      </c>
      <c r="B1948">
        <v>1948</v>
      </c>
      <c r="C1948" s="1" t="s">
        <v>99</v>
      </c>
      <c r="D1948" s="11">
        <v>45227.011111111111</v>
      </c>
      <c r="E1948" t="s">
        <v>98</v>
      </c>
      <c r="F1948" t="s">
        <v>53</v>
      </c>
      <c r="G1948">
        <v>1684</v>
      </c>
      <c r="H1948" s="5" t="s">
        <v>99</v>
      </c>
      <c r="I1948" s="15">
        <v>45227</v>
      </c>
      <c r="J1948" s="15" t="s">
        <v>295</v>
      </c>
      <c r="K1948" s="6">
        <v>0.51111111111111107</v>
      </c>
      <c r="L1948" t="s">
        <v>142</v>
      </c>
      <c r="M1948">
        <v>100000</v>
      </c>
      <c r="N1948" t="s">
        <v>207</v>
      </c>
      <c r="O1948" t="s">
        <v>152</v>
      </c>
      <c r="P1948">
        <v>79</v>
      </c>
      <c r="Q1948" t="s">
        <v>157</v>
      </c>
    </row>
    <row r="1949" spans="1:17" x14ac:dyDescent="0.2">
      <c r="A1949">
        <v>1308737</v>
      </c>
      <c r="B1949">
        <v>344</v>
      </c>
      <c r="C1949" s="1" t="s">
        <v>102</v>
      </c>
      <c r="D1949" s="11">
        <v>45139.038888888892</v>
      </c>
      <c r="E1949" t="s">
        <v>191</v>
      </c>
      <c r="F1949" t="s">
        <v>54</v>
      </c>
      <c r="G1949">
        <v>144</v>
      </c>
      <c r="H1949" s="5" t="s">
        <v>102</v>
      </c>
      <c r="I1949" s="15">
        <v>45139</v>
      </c>
      <c r="J1949" s="15" t="s">
        <v>234</v>
      </c>
      <c r="K1949" s="6">
        <v>0.53888888888888886</v>
      </c>
      <c r="L1949" t="s">
        <v>144</v>
      </c>
      <c r="M1949">
        <v>100000</v>
      </c>
      <c r="N1949" t="s">
        <v>224</v>
      </c>
      <c r="O1949" t="s">
        <v>152</v>
      </c>
      <c r="P1949">
        <v>84</v>
      </c>
      <c r="Q1949" t="s">
        <v>154</v>
      </c>
    </row>
    <row r="1950" spans="1:17" x14ac:dyDescent="0.2">
      <c r="A1950">
        <v>1309217</v>
      </c>
      <c r="B1950">
        <v>1458</v>
      </c>
      <c r="C1950" s="1" t="s">
        <v>100</v>
      </c>
      <c r="D1950" s="11">
        <v>45103.029166666667</v>
      </c>
      <c r="E1950" t="s">
        <v>97</v>
      </c>
      <c r="F1950" t="s">
        <v>20</v>
      </c>
      <c r="G1950">
        <v>5635</v>
      </c>
      <c r="H1950" s="5" t="s">
        <v>100</v>
      </c>
      <c r="I1950" s="15">
        <v>45103</v>
      </c>
      <c r="J1950" s="15" t="s">
        <v>233</v>
      </c>
      <c r="K1950" s="6">
        <v>0.52916666666666667</v>
      </c>
      <c r="L1950" t="s">
        <v>146</v>
      </c>
      <c r="M1950">
        <v>150000</v>
      </c>
      <c r="N1950" t="s">
        <v>212</v>
      </c>
      <c r="O1950" t="s">
        <v>151</v>
      </c>
      <c r="P1950">
        <v>67</v>
      </c>
      <c r="Q1950" t="s">
        <v>156</v>
      </c>
    </row>
    <row r="1951" spans="1:17" x14ac:dyDescent="0.2">
      <c r="A1951">
        <v>1309990</v>
      </c>
      <c r="B1951">
        <v>221</v>
      </c>
      <c r="C1951" s="1" t="s">
        <v>101</v>
      </c>
      <c r="D1951" s="11">
        <v>45101.999305555553</v>
      </c>
      <c r="E1951" t="s">
        <v>191</v>
      </c>
      <c r="F1951" t="s">
        <v>41</v>
      </c>
      <c r="G1951">
        <v>667</v>
      </c>
      <c r="H1951" s="5" t="s">
        <v>101</v>
      </c>
      <c r="I1951" s="15">
        <v>45101</v>
      </c>
      <c r="J1951" s="15" t="s">
        <v>233</v>
      </c>
      <c r="K1951" s="6">
        <v>0.49930555555555556</v>
      </c>
      <c r="L1951" t="s">
        <v>145</v>
      </c>
      <c r="M1951">
        <v>150000</v>
      </c>
      <c r="N1951" t="s">
        <v>203</v>
      </c>
      <c r="O1951" t="s">
        <v>151</v>
      </c>
      <c r="P1951">
        <v>64</v>
      </c>
      <c r="Q1951" t="s">
        <v>154</v>
      </c>
    </row>
    <row r="1952" spans="1:17" x14ac:dyDescent="0.2">
      <c r="A1952">
        <v>1310379</v>
      </c>
      <c r="B1952">
        <v>390</v>
      </c>
      <c r="C1952" s="1" t="s">
        <v>113</v>
      </c>
      <c r="D1952" s="11">
        <v>44980.030555555553</v>
      </c>
      <c r="E1952" t="s">
        <v>98</v>
      </c>
      <c r="F1952" t="s">
        <v>55</v>
      </c>
      <c r="G1952">
        <v>9158</v>
      </c>
      <c r="H1952" s="5" t="s">
        <v>113</v>
      </c>
      <c r="I1952" s="15">
        <v>44980</v>
      </c>
      <c r="J1952" s="15" t="s">
        <v>232</v>
      </c>
      <c r="K1952" s="6">
        <v>0.53055555555555556</v>
      </c>
      <c r="L1952" t="s">
        <v>144</v>
      </c>
      <c r="M1952">
        <v>100000</v>
      </c>
      <c r="N1952" t="s">
        <v>219</v>
      </c>
      <c r="O1952" t="s">
        <v>151</v>
      </c>
      <c r="P1952">
        <v>89</v>
      </c>
      <c r="Q1952" t="s">
        <v>154</v>
      </c>
    </row>
    <row r="1953" spans="1:17" x14ac:dyDescent="0.2">
      <c r="A1953">
        <v>1311114</v>
      </c>
      <c r="B1953">
        <v>130</v>
      </c>
      <c r="C1953" s="1" t="s">
        <v>99</v>
      </c>
      <c r="D1953" s="11">
        <v>45100.055555555555</v>
      </c>
      <c r="E1953" t="s">
        <v>97</v>
      </c>
      <c r="F1953" t="s">
        <v>56</v>
      </c>
      <c r="G1953">
        <v>1596</v>
      </c>
      <c r="H1953" s="5" t="s">
        <v>99</v>
      </c>
      <c r="I1953" s="15">
        <v>45100</v>
      </c>
      <c r="J1953" s="15" t="s">
        <v>233</v>
      </c>
      <c r="K1953" s="6">
        <v>5.5555555555555552E-2</v>
      </c>
      <c r="L1953" t="s">
        <v>146</v>
      </c>
      <c r="M1953">
        <v>50000</v>
      </c>
      <c r="N1953" t="s">
        <v>220</v>
      </c>
      <c r="O1953" t="s">
        <v>152</v>
      </c>
      <c r="P1953">
        <v>50</v>
      </c>
      <c r="Q1953" t="s">
        <v>154</v>
      </c>
    </row>
    <row r="1954" spans="1:17" x14ac:dyDescent="0.2">
      <c r="A1954">
        <v>1311384</v>
      </c>
      <c r="B1954">
        <v>1796</v>
      </c>
      <c r="C1954" s="1" t="s">
        <v>108</v>
      </c>
      <c r="D1954" s="11">
        <v>44974.981944444444</v>
      </c>
      <c r="E1954" t="s">
        <v>98</v>
      </c>
      <c r="F1954" t="s">
        <v>57</v>
      </c>
      <c r="G1954">
        <v>5286</v>
      </c>
      <c r="H1954" s="5" t="s">
        <v>108</v>
      </c>
      <c r="I1954" s="15">
        <v>44974</v>
      </c>
      <c r="J1954" s="15" t="s">
        <v>232</v>
      </c>
      <c r="K1954" s="6">
        <v>0.48194444444444445</v>
      </c>
      <c r="L1954" t="s">
        <v>142</v>
      </c>
      <c r="M1954">
        <v>50000</v>
      </c>
      <c r="N1954" t="s">
        <v>208</v>
      </c>
      <c r="O1954" t="s">
        <v>152</v>
      </c>
      <c r="P1954">
        <v>86</v>
      </c>
      <c r="Q1954" t="s">
        <v>157</v>
      </c>
    </row>
    <row r="1955" spans="1:17" x14ac:dyDescent="0.2">
      <c r="A1955">
        <v>1311758</v>
      </c>
      <c r="B1955">
        <v>446</v>
      </c>
      <c r="C1955" s="1" t="s">
        <v>99</v>
      </c>
      <c r="D1955" s="11">
        <v>45229.03125</v>
      </c>
      <c r="E1955" t="s">
        <v>191</v>
      </c>
      <c r="F1955" t="s">
        <v>58</v>
      </c>
      <c r="G1955">
        <v>7083</v>
      </c>
      <c r="H1955" s="5" t="s">
        <v>99</v>
      </c>
      <c r="I1955" s="15">
        <v>45229</v>
      </c>
      <c r="J1955" s="15" t="s">
        <v>295</v>
      </c>
      <c r="K1955" s="6">
        <v>0.53125</v>
      </c>
      <c r="L1955" t="s">
        <v>143</v>
      </c>
      <c r="M1955">
        <v>80000</v>
      </c>
      <c r="N1955" t="s">
        <v>214</v>
      </c>
      <c r="O1955" t="s">
        <v>151</v>
      </c>
      <c r="P1955">
        <v>67</v>
      </c>
      <c r="Q1955" t="s">
        <v>154</v>
      </c>
    </row>
    <row r="1956" spans="1:17" x14ac:dyDescent="0.2">
      <c r="A1956">
        <v>1311873</v>
      </c>
      <c r="B1956">
        <v>990</v>
      </c>
      <c r="C1956" s="1" t="s">
        <v>109</v>
      </c>
      <c r="D1956" s="11">
        <v>44995.049305555556</v>
      </c>
      <c r="E1956" t="s">
        <v>98</v>
      </c>
      <c r="F1956" t="s">
        <v>59</v>
      </c>
      <c r="G1956">
        <v>2981</v>
      </c>
      <c r="H1956" s="5" t="s">
        <v>109</v>
      </c>
      <c r="I1956" s="15">
        <v>44995</v>
      </c>
      <c r="J1956" s="15" t="s">
        <v>232</v>
      </c>
      <c r="K1956" s="6">
        <v>4.9305555555555554E-2</v>
      </c>
      <c r="L1956" t="s">
        <v>144</v>
      </c>
      <c r="M1956">
        <v>80000</v>
      </c>
      <c r="N1956" t="s">
        <v>224</v>
      </c>
      <c r="O1956" t="s">
        <v>151</v>
      </c>
      <c r="P1956">
        <v>37</v>
      </c>
      <c r="Q1956" t="s">
        <v>155</v>
      </c>
    </row>
    <row r="1957" spans="1:17" x14ac:dyDescent="0.2">
      <c r="A1957">
        <v>1311950</v>
      </c>
      <c r="B1957">
        <v>1770</v>
      </c>
      <c r="C1957" s="1" t="s">
        <v>104</v>
      </c>
      <c r="D1957" s="11">
        <v>45290.990972222222</v>
      </c>
      <c r="E1957" t="s">
        <v>98</v>
      </c>
      <c r="F1957" t="s">
        <v>4</v>
      </c>
      <c r="G1957">
        <v>4041</v>
      </c>
      <c r="H1957" s="5" t="s">
        <v>104</v>
      </c>
      <c r="I1957" s="15">
        <v>45290</v>
      </c>
      <c r="J1957" s="15" t="s">
        <v>295</v>
      </c>
      <c r="K1957" s="6">
        <v>0.4909722222222222</v>
      </c>
      <c r="L1957" t="s">
        <v>142</v>
      </c>
      <c r="M1957">
        <v>200000</v>
      </c>
      <c r="N1957" t="s">
        <v>197</v>
      </c>
      <c r="O1957" t="s">
        <v>151</v>
      </c>
      <c r="P1957">
        <v>88</v>
      </c>
      <c r="Q1957" t="s">
        <v>157</v>
      </c>
    </row>
    <row r="1958" spans="1:17" x14ac:dyDescent="0.2">
      <c r="A1958">
        <v>1312340</v>
      </c>
      <c r="B1958">
        <v>721</v>
      </c>
      <c r="C1958" s="1" t="s">
        <v>113</v>
      </c>
      <c r="D1958" s="11">
        <v>45197.013888888891</v>
      </c>
      <c r="E1958" t="s">
        <v>97</v>
      </c>
      <c r="F1958" t="s">
        <v>27</v>
      </c>
      <c r="G1958">
        <v>9364</v>
      </c>
      <c r="H1958" s="5" t="s">
        <v>113</v>
      </c>
      <c r="I1958" s="15">
        <v>45197</v>
      </c>
      <c r="J1958" s="15" t="s">
        <v>234</v>
      </c>
      <c r="K1958" s="6">
        <v>0.51388888888888884</v>
      </c>
      <c r="L1958" t="s">
        <v>142</v>
      </c>
      <c r="M1958">
        <v>1000000</v>
      </c>
      <c r="N1958" t="s">
        <v>209</v>
      </c>
      <c r="O1958" t="s">
        <v>151</v>
      </c>
      <c r="P1958">
        <v>46</v>
      </c>
      <c r="Q1958" t="s">
        <v>155</v>
      </c>
    </row>
    <row r="1959" spans="1:17" x14ac:dyDescent="0.2">
      <c r="A1959">
        <v>1312407</v>
      </c>
      <c r="B1959">
        <v>183</v>
      </c>
      <c r="C1959" s="1" t="s">
        <v>113</v>
      </c>
      <c r="D1959" s="11">
        <v>45020.054861111108</v>
      </c>
      <c r="E1959" t="s">
        <v>97</v>
      </c>
      <c r="F1959" t="s">
        <v>60</v>
      </c>
      <c r="G1959">
        <v>9002</v>
      </c>
      <c r="H1959" s="5" t="s">
        <v>113</v>
      </c>
      <c r="I1959" s="15">
        <v>45020</v>
      </c>
      <c r="J1959" s="15" t="s">
        <v>233</v>
      </c>
      <c r="K1959" s="6">
        <v>5.486111111111111E-2</v>
      </c>
      <c r="L1959" t="s">
        <v>146</v>
      </c>
      <c r="M1959">
        <v>100000</v>
      </c>
      <c r="N1959" t="s">
        <v>225</v>
      </c>
      <c r="O1959" t="s">
        <v>151</v>
      </c>
      <c r="P1959">
        <v>66</v>
      </c>
      <c r="Q1959" t="s">
        <v>154</v>
      </c>
    </row>
    <row r="1960" spans="1:17" x14ac:dyDescent="0.2">
      <c r="A1960">
        <v>1312635</v>
      </c>
      <c r="B1960">
        <v>55</v>
      </c>
      <c r="C1960" s="1" t="s">
        <v>108</v>
      </c>
      <c r="D1960" s="11">
        <v>44970.989583333336</v>
      </c>
      <c r="E1960" t="s">
        <v>98</v>
      </c>
      <c r="F1960" t="s">
        <v>61</v>
      </c>
      <c r="G1960">
        <v>2981</v>
      </c>
      <c r="H1960" s="5" t="s">
        <v>108</v>
      </c>
      <c r="I1960" s="15">
        <v>44970</v>
      </c>
      <c r="J1960" s="15" t="s">
        <v>232</v>
      </c>
      <c r="K1960" s="6">
        <v>0.48958333333333331</v>
      </c>
      <c r="L1960" t="s">
        <v>142</v>
      </c>
      <c r="M1960">
        <v>80000</v>
      </c>
      <c r="N1960" t="s">
        <v>197</v>
      </c>
      <c r="O1960" t="s">
        <v>152</v>
      </c>
      <c r="P1960">
        <v>32</v>
      </c>
      <c r="Q1960" t="s">
        <v>154</v>
      </c>
    </row>
    <row r="1961" spans="1:17" x14ac:dyDescent="0.2">
      <c r="A1961">
        <v>1313934</v>
      </c>
      <c r="B1961">
        <v>1710</v>
      </c>
      <c r="C1961" s="1" t="s">
        <v>105</v>
      </c>
      <c r="D1961" s="11">
        <v>45242.04583333333</v>
      </c>
      <c r="E1961" t="s">
        <v>96</v>
      </c>
      <c r="F1961" t="s">
        <v>93</v>
      </c>
      <c r="G1961">
        <v>2981</v>
      </c>
      <c r="H1961" s="5" t="s">
        <v>105</v>
      </c>
      <c r="I1961" s="15">
        <v>45242</v>
      </c>
      <c r="J1961" s="15" t="s">
        <v>295</v>
      </c>
      <c r="K1961" s="6">
        <v>4.583333333333333E-2</v>
      </c>
      <c r="L1961" t="s">
        <v>146</v>
      </c>
      <c r="M1961">
        <v>30000</v>
      </c>
      <c r="N1961" t="s">
        <v>220</v>
      </c>
      <c r="O1961" t="s">
        <v>152</v>
      </c>
      <c r="P1961">
        <v>84</v>
      </c>
      <c r="Q1961" t="s">
        <v>157</v>
      </c>
    </row>
    <row r="1962" spans="1:17" x14ac:dyDescent="0.2">
      <c r="A1962">
        <v>1313997</v>
      </c>
      <c r="B1962">
        <v>1327</v>
      </c>
      <c r="C1962" s="1" t="s">
        <v>100</v>
      </c>
      <c r="D1962" s="11">
        <v>44984.00277777778</v>
      </c>
      <c r="E1962" t="s">
        <v>98</v>
      </c>
      <c r="F1962" t="s">
        <v>33</v>
      </c>
      <c r="G1962">
        <v>8609</v>
      </c>
      <c r="H1962" s="5" t="s">
        <v>100</v>
      </c>
      <c r="I1962" s="15">
        <v>44984</v>
      </c>
      <c r="J1962" s="15" t="s">
        <v>232</v>
      </c>
      <c r="K1962" s="6">
        <v>0.50277777777777777</v>
      </c>
      <c r="L1962" t="s">
        <v>145</v>
      </c>
      <c r="M1962">
        <v>100000</v>
      </c>
      <c r="N1962" t="s">
        <v>210</v>
      </c>
      <c r="O1962" t="s">
        <v>151</v>
      </c>
      <c r="P1962">
        <v>34</v>
      </c>
      <c r="Q1962" t="s">
        <v>156</v>
      </c>
    </row>
    <row r="1963" spans="1:17" x14ac:dyDescent="0.2">
      <c r="A1963">
        <v>1314159</v>
      </c>
      <c r="B1963">
        <v>1357</v>
      </c>
      <c r="C1963" s="1" t="s">
        <v>111</v>
      </c>
      <c r="D1963" s="11">
        <v>45130.018055555556</v>
      </c>
      <c r="E1963" t="s">
        <v>97</v>
      </c>
      <c r="F1963" t="s">
        <v>63</v>
      </c>
      <c r="G1963">
        <v>3684</v>
      </c>
      <c r="H1963" s="5" t="s">
        <v>111</v>
      </c>
      <c r="I1963" s="15">
        <v>45130</v>
      </c>
      <c r="J1963" s="15" t="s">
        <v>234</v>
      </c>
      <c r="K1963" s="6">
        <v>0.5180555555555556</v>
      </c>
      <c r="L1963" t="s">
        <v>143</v>
      </c>
      <c r="M1963">
        <v>100000</v>
      </c>
      <c r="N1963" t="s">
        <v>198</v>
      </c>
      <c r="O1963" t="s">
        <v>151</v>
      </c>
      <c r="P1963">
        <v>43</v>
      </c>
      <c r="Q1963" t="s">
        <v>156</v>
      </c>
    </row>
    <row r="1964" spans="1:17" x14ac:dyDescent="0.2">
      <c r="A1964">
        <v>1314166</v>
      </c>
      <c r="B1964">
        <v>1145</v>
      </c>
      <c r="C1964" s="1" t="s">
        <v>99</v>
      </c>
      <c r="D1964" s="11">
        <v>45015.061111111114</v>
      </c>
      <c r="E1964" t="s">
        <v>96</v>
      </c>
      <c r="F1964" t="s">
        <v>28</v>
      </c>
      <c r="G1964">
        <v>9152</v>
      </c>
      <c r="H1964" s="5" t="s">
        <v>99</v>
      </c>
      <c r="I1964" s="15">
        <v>45015</v>
      </c>
      <c r="J1964" s="15" t="s">
        <v>232</v>
      </c>
      <c r="K1964" s="6">
        <v>6.1111111111111109E-2</v>
      </c>
      <c r="L1964" t="s">
        <v>143</v>
      </c>
      <c r="M1964">
        <v>100000</v>
      </c>
      <c r="N1964" t="s">
        <v>215</v>
      </c>
      <c r="O1964" t="s">
        <v>152</v>
      </c>
      <c r="P1964">
        <v>50</v>
      </c>
      <c r="Q1964" t="s">
        <v>156</v>
      </c>
    </row>
    <row r="1965" spans="1:17" x14ac:dyDescent="0.2">
      <c r="A1965">
        <v>1314895</v>
      </c>
      <c r="B1965">
        <v>1512</v>
      </c>
      <c r="C1965" s="1" t="s">
        <v>108</v>
      </c>
      <c r="D1965" s="11">
        <v>45278.942361111112</v>
      </c>
      <c r="E1965" t="s">
        <v>191</v>
      </c>
      <c r="F1965" t="s">
        <v>39</v>
      </c>
      <c r="G1965">
        <v>1560</v>
      </c>
      <c r="H1965" s="5" t="s">
        <v>108</v>
      </c>
      <c r="I1965" s="15">
        <v>45278</v>
      </c>
      <c r="J1965" s="15" t="s">
        <v>295</v>
      </c>
      <c r="K1965" s="6">
        <v>0.44236111111111109</v>
      </c>
      <c r="L1965" t="s">
        <v>146</v>
      </c>
      <c r="M1965">
        <v>100000</v>
      </c>
      <c r="N1965" t="s">
        <v>212</v>
      </c>
      <c r="O1965" t="s">
        <v>152</v>
      </c>
      <c r="P1965">
        <v>28</v>
      </c>
      <c r="Q1965" t="s">
        <v>157</v>
      </c>
    </row>
    <row r="1966" spans="1:17" x14ac:dyDescent="0.2">
      <c r="A1966">
        <v>1316887</v>
      </c>
      <c r="B1966">
        <v>1739</v>
      </c>
      <c r="C1966" s="1" t="s">
        <v>105</v>
      </c>
      <c r="D1966" s="11">
        <v>45023.981249999997</v>
      </c>
      <c r="E1966" t="s">
        <v>98</v>
      </c>
      <c r="F1966" t="s">
        <v>27</v>
      </c>
      <c r="G1966">
        <v>951</v>
      </c>
      <c r="H1966" s="5" t="s">
        <v>105</v>
      </c>
      <c r="I1966" s="15">
        <v>45023</v>
      </c>
      <c r="J1966" s="15" t="s">
        <v>233</v>
      </c>
      <c r="K1966" s="6">
        <v>0.48125000000000001</v>
      </c>
      <c r="L1966" t="s">
        <v>142</v>
      </c>
      <c r="M1966">
        <v>1000000</v>
      </c>
      <c r="N1966" t="s">
        <v>209</v>
      </c>
      <c r="O1966" t="s">
        <v>152</v>
      </c>
      <c r="P1966">
        <v>44</v>
      </c>
      <c r="Q1966" t="s">
        <v>157</v>
      </c>
    </row>
    <row r="1967" spans="1:17" x14ac:dyDescent="0.2">
      <c r="A1967">
        <v>1317983</v>
      </c>
      <c r="B1967">
        <v>997</v>
      </c>
      <c r="C1967" s="1" t="s">
        <v>113</v>
      </c>
      <c r="D1967" s="11">
        <v>45272.060416666667</v>
      </c>
      <c r="E1967" t="s">
        <v>98</v>
      </c>
      <c r="F1967" t="s">
        <v>64</v>
      </c>
      <c r="G1967">
        <v>7185</v>
      </c>
      <c r="H1967" s="5" t="s">
        <v>113</v>
      </c>
      <c r="I1967" s="15">
        <v>45272</v>
      </c>
      <c r="J1967" s="15" t="s">
        <v>295</v>
      </c>
      <c r="K1967" s="6">
        <v>6.0416666666666667E-2</v>
      </c>
      <c r="L1967" t="s">
        <v>143</v>
      </c>
      <c r="M1967">
        <v>100000</v>
      </c>
      <c r="N1967" t="s">
        <v>223</v>
      </c>
      <c r="O1967" t="s">
        <v>152</v>
      </c>
      <c r="P1967">
        <v>58</v>
      </c>
      <c r="Q1967" t="s">
        <v>155</v>
      </c>
    </row>
    <row r="1968" spans="1:17" x14ac:dyDescent="0.2">
      <c r="A1968">
        <v>1318200</v>
      </c>
      <c r="B1968">
        <v>1657</v>
      </c>
      <c r="C1968" s="1" t="s">
        <v>109</v>
      </c>
      <c r="D1968" s="11">
        <v>45269.01666666667</v>
      </c>
      <c r="E1968" t="s">
        <v>98</v>
      </c>
      <c r="F1968" t="s">
        <v>43</v>
      </c>
      <c r="G1968">
        <v>7368</v>
      </c>
      <c r="H1968" s="5" t="s">
        <v>109</v>
      </c>
      <c r="I1968" s="15">
        <v>45269</v>
      </c>
      <c r="J1968" s="15" t="s">
        <v>295</v>
      </c>
      <c r="K1968" s="6">
        <v>0.51666666666666672</v>
      </c>
      <c r="L1968" t="s">
        <v>145</v>
      </c>
      <c r="M1968">
        <v>1000000</v>
      </c>
      <c r="N1968" t="s">
        <v>203</v>
      </c>
      <c r="O1968" t="s">
        <v>152</v>
      </c>
      <c r="P1968">
        <v>21</v>
      </c>
      <c r="Q1968" t="s">
        <v>157</v>
      </c>
    </row>
    <row r="1969" spans="1:17" x14ac:dyDescent="0.2">
      <c r="A1969">
        <v>1318274</v>
      </c>
      <c r="B1969">
        <v>304</v>
      </c>
      <c r="C1969" s="1" t="s">
        <v>113</v>
      </c>
      <c r="D1969" s="11">
        <v>44990.981249999997</v>
      </c>
      <c r="E1969" t="s">
        <v>98</v>
      </c>
      <c r="F1969" t="s">
        <v>43</v>
      </c>
      <c r="G1969">
        <v>2657</v>
      </c>
      <c r="H1969" s="5" t="s">
        <v>113</v>
      </c>
      <c r="I1969" s="15">
        <v>44990</v>
      </c>
      <c r="J1969" s="15" t="s">
        <v>232</v>
      </c>
      <c r="K1969" s="6">
        <v>0.48125000000000001</v>
      </c>
      <c r="L1969" t="s">
        <v>145</v>
      </c>
      <c r="M1969">
        <v>1000000</v>
      </c>
      <c r="N1969" t="s">
        <v>203</v>
      </c>
      <c r="O1969" t="s">
        <v>152</v>
      </c>
      <c r="P1969">
        <v>71</v>
      </c>
      <c r="Q1969" t="s">
        <v>154</v>
      </c>
    </row>
    <row r="1970" spans="1:17" x14ac:dyDescent="0.2">
      <c r="A1970">
        <v>1318579</v>
      </c>
      <c r="B1970">
        <v>1120</v>
      </c>
      <c r="C1970" s="1" t="s">
        <v>108</v>
      </c>
      <c r="D1970" s="11">
        <v>45232.079861111109</v>
      </c>
      <c r="E1970" t="s">
        <v>97</v>
      </c>
      <c r="F1970" t="s">
        <v>65</v>
      </c>
      <c r="G1970">
        <v>8857</v>
      </c>
      <c r="H1970" s="5" t="s">
        <v>108</v>
      </c>
      <c r="I1970" s="15">
        <v>45232</v>
      </c>
      <c r="J1970" s="15" t="s">
        <v>295</v>
      </c>
      <c r="K1970" s="6">
        <v>7.9861111111111105E-2</v>
      </c>
      <c r="L1970" t="s">
        <v>146</v>
      </c>
      <c r="M1970">
        <v>200000</v>
      </c>
      <c r="N1970" t="s">
        <v>225</v>
      </c>
      <c r="O1970" t="s">
        <v>152</v>
      </c>
      <c r="P1970">
        <v>53</v>
      </c>
      <c r="Q1970" t="s">
        <v>156</v>
      </c>
    </row>
    <row r="1971" spans="1:17" x14ac:dyDescent="0.2">
      <c r="A1971">
        <v>1319964</v>
      </c>
      <c r="B1971">
        <v>281</v>
      </c>
      <c r="C1971" s="1" t="s">
        <v>99</v>
      </c>
      <c r="D1971" s="11">
        <v>44959.989583333336</v>
      </c>
      <c r="E1971" t="s">
        <v>98</v>
      </c>
      <c r="F1971" t="s">
        <v>62</v>
      </c>
      <c r="G1971">
        <v>2954</v>
      </c>
      <c r="H1971" s="5" t="s">
        <v>99</v>
      </c>
      <c r="I1971" s="15">
        <v>44959</v>
      </c>
      <c r="J1971" s="15" t="s">
        <v>232</v>
      </c>
      <c r="K1971" s="6">
        <v>0.48958333333333331</v>
      </c>
      <c r="L1971" t="s">
        <v>145</v>
      </c>
      <c r="M1971">
        <v>100000</v>
      </c>
      <c r="N1971" t="s">
        <v>217</v>
      </c>
      <c r="O1971" t="s">
        <v>151</v>
      </c>
      <c r="P1971">
        <v>75</v>
      </c>
      <c r="Q1971" t="s">
        <v>154</v>
      </c>
    </row>
    <row r="1972" spans="1:17" x14ac:dyDescent="0.2">
      <c r="A1972">
        <v>1320558</v>
      </c>
      <c r="B1972">
        <v>1243</v>
      </c>
      <c r="C1972" s="1" t="s">
        <v>105</v>
      </c>
      <c r="D1972" s="11">
        <v>45119.98333333333</v>
      </c>
      <c r="E1972" t="s">
        <v>98</v>
      </c>
      <c r="F1972" t="s">
        <v>70</v>
      </c>
      <c r="G1972">
        <v>6197</v>
      </c>
      <c r="H1972" s="5" t="s">
        <v>105</v>
      </c>
      <c r="I1972" s="15">
        <v>45119</v>
      </c>
      <c r="J1972" s="15" t="s">
        <v>234</v>
      </c>
      <c r="K1972" s="6">
        <v>0.48333333333333334</v>
      </c>
      <c r="L1972" t="s">
        <v>143</v>
      </c>
      <c r="M1972">
        <v>100000</v>
      </c>
      <c r="N1972" t="s">
        <v>205</v>
      </c>
      <c r="O1972" t="s">
        <v>151</v>
      </c>
      <c r="P1972">
        <v>24</v>
      </c>
      <c r="Q1972" t="s">
        <v>156</v>
      </c>
    </row>
    <row r="1973" spans="1:17" x14ac:dyDescent="0.2">
      <c r="A1973">
        <v>1321272</v>
      </c>
      <c r="B1973">
        <v>1045</v>
      </c>
      <c r="C1973" s="1" t="s">
        <v>105</v>
      </c>
      <c r="D1973" s="11">
        <v>45134.006249999999</v>
      </c>
      <c r="E1973" t="s">
        <v>97</v>
      </c>
      <c r="F1973" t="s">
        <v>71</v>
      </c>
      <c r="G1973">
        <v>4967</v>
      </c>
      <c r="H1973" s="5" t="s">
        <v>105</v>
      </c>
      <c r="I1973" s="15">
        <v>45134</v>
      </c>
      <c r="J1973" s="15" t="s">
        <v>234</v>
      </c>
      <c r="K1973" s="6">
        <v>0.50624999999999998</v>
      </c>
      <c r="L1973" t="s">
        <v>145</v>
      </c>
      <c r="M1973">
        <v>150000</v>
      </c>
      <c r="N1973" t="s">
        <v>226</v>
      </c>
      <c r="O1973" t="s">
        <v>152</v>
      </c>
      <c r="P1973">
        <v>19</v>
      </c>
      <c r="Q1973" t="s">
        <v>156</v>
      </c>
    </row>
    <row r="1974" spans="1:17" x14ac:dyDescent="0.2">
      <c r="A1974">
        <v>1322635</v>
      </c>
      <c r="B1974">
        <v>481</v>
      </c>
      <c r="C1974" s="1" t="s">
        <v>101</v>
      </c>
      <c r="D1974" s="11">
        <v>44982.990277777775</v>
      </c>
      <c r="E1974" t="s">
        <v>191</v>
      </c>
      <c r="F1974" t="s">
        <v>43</v>
      </c>
      <c r="G1974">
        <v>1854</v>
      </c>
      <c r="H1974" s="5" t="s">
        <v>101</v>
      </c>
      <c r="I1974" s="15">
        <v>44982</v>
      </c>
      <c r="J1974" s="15" t="s">
        <v>232</v>
      </c>
      <c r="K1974" s="6">
        <v>0.49027777777777776</v>
      </c>
      <c r="L1974" t="s">
        <v>145</v>
      </c>
      <c r="M1974">
        <v>1000000</v>
      </c>
      <c r="N1974" t="s">
        <v>203</v>
      </c>
      <c r="O1974" t="s">
        <v>152</v>
      </c>
      <c r="P1974">
        <v>49</v>
      </c>
      <c r="Q1974" t="s">
        <v>154</v>
      </c>
    </row>
    <row r="1975" spans="1:17" x14ac:dyDescent="0.2">
      <c r="A1975">
        <v>1323847</v>
      </c>
      <c r="B1975">
        <v>1742</v>
      </c>
      <c r="C1975" s="1" t="s">
        <v>99</v>
      </c>
      <c r="D1975" s="11">
        <v>45037.067361111112</v>
      </c>
      <c r="E1975" t="s">
        <v>191</v>
      </c>
      <c r="F1975" t="s">
        <v>45</v>
      </c>
      <c r="G1975">
        <v>4644</v>
      </c>
      <c r="H1975" s="5" t="s">
        <v>99</v>
      </c>
      <c r="I1975" s="15">
        <v>45037</v>
      </c>
      <c r="J1975" s="15" t="s">
        <v>233</v>
      </c>
      <c r="K1975" s="6">
        <v>6.7361111111111108E-2</v>
      </c>
      <c r="L1975" t="s">
        <v>142</v>
      </c>
      <c r="M1975">
        <v>100000</v>
      </c>
      <c r="N1975" t="s">
        <v>197</v>
      </c>
      <c r="O1975" t="s">
        <v>152</v>
      </c>
      <c r="P1975">
        <v>49</v>
      </c>
      <c r="Q1975" t="s">
        <v>157</v>
      </c>
    </row>
    <row r="1976" spans="1:17" x14ac:dyDescent="0.2">
      <c r="A1976">
        <v>1325889</v>
      </c>
      <c r="B1976">
        <v>399</v>
      </c>
      <c r="C1976" s="1" t="s">
        <v>113</v>
      </c>
      <c r="D1976" s="11">
        <v>45110.027777777781</v>
      </c>
      <c r="E1976" t="s">
        <v>191</v>
      </c>
      <c r="F1976" t="s">
        <v>58</v>
      </c>
      <c r="G1976">
        <v>4141</v>
      </c>
      <c r="H1976" s="5" t="s">
        <v>113</v>
      </c>
      <c r="I1976" s="15">
        <v>45110</v>
      </c>
      <c r="J1976" s="15" t="s">
        <v>234</v>
      </c>
      <c r="K1976" s="6">
        <v>0.52777777777777779</v>
      </c>
      <c r="L1976" t="s">
        <v>143</v>
      </c>
      <c r="M1976">
        <v>80000</v>
      </c>
      <c r="N1976" t="s">
        <v>214</v>
      </c>
      <c r="O1976" t="s">
        <v>152</v>
      </c>
      <c r="P1976">
        <v>83</v>
      </c>
      <c r="Q1976" t="s">
        <v>154</v>
      </c>
    </row>
    <row r="1977" spans="1:17" x14ac:dyDescent="0.2">
      <c r="A1977">
        <v>1326076</v>
      </c>
      <c r="B1977">
        <v>1939</v>
      </c>
      <c r="C1977" s="1" t="s">
        <v>99</v>
      </c>
      <c r="D1977" s="11">
        <v>45008.037499999999</v>
      </c>
      <c r="E1977" t="s">
        <v>97</v>
      </c>
      <c r="F1977" t="s">
        <v>67</v>
      </c>
      <c r="G1977">
        <v>9937</v>
      </c>
      <c r="H1977" s="5" t="s">
        <v>99</v>
      </c>
      <c r="I1977" s="15">
        <v>45008</v>
      </c>
      <c r="J1977" s="15" t="s">
        <v>232</v>
      </c>
      <c r="K1977" s="6">
        <v>0.53749999999999998</v>
      </c>
      <c r="L1977" t="s">
        <v>142</v>
      </c>
      <c r="M1977">
        <v>100000</v>
      </c>
      <c r="N1977" t="s">
        <v>213</v>
      </c>
      <c r="O1977" t="s">
        <v>151</v>
      </c>
      <c r="P1977">
        <v>44</v>
      </c>
      <c r="Q1977" t="s">
        <v>157</v>
      </c>
    </row>
    <row r="1978" spans="1:17" x14ac:dyDescent="0.2">
      <c r="A1978">
        <v>1329378</v>
      </c>
      <c r="B1978">
        <v>985</v>
      </c>
      <c r="C1978" s="1" t="s">
        <v>99</v>
      </c>
      <c r="D1978" s="11">
        <v>44967.981249999997</v>
      </c>
      <c r="E1978" t="s">
        <v>98</v>
      </c>
      <c r="F1978" t="s">
        <v>11</v>
      </c>
      <c r="G1978">
        <v>5704</v>
      </c>
      <c r="H1978" s="5" t="s">
        <v>99</v>
      </c>
      <c r="I1978" s="15">
        <v>44967</v>
      </c>
      <c r="J1978" s="15" t="s">
        <v>232</v>
      </c>
      <c r="K1978" s="6">
        <v>0.48125000000000001</v>
      </c>
      <c r="L1978" t="s">
        <v>143</v>
      </c>
      <c r="M1978">
        <v>150000</v>
      </c>
      <c r="N1978" t="s">
        <v>204</v>
      </c>
      <c r="O1978" t="s">
        <v>151</v>
      </c>
      <c r="P1978">
        <v>69</v>
      </c>
      <c r="Q1978" t="s">
        <v>155</v>
      </c>
    </row>
    <row r="1979" spans="1:17" x14ac:dyDescent="0.2">
      <c r="A1979">
        <v>1330979</v>
      </c>
      <c r="B1979">
        <v>546</v>
      </c>
      <c r="C1979" s="1" t="s">
        <v>99</v>
      </c>
      <c r="D1979" s="11">
        <v>44929.981249999997</v>
      </c>
      <c r="E1979" t="s">
        <v>97</v>
      </c>
      <c r="F1979" t="s">
        <v>44</v>
      </c>
      <c r="G1979">
        <v>4461</v>
      </c>
      <c r="H1979" s="5" t="s">
        <v>99</v>
      </c>
      <c r="I1979" s="15">
        <v>44929</v>
      </c>
      <c r="J1979" s="15" t="s">
        <v>232</v>
      </c>
      <c r="K1979" s="6">
        <v>0.48125000000000001</v>
      </c>
      <c r="L1979" t="s">
        <v>144</v>
      </c>
      <c r="M1979">
        <v>150000</v>
      </c>
      <c r="N1979" t="s">
        <v>199</v>
      </c>
      <c r="O1979" t="s">
        <v>151</v>
      </c>
      <c r="P1979">
        <v>57</v>
      </c>
      <c r="Q1979" t="s">
        <v>155</v>
      </c>
    </row>
    <row r="1980" spans="1:17" x14ac:dyDescent="0.2">
      <c r="A1980">
        <v>1331311</v>
      </c>
      <c r="B1980">
        <v>106</v>
      </c>
      <c r="C1980" s="1" t="s">
        <v>101</v>
      </c>
      <c r="D1980" s="11">
        <v>44933.033333333333</v>
      </c>
      <c r="E1980" t="s">
        <v>191</v>
      </c>
      <c r="F1980" t="s">
        <v>27</v>
      </c>
      <c r="G1980">
        <v>1909</v>
      </c>
      <c r="H1980" s="5" t="s">
        <v>101</v>
      </c>
      <c r="I1980" s="15">
        <v>44933</v>
      </c>
      <c r="J1980" s="15" t="s">
        <v>232</v>
      </c>
      <c r="K1980" s="6">
        <v>0.53333333333333333</v>
      </c>
      <c r="L1980" t="s">
        <v>142</v>
      </c>
      <c r="M1980">
        <v>1000000</v>
      </c>
      <c r="N1980" t="s">
        <v>209</v>
      </c>
      <c r="O1980" t="s">
        <v>152</v>
      </c>
      <c r="P1980">
        <v>40</v>
      </c>
      <c r="Q1980" t="s">
        <v>154</v>
      </c>
    </row>
    <row r="1981" spans="1:17" x14ac:dyDescent="0.2">
      <c r="A1981">
        <v>1332449</v>
      </c>
      <c r="B1981">
        <v>1433</v>
      </c>
      <c r="C1981" s="1" t="s">
        <v>101</v>
      </c>
      <c r="D1981" s="11">
        <v>45269.026388888888</v>
      </c>
      <c r="E1981" t="s">
        <v>97</v>
      </c>
      <c r="F1981" t="s">
        <v>27</v>
      </c>
      <c r="G1981">
        <v>4463</v>
      </c>
      <c r="H1981" s="5" t="s">
        <v>101</v>
      </c>
      <c r="I1981" s="15">
        <v>45269</v>
      </c>
      <c r="J1981" s="15" t="s">
        <v>295</v>
      </c>
      <c r="K1981" s="6">
        <v>0.52638888888888891</v>
      </c>
      <c r="L1981" t="s">
        <v>142</v>
      </c>
      <c r="M1981">
        <v>1000000</v>
      </c>
      <c r="N1981" t="s">
        <v>209</v>
      </c>
      <c r="O1981" t="s">
        <v>152</v>
      </c>
      <c r="P1981">
        <v>28</v>
      </c>
      <c r="Q1981" t="s">
        <v>156</v>
      </c>
    </row>
    <row r="1982" spans="1:17" x14ac:dyDescent="0.2">
      <c r="A1982">
        <v>1334431</v>
      </c>
      <c r="B1982">
        <v>522</v>
      </c>
      <c r="C1982" s="1" t="s">
        <v>99</v>
      </c>
      <c r="D1982" s="11">
        <v>45195.029166666667</v>
      </c>
      <c r="E1982" t="s">
        <v>191</v>
      </c>
      <c r="F1982" t="s">
        <v>73</v>
      </c>
      <c r="G1982">
        <v>6918</v>
      </c>
      <c r="H1982" s="5" t="s">
        <v>99</v>
      </c>
      <c r="I1982" s="15">
        <v>45195</v>
      </c>
      <c r="J1982" s="15" t="s">
        <v>234</v>
      </c>
      <c r="K1982" s="6">
        <v>0.52916666666666667</v>
      </c>
      <c r="L1982" t="s">
        <v>146</v>
      </c>
      <c r="M1982">
        <v>150000</v>
      </c>
      <c r="N1982" t="s">
        <v>222</v>
      </c>
      <c r="O1982" t="s">
        <v>152</v>
      </c>
      <c r="P1982">
        <v>77</v>
      </c>
      <c r="Q1982" t="s">
        <v>155</v>
      </c>
    </row>
    <row r="1983" spans="1:17" x14ac:dyDescent="0.2">
      <c r="A1983">
        <v>1335084</v>
      </c>
      <c r="B1983">
        <v>1170</v>
      </c>
      <c r="C1983" s="1" t="s">
        <v>109</v>
      </c>
      <c r="D1983" s="11">
        <v>45128.025694444441</v>
      </c>
      <c r="E1983" t="s">
        <v>191</v>
      </c>
      <c r="F1983" t="s">
        <v>64</v>
      </c>
      <c r="G1983">
        <v>5783</v>
      </c>
      <c r="H1983" s="5" t="s">
        <v>109</v>
      </c>
      <c r="I1983" s="15">
        <v>45128</v>
      </c>
      <c r="J1983" s="15" t="s">
        <v>234</v>
      </c>
      <c r="K1983" s="6">
        <v>0.52569444444444446</v>
      </c>
      <c r="L1983" t="s">
        <v>143</v>
      </c>
      <c r="M1983">
        <v>100000</v>
      </c>
      <c r="N1983" t="s">
        <v>223</v>
      </c>
      <c r="O1983" t="s">
        <v>152</v>
      </c>
      <c r="P1983">
        <v>65</v>
      </c>
      <c r="Q1983" t="s">
        <v>156</v>
      </c>
    </row>
    <row r="1984" spans="1:17" x14ac:dyDescent="0.2">
      <c r="A1984">
        <v>1335543</v>
      </c>
      <c r="B1984">
        <v>1191</v>
      </c>
      <c r="C1984" s="1" t="s">
        <v>101</v>
      </c>
      <c r="D1984" s="11">
        <v>44959.037499999999</v>
      </c>
      <c r="E1984" t="s">
        <v>98</v>
      </c>
      <c r="F1984" t="s">
        <v>26</v>
      </c>
      <c r="G1984">
        <v>2295</v>
      </c>
      <c r="H1984" s="5" t="s">
        <v>101</v>
      </c>
      <c r="I1984" s="15">
        <v>44959</v>
      </c>
      <c r="J1984" s="15" t="s">
        <v>232</v>
      </c>
      <c r="K1984" s="6">
        <v>0.53749999999999998</v>
      </c>
      <c r="L1984" t="s">
        <v>145</v>
      </c>
      <c r="M1984">
        <v>100000</v>
      </c>
      <c r="N1984" t="s">
        <v>210</v>
      </c>
      <c r="O1984" t="s">
        <v>151</v>
      </c>
      <c r="P1984">
        <v>48</v>
      </c>
      <c r="Q1984" t="s">
        <v>156</v>
      </c>
    </row>
    <row r="1985" spans="1:17" x14ac:dyDescent="0.2">
      <c r="A1985">
        <v>1335910</v>
      </c>
      <c r="B1985">
        <v>902</v>
      </c>
      <c r="C1985" s="1" t="s">
        <v>99</v>
      </c>
      <c r="D1985" s="11">
        <v>45278.976388888892</v>
      </c>
      <c r="E1985" t="s">
        <v>96</v>
      </c>
      <c r="F1985" t="s">
        <v>74</v>
      </c>
      <c r="G1985">
        <v>355</v>
      </c>
      <c r="H1985" s="5" t="s">
        <v>99</v>
      </c>
      <c r="I1985" s="15">
        <v>45278</v>
      </c>
      <c r="J1985" s="15" t="s">
        <v>295</v>
      </c>
      <c r="K1985" s="6">
        <v>0.47638888888888886</v>
      </c>
      <c r="L1985" t="s">
        <v>145</v>
      </c>
      <c r="M1985">
        <v>150000</v>
      </c>
      <c r="N1985" t="s">
        <v>226</v>
      </c>
      <c r="O1985" t="s">
        <v>152</v>
      </c>
      <c r="P1985">
        <v>82</v>
      </c>
      <c r="Q1985" t="s">
        <v>155</v>
      </c>
    </row>
    <row r="1986" spans="1:17" x14ac:dyDescent="0.2">
      <c r="A1986">
        <v>1335994</v>
      </c>
      <c r="B1986">
        <v>1510</v>
      </c>
      <c r="C1986" s="1" t="s">
        <v>103</v>
      </c>
      <c r="D1986" s="11">
        <v>45276.018055555556</v>
      </c>
      <c r="E1986" t="s">
        <v>191</v>
      </c>
      <c r="F1986" t="s">
        <v>88</v>
      </c>
      <c r="G1986">
        <v>7950</v>
      </c>
      <c r="H1986" s="5" t="s">
        <v>103</v>
      </c>
      <c r="I1986" s="15">
        <v>45276</v>
      </c>
      <c r="J1986" s="15" t="s">
        <v>295</v>
      </c>
      <c r="K1986" s="6">
        <v>0.5180555555555556</v>
      </c>
      <c r="L1986" t="s">
        <v>144</v>
      </c>
      <c r="M1986">
        <v>100000</v>
      </c>
      <c r="N1986" t="s">
        <v>200</v>
      </c>
      <c r="O1986" t="s">
        <v>151</v>
      </c>
      <c r="P1986">
        <v>23</v>
      </c>
      <c r="Q1986" t="s">
        <v>157</v>
      </c>
    </row>
    <row r="1987" spans="1:17" x14ac:dyDescent="0.2">
      <c r="A1987">
        <v>1336012</v>
      </c>
      <c r="B1987">
        <v>856</v>
      </c>
      <c r="C1987" s="1" t="s">
        <v>99</v>
      </c>
      <c r="D1987" s="11">
        <v>45028.98541666667</v>
      </c>
      <c r="E1987" t="s">
        <v>191</v>
      </c>
      <c r="F1987" t="s">
        <v>73</v>
      </c>
      <c r="G1987">
        <v>7915</v>
      </c>
      <c r="H1987" s="5" t="s">
        <v>99</v>
      </c>
      <c r="I1987" s="15">
        <v>45028</v>
      </c>
      <c r="J1987" s="15" t="s">
        <v>233</v>
      </c>
      <c r="K1987" s="6">
        <v>0.48541666666666666</v>
      </c>
      <c r="L1987" t="s">
        <v>146</v>
      </c>
      <c r="M1987">
        <v>150000</v>
      </c>
      <c r="N1987" t="s">
        <v>222</v>
      </c>
      <c r="O1987" t="s">
        <v>151</v>
      </c>
      <c r="P1987">
        <v>59</v>
      </c>
      <c r="Q1987" t="s">
        <v>155</v>
      </c>
    </row>
    <row r="1988" spans="1:17" x14ac:dyDescent="0.2">
      <c r="A1988">
        <v>1336024</v>
      </c>
      <c r="B1988">
        <v>1011</v>
      </c>
      <c r="C1988" s="1" t="s">
        <v>100</v>
      </c>
      <c r="D1988" s="11">
        <v>45162.012499999997</v>
      </c>
      <c r="E1988" t="s">
        <v>96</v>
      </c>
      <c r="F1988" t="s">
        <v>89</v>
      </c>
      <c r="G1988">
        <v>8888</v>
      </c>
      <c r="H1988" s="5" t="s">
        <v>100</v>
      </c>
      <c r="I1988" s="15">
        <v>45162</v>
      </c>
      <c r="J1988" s="15" t="s">
        <v>234</v>
      </c>
      <c r="K1988" s="6">
        <v>0.51249999999999996</v>
      </c>
      <c r="L1988" t="s">
        <v>144</v>
      </c>
      <c r="M1988">
        <v>150000</v>
      </c>
      <c r="N1988" t="s">
        <v>218</v>
      </c>
      <c r="O1988" t="s">
        <v>151</v>
      </c>
      <c r="P1988">
        <v>20</v>
      </c>
      <c r="Q1988" t="s">
        <v>156</v>
      </c>
    </row>
    <row r="1989" spans="1:17" x14ac:dyDescent="0.2">
      <c r="A1989">
        <v>1336827</v>
      </c>
      <c r="B1989">
        <v>1247</v>
      </c>
      <c r="C1989" s="1" t="s">
        <v>99</v>
      </c>
      <c r="D1989" s="11">
        <v>45033.986805555556</v>
      </c>
      <c r="E1989" t="s">
        <v>97</v>
      </c>
      <c r="F1989" t="s">
        <v>72</v>
      </c>
      <c r="G1989">
        <v>8526</v>
      </c>
      <c r="H1989" s="5" t="s">
        <v>99</v>
      </c>
      <c r="I1989" s="15">
        <v>45033</v>
      </c>
      <c r="J1989" s="15" t="s">
        <v>233</v>
      </c>
      <c r="K1989" s="6">
        <v>0.48680555555555555</v>
      </c>
      <c r="L1989" t="s">
        <v>143</v>
      </c>
      <c r="M1989">
        <v>150000</v>
      </c>
      <c r="N1989" t="s">
        <v>223</v>
      </c>
      <c r="O1989" t="s">
        <v>152</v>
      </c>
      <c r="P1989">
        <v>24</v>
      </c>
      <c r="Q1989" t="s">
        <v>156</v>
      </c>
    </row>
    <row r="1990" spans="1:17" x14ac:dyDescent="0.2">
      <c r="A1990">
        <v>1337570</v>
      </c>
      <c r="B1990">
        <v>143</v>
      </c>
      <c r="C1990" s="1" t="s">
        <v>99</v>
      </c>
      <c r="D1990" s="11">
        <v>44963.965277777781</v>
      </c>
      <c r="E1990" t="s">
        <v>191</v>
      </c>
      <c r="F1990" t="s">
        <v>25</v>
      </c>
      <c r="G1990">
        <v>518</v>
      </c>
      <c r="H1990" s="5" t="s">
        <v>99</v>
      </c>
      <c r="I1990" s="15">
        <v>44963</v>
      </c>
      <c r="J1990" s="15" t="s">
        <v>232</v>
      </c>
      <c r="K1990" s="6">
        <v>0.46527777777777779</v>
      </c>
      <c r="L1990" t="s">
        <v>142</v>
      </c>
      <c r="M1990">
        <v>100000</v>
      </c>
      <c r="N1990" t="s">
        <v>201</v>
      </c>
      <c r="O1990" t="s">
        <v>151</v>
      </c>
      <c r="P1990">
        <v>46</v>
      </c>
      <c r="Q1990" t="s">
        <v>154</v>
      </c>
    </row>
    <row r="1991" spans="1:17" x14ac:dyDescent="0.2">
      <c r="A1991">
        <v>1337603</v>
      </c>
      <c r="B1991">
        <v>1915</v>
      </c>
      <c r="C1991" s="1" t="s">
        <v>99</v>
      </c>
      <c r="D1991" s="11">
        <v>44968.010416666664</v>
      </c>
      <c r="E1991" t="s">
        <v>97</v>
      </c>
      <c r="F1991" t="s">
        <v>49</v>
      </c>
      <c r="G1991">
        <v>5719</v>
      </c>
      <c r="H1991" s="5" t="s">
        <v>99</v>
      </c>
      <c r="I1991" s="15">
        <v>44968</v>
      </c>
      <c r="J1991" s="15" t="s">
        <v>232</v>
      </c>
      <c r="K1991" s="6">
        <v>0.51041666666666663</v>
      </c>
      <c r="L1991" t="s">
        <v>146</v>
      </c>
      <c r="M1991">
        <v>100000</v>
      </c>
      <c r="N1991" t="s">
        <v>222</v>
      </c>
      <c r="O1991" t="s">
        <v>151</v>
      </c>
      <c r="P1991">
        <v>74</v>
      </c>
      <c r="Q1991" t="s">
        <v>157</v>
      </c>
    </row>
    <row r="1992" spans="1:17" x14ac:dyDescent="0.2">
      <c r="A1992">
        <v>1338945</v>
      </c>
      <c r="B1992">
        <v>627</v>
      </c>
      <c r="C1992" s="1" t="s">
        <v>102</v>
      </c>
      <c r="D1992" s="11">
        <v>44981.010416666664</v>
      </c>
      <c r="E1992" t="s">
        <v>191</v>
      </c>
      <c r="F1992" t="s">
        <v>14</v>
      </c>
      <c r="G1992">
        <v>4854</v>
      </c>
      <c r="H1992" s="5" t="s">
        <v>102</v>
      </c>
      <c r="I1992" s="15">
        <v>44981</v>
      </c>
      <c r="J1992" s="15" t="s">
        <v>232</v>
      </c>
      <c r="K1992" s="6">
        <v>0.51041666666666663</v>
      </c>
      <c r="L1992" t="s">
        <v>142</v>
      </c>
      <c r="M1992">
        <v>250000</v>
      </c>
      <c r="N1992" t="s">
        <v>207</v>
      </c>
      <c r="O1992" t="s">
        <v>151</v>
      </c>
      <c r="P1992">
        <v>62</v>
      </c>
      <c r="Q1992" t="s">
        <v>155</v>
      </c>
    </row>
    <row r="1993" spans="1:17" x14ac:dyDescent="0.2">
      <c r="A1993">
        <v>1339556</v>
      </c>
      <c r="B1993">
        <v>1216</v>
      </c>
      <c r="C1993" s="1" t="s">
        <v>101</v>
      </c>
      <c r="D1993" s="11">
        <v>45192.055555555555</v>
      </c>
      <c r="E1993" t="s">
        <v>98</v>
      </c>
      <c r="F1993" t="s">
        <v>27</v>
      </c>
      <c r="G1993">
        <v>1757</v>
      </c>
      <c r="H1993" s="5" t="s">
        <v>101</v>
      </c>
      <c r="I1993" s="15">
        <v>45192</v>
      </c>
      <c r="J1993" s="15" t="s">
        <v>234</v>
      </c>
      <c r="K1993" s="6">
        <v>5.5555555555555552E-2</v>
      </c>
      <c r="L1993" t="s">
        <v>142</v>
      </c>
      <c r="M1993">
        <v>1000000</v>
      </c>
      <c r="N1993" t="s">
        <v>209</v>
      </c>
      <c r="O1993" t="s">
        <v>151</v>
      </c>
      <c r="P1993">
        <v>63</v>
      </c>
      <c r="Q1993" t="s">
        <v>156</v>
      </c>
    </row>
    <row r="1994" spans="1:17" x14ac:dyDescent="0.2">
      <c r="A1994">
        <v>1340302</v>
      </c>
      <c r="B1994">
        <v>1142</v>
      </c>
      <c r="C1994" s="1" t="s">
        <v>99</v>
      </c>
      <c r="D1994" s="11">
        <v>45263.053472222222</v>
      </c>
      <c r="E1994" t="s">
        <v>191</v>
      </c>
      <c r="F1994" t="s">
        <v>77</v>
      </c>
      <c r="G1994">
        <v>9786</v>
      </c>
      <c r="H1994" s="5" t="s">
        <v>99</v>
      </c>
      <c r="I1994" s="15">
        <v>45263</v>
      </c>
      <c r="J1994" s="15" t="s">
        <v>295</v>
      </c>
      <c r="K1994" s="6">
        <v>5.347222222222222E-2</v>
      </c>
      <c r="L1994" t="s">
        <v>146</v>
      </c>
      <c r="M1994">
        <v>100000</v>
      </c>
      <c r="N1994" t="s">
        <v>222</v>
      </c>
      <c r="O1994" t="s">
        <v>152</v>
      </c>
      <c r="P1994">
        <v>59</v>
      </c>
      <c r="Q1994" t="s">
        <v>156</v>
      </c>
    </row>
    <row r="1995" spans="1:17" x14ac:dyDescent="0.2">
      <c r="A1995">
        <v>1343250</v>
      </c>
      <c r="B1995">
        <v>681</v>
      </c>
      <c r="C1995" s="1" t="s">
        <v>99</v>
      </c>
      <c r="D1995" s="11">
        <v>45234.959722222222</v>
      </c>
      <c r="E1995" t="s">
        <v>97</v>
      </c>
      <c r="F1995" t="s">
        <v>27</v>
      </c>
      <c r="G1995">
        <v>6365</v>
      </c>
      <c r="H1995" s="5" t="s">
        <v>99</v>
      </c>
      <c r="I1995" s="15">
        <v>45234</v>
      </c>
      <c r="J1995" s="15" t="s">
        <v>295</v>
      </c>
      <c r="K1995" s="6">
        <v>0.4597222222222222</v>
      </c>
      <c r="L1995" t="s">
        <v>142</v>
      </c>
      <c r="M1995">
        <v>1000000</v>
      </c>
      <c r="N1995" t="s">
        <v>209</v>
      </c>
      <c r="O1995" t="s">
        <v>151</v>
      </c>
      <c r="P1995">
        <v>62</v>
      </c>
      <c r="Q1995" t="s">
        <v>155</v>
      </c>
    </row>
    <row r="1996" spans="1:17" x14ac:dyDescent="0.2">
      <c r="A1996">
        <v>1343766</v>
      </c>
      <c r="B1996">
        <v>1191</v>
      </c>
      <c r="C1996" s="1" t="s">
        <v>101</v>
      </c>
      <c r="D1996" s="11">
        <v>45037.000694444447</v>
      </c>
      <c r="E1996" t="s">
        <v>97</v>
      </c>
      <c r="F1996" t="s">
        <v>43</v>
      </c>
      <c r="G1996">
        <v>7282</v>
      </c>
      <c r="H1996" s="5" t="s">
        <v>101</v>
      </c>
      <c r="I1996" s="15">
        <v>45037</v>
      </c>
      <c r="J1996" s="15" t="s">
        <v>233</v>
      </c>
      <c r="K1996" s="6">
        <v>0.50069444444444444</v>
      </c>
      <c r="L1996" t="s">
        <v>145</v>
      </c>
      <c r="M1996">
        <v>1000000</v>
      </c>
      <c r="N1996" t="s">
        <v>203</v>
      </c>
      <c r="O1996" t="s">
        <v>151</v>
      </c>
      <c r="P1996">
        <v>48</v>
      </c>
      <c r="Q1996" t="s">
        <v>156</v>
      </c>
    </row>
    <row r="1997" spans="1:17" x14ac:dyDescent="0.2">
      <c r="A1997">
        <v>1343925</v>
      </c>
      <c r="B1997">
        <v>1400</v>
      </c>
      <c r="C1997" s="1" t="s">
        <v>99</v>
      </c>
      <c r="D1997" s="11">
        <v>45016.034722222219</v>
      </c>
      <c r="E1997" t="s">
        <v>98</v>
      </c>
      <c r="F1997" t="s">
        <v>87</v>
      </c>
      <c r="G1997">
        <v>9178</v>
      </c>
      <c r="H1997" s="5" t="s">
        <v>99</v>
      </c>
      <c r="I1997" s="15">
        <v>45016</v>
      </c>
      <c r="J1997" s="15" t="s">
        <v>232</v>
      </c>
      <c r="K1997" s="6">
        <v>0.53472222222222221</v>
      </c>
      <c r="L1997" t="s">
        <v>144</v>
      </c>
      <c r="M1997">
        <v>100000</v>
      </c>
      <c r="N1997" t="s">
        <v>216</v>
      </c>
      <c r="O1997" t="s">
        <v>152</v>
      </c>
      <c r="P1997">
        <v>34</v>
      </c>
      <c r="Q1997" t="s">
        <v>156</v>
      </c>
    </row>
    <row r="1998" spans="1:17" x14ac:dyDescent="0.2">
      <c r="A1998">
        <v>1343941</v>
      </c>
      <c r="B1998">
        <v>135</v>
      </c>
      <c r="C1998" s="1" t="s">
        <v>105</v>
      </c>
      <c r="D1998" s="11">
        <v>45147.968055555553</v>
      </c>
      <c r="E1998" t="s">
        <v>192</v>
      </c>
      <c r="F1998" t="s">
        <v>23</v>
      </c>
      <c r="G1998">
        <v>6934</v>
      </c>
      <c r="H1998" s="5" t="s">
        <v>105</v>
      </c>
      <c r="I1998" s="15">
        <v>45147</v>
      </c>
      <c r="J1998" s="15" t="s">
        <v>234</v>
      </c>
      <c r="K1998" s="6">
        <v>0.46805555555555556</v>
      </c>
      <c r="L1998" t="s">
        <v>142</v>
      </c>
      <c r="M1998">
        <v>150000</v>
      </c>
      <c r="N1998" t="s">
        <v>213</v>
      </c>
      <c r="O1998" t="s">
        <v>152</v>
      </c>
      <c r="P1998">
        <v>27</v>
      </c>
      <c r="Q1998" t="s">
        <v>154</v>
      </c>
    </row>
    <row r="1999" spans="1:17" x14ac:dyDescent="0.2">
      <c r="A1999">
        <v>1345016</v>
      </c>
      <c r="B1999">
        <v>1994</v>
      </c>
      <c r="C1999" s="1" t="s">
        <v>106</v>
      </c>
      <c r="D1999" s="11">
        <v>44972.984027777777</v>
      </c>
      <c r="E1999" t="s">
        <v>98</v>
      </c>
      <c r="F1999" t="s">
        <v>90</v>
      </c>
      <c r="G1999">
        <v>9058</v>
      </c>
      <c r="H1999" s="5" t="s">
        <v>106</v>
      </c>
      <c r="I1999" s="15">
        <v>44972</v>
      </c>
      <c r="J1999" s="15" t="s">
        <v>232</v>
      </c>
      <c r="K1999" s="6">
        <v>0.48402777777777778</v>
      </c>
      <c r="L1999" t="s">
        <v>142</v>
      </c>
      <c r="M1999">
        <v>150000</v>
      </c>
      <c r="N1999" t="s">
        <v>208</v>
      </c>
      <c r="O1999" t="s">
        <v>151</v>
      </c>
      <c r="P1999">
        <v>43</v>
      </c>
      <c r="Q1999" t="s">
        <v>157</v>
      </c>
    </row>
    <row r="2000" spans="1:17" x14ac:dyDescent="0.2">
      <c r="A2000">
        <v>1346080</v>
      </c>
      <c r="B2000">
        <v>254</v>
      </c>
      <c r="C2000" s="1" t="s">
        <v>100</v>
      </c>
      <c r="D2000" s="11">
        <v>45193.981944444444</v>
      </c>
      <c r="E2000" t="s">
        <v>96</v>
      </c>
      <c r="F2000" t="s">
        <v>23</v>
      </c>
      <c r="G2000">
        <v>9148</v>
      </c>
      <c r="H2000" s="5" t="s">
        <v>100</v>
      </c>
      <c r="I2000" s="15">
        <v>45193</v>
      </c>
      <c r="J2000" s="15" t="s">
        <v>234</v>
      </c>
      <c r="K2000" s="6">
        <v>0.48194444444444445</v>
      </c>
      <c r="L2000" t="s">
        <v>142</v>
      </c>
      <c r="M2000">
        <v>150000</v>
      </c>
      <c r="N2000" t="s">
        <v>213</v>
      </c>
      <c r="O2000" t="s">
        <v>152</v>
      </c>
      <c r="P2000">
        <v>88</v>
      </c>
      <c r="Q2000" t="s">
        <v>154</v>
      </c>
    </row>
    <row r="2001" spans="1:17" x14ac:dyDescent="0.2">
      <c r="A2001">
        <v>1347158</v>
      </c>
      <c r="B2001">
        <v>621</v>
      </c>
      <c r="C2001" s="1" t="s">
        <v>99</v>
      </c>
      <c r="D2001" s="11">
        <v>45161.975694444445</v>
      </c>
      <c r="E2001" t="s">
        <v>98</v>
      </c>
      <c r="F2001" t="s">
        <v>92</v>
      </c>
      <c r="G2001">
        <v>468</v>
      </c>
      <c r="H2001" s="5" t="s">
        <v>99</v>
      </c>
      <c r="I2001" s="15">
        <v>45161</v>
      </c>
      <c r="J2001" s="15" t="s">
        <v>234</v>
      </c>
      <c r="K2001" s="6">
        <v>0.47569444444444442</v>
      </c>
      <c r="L2001" t="s">
        <v>145</v>
      </c>
      <c r="M2001">
        <v>30000</v>
      </c>
      <c r="N2001" t="s">
        <v>226</v>
      </c>
      <c r="O2001" t="s">
        <v>152</v>
      </c>
      <c r="P2001">
        <v>50</v>
      </c>
      <c r="Q2001" t="s">
        <v>155</v>
      </c>
    </row>
    <row r="2002" spans="1:17" x14ac:dyDescent="0.2">
      <c r="A2002">
        <v>1347250</v>
      </c>
      <c r="B2002">
        <v>1624</v>
      </c>
      <c r="C2002" s="1" t="s">
        <v>99</v>
      </c>
      <c r="D2002" s="11">
        <v>45089.034722222219</v>
      </c>
      <c r="E2002" t="s">
        <v>97</v>
      </c>
      <c r="F2002" t="s">
        <v>54</v>
      </c>
      <c r="G2002">
        <v>3030</v>
      </c>
      <c r="H2002" s="5" t="s">
        <v>99</v>
      </c>
      <c r="I2002" s="15">
        <v>45089</v>
      </c>
      <c r="J2002" s="15" t="s">
        <v>233</v>
      </c>
      <c r="K2002" s="6">
        <v>0.53472222222222221</v>
      </c>
      <c r="L2002" t="s">
        <v>144</v>
      </c>
      <c r="M2002">
        <v>100000</v>
      </c>
      <c r="N2002" t="s">
        <v>224</v>
      </c>
      <c r="O2002" t="s">
        <v>151</v>
      </c>
      <c r="P2002">
        <v>32</v>
      </c>
      <c r="Q2002" t="s">
        <v>157</v>
      </c>
    </row>
    <row r="2003" spans="1:17" x14ac:dyDescent="0.2">
      <c r="A2003">
        <v>1347720</v>
      </c>
      <c r="B2003">
        <v>82</v>
      </c>
      <c r="C2003" s="1" t="s">
        <v>105</v>
      </c>
      <c r="D2003" s="11">
        <v>45274.986111111109</v>
      </c>
      <c r="E2003" t="s">
        <v>96</v>
      </c>
      <c r="F2003" t="s">
        <v>20</v>
      </c>
      <c r="G2003">
        <v>6776</v>
      </c>
      <c r="H2003" s="5" t="s">
        <v>105</v>
      </c>
      <c r="I2003" s="15">
        <v>45274</v>
      </c>
      <c r="J2003" s="15" t="s">
        <v>295</v>
      </c>
      <c r="K2003" s="6">
        <v>0.4861111111111111</v>
      </c>
      <c r="L2003" t="s">
        <v>146</v>
      </c>
      <c r="M2003">
        <v>150000</v>
      </c>
      <c r="N2003" t="s">
        <v>212</v>
      </c>
      <c r="O2003" t="s">
        <v>152</v>
      </c>
      <c r="P2003">
        <v>28</v>
      </c>
      <c r="Q2003" t="s">
        <v>154</v>
      </c>
    </row>
    <row r="2004" spans="1:17" x14ac:dyDescent="0.2">
      <c r="A2004">
        <v>1347929</v>
      </c>
      <c r="B2004">
        <v>105</v>
      </c>
      <c r="C2004" s="1" t="s">
        <v>99</v>
      </c>
      <c r="D2004" s="11">
        <v>44973.01458333333</v>
      </c>
      <c r="E2004" t="s">
        <v>98</v>
      </c>
      <c r="F2004" t="s">
        <v>9</v>
      </c>
      <c r="G2004">
        <v>5624</v>
      </c>
      <c r="H2004" s="5" t="s">
        <v>99</v>
      </c>
      <c r="I2004" s="15">
        <v>44973</v>
      </c>
      <c r="J2004" s="15" t="s">
        <v>232</v>
      </c>
      <c r="K2004" s="6">
        <v>0.51458333333333328</v>
      </c>
      <c r="L2004" t="s">
        <v>144</v>
      </c>
      <c r="M2004">
        <v>150000</v>
      </c>
      <c r="N2004" t="s">
        <v>202</v>
      </c>
      <c r="O2004" t="s">
        <v>151</v>
      </c>
      <c r="P2004">
        <v>80</v>
      </c>
      <c r="Q2004" t="s">
        <v>154</v>
      </c>
    </row>
    <row r="2005" spans="1:17" x14ac:dyDescent="0.2">
      <c r="A2005">
        <v>1348880</v>
      </c>
      <c r="B2005">
        <v>735</v>
      </c>
      <c r="C2005" s="1" t="s">
        <v>113</v>
      </c>
      <c r="D2005" s="11">
        <v>44951.021527777775</v>
      </c>
      <c r="E2005" t="s">
        <v>191</v>
      </c>
      <c r="F2005" t="s">
        <v>55</v>
      </c>
      <c r="G2005">
        <v>9491</v>
      </c>
      <c r="H2005" s="5" t="s">
        <v>113</v>
      </c>
      <c r="I2005" s="15">
        <v>44951</v>
      </c>
      <c r="J2005" s="15" t="s">
        <v>232</v>
      </c>
      <c r="K2005" s="6">
        <v>0.52152777777777781</v>
      </c>
      <c r="L2005" t="s">
        <v>144</v>
      </c>
      <c r="M2005">
        <v>100000</v>
      </c>
      <c r="N2005" t="s">
        <v>219</v>
      </c>
      <c r="O2005" t="s">
        <v>152</v>
      </c>
      <c r="P2005">
        <v>42</v>
      </c>
      <c r="Q2005" t="s">
        <v>155</v>
      </c>
    </row>
    <row r="2006" spans="1:17" x14ac:dyDescent="0.2">
      <c r="A2006">
        <v>1350108</v>
      </c>
      <c r="B2006">
        <v>453</v>
      </c>
      <c r="C2006" s="1" t="s">
        <v>100</v>
      </c>
      <c r="D2006" s="11">
        <v>45027.96597222222</v>
      </c>
      <c r="E2006" t="s">
        <v>98</v>
      </c>
      <c r="F2006" t="s">
        <v>70</v>
      </c>
      <c r="G2006">
        <v>4256</v>
      </c>
      <c r="H2006" s="5" t="s">
        <v>100</v>
      </c>
      <c r="I2006" s="15">
        <v>45027</v>
      </c>
      <c r="J2006" s="15" t="s">
        <v>233</v>
      </c>
      <c r="K2006" s="6">
        <v>0.46597222222222223</v>
      </c>
      <c r="L2006" t="s">
        <v>143</v>
      </c>
      <c r="M2006">
        <v>100000</v>
      </c>
      <c r="N2006" t="s">
        <v>205</v>
      </c>
      <c r="O2006" t="s">
        <v>151</v>
      </c>
      <c r="P2006">
        <v>52</v>
      </c>
      <c r="Q2006" t="s">
        <v>154</v>
      </c>
    </row>
    <row r="2007" spans="1:17" x14ac:dyDescent="0.2">
      <c r="A2007">
        <v>1350840</v>
      </c>
      <c r="B2007">
        <v>1282</v>
      </c>
      <c r="C2007" s="1" t="s">
        <v>100</v>
      </c>
      <c r="D2007" s="11">
        <v>45108.952777777777</v>
      </c>
      <c r="E2007" t="s">
        <v>98</v>
      </c>
      <c r="F2007" t="s">
        <v>48</v>
      </c>
      <c r="G2007">
        <v>6519</v>
      </c>
      <c r="H2007" s="5" t="s">
        <v>100</v>
      </c>
      <c r="I2007" s="15">
        <v>45108</v>
      </c>
      <c r="J2007" s="15" t="s">
        <v>234</v>
      </c>
      <c r="K2007" s="6">
        <v>0.45277777777777778</v>
      </c>
      <c r="L2007" t="s">
        <v>142</v>
      </c>
      <c r="M2007">
        <v>100000</v>
      </c>
      <c r="N2007" t="s">
        <v>209</v>
      </c>
      <c r="O2007" t="s">
        <v>151</v>
      </c>
      <c r="P2007">
        <v>35</v>
      </c>
      <c r="Q2007" t="s">
        <v>156</v>
      </c>
    </row>
    <row r="2008" spans="1:17" x14ac:dyDescent="0.2">
      <c r="A2008">
        <v>1352087</v>
      </c>
      <c r="B2008">
        <v>1051</v>
      </c>
      <c r="C2008" s="1" t="s">
        <v>105</v>
      </c>
      <c r="D2008" s="11">
        <v>45095.015972222223</v>
      </c>
      <c r="E2008" t="s">
        <v>97</v>
      </c>
      <c r="F2008" t="s">
        <v>59</v>
      </c>
      <c r="G2008">
        <v>4016</v>
      </c>
      <c r="H2008" s="5" t="s">
        <v>105</v>
      </c>
      <c r="I2008" s="15">
        <v>45095</v>
      </c>
      <c r="J2008" s="15" t="s">
        <v>233</v>
      </c>
      <c r="K2008" s="6">
        <v>0.51597222222222228</v>
      </c>
      <c r="L2008" t="s">
        <v>144</v>
      </c>
      <c r="M2008">
        <v>80000</v>
      </c>
      <c r="N2008" t="s">
        <v>224</v>
      </c>
      <c r="O2008" t="s">
        <v>151</v>
      </c>
      <c r="P2008">
        <v>36</v>
      </c>
      <c r="Q2008" t="s">
        <v>156</v>
      </c>
    </row>
    <row r="2009" spans="1:17" x14ac:dyDescent="0.2">
      <c r="A2009">
        <v>1352182</v>
      </c>
      <c r="B2009">
        <v>1238</v>
      </c>
      <c r="C2009" s="1" t="s">
        <v>99</v>
      </c>
      <c r="D2009" s="11">
        <v>45054.048611111109</v>
      </c>
      <c r="E2009" t="s">
        <v>98</v>
      </c>
      <c r="F2009" t="s">
        <v>61</v>
      </c>
      <c r="G2009">
        <v>2508</v>
      </c>
      <c r="H2009" s="5" t="s">
        <v>99</v>
      </c>
      <c r="I2009" s="15">
        <v>45054</v>
      </c>
      <c r="J2009" s="15" t="s">
        <v>233</v>
      </c>
      <c r="K2009" s="6">
        <v>4.8611111111111112E-2</v>
      </c>
      <c r="L2009" t="s">
        <v>142</v>
      </c>
      <c r="M2009">
        <v>80000</v>
      </c>
      <c r="N2009" t="s">
        <v>197</v>
      </c>
      <c r="O2009" t="s">
        <v>152</v>
      </c>
      <c r="P2009">
        <v>65</v>
      </c>
      <c r="Q2009" t="s">
        <v>156</v>
      </c>
    </row>
    <row r="2010" spans="1:17" x14ac:dyDescent="0.2">
      <c r="A2010">
        <v>1353569</v>
      </c>
      <c r="B2010">
        <v>276</v>
      </c>
      <c r="C2010" s="1" t="s">
        <v>113</v>
      </c>
      <c r="D2010" s="11">
        <v>45135.055555555555</v>
      </c>
      <c r="E2010" t="s">
        <v>191</v>
      </c>
      <c r="F2010" t="s">
        <v>65</v>
      </c>
      <c r="G2010">
        <v>7760</v>
      </c>
      <c r="H2010" s="5" t="s">
        <v>113</v>
      </c>
      <c r="I2010" s="15">
        <v>45135</v>
      </c>
      <c r="J2010" s="15" t="s">
        <v>234</v>
      </c>
      <c r="K2010" s="6">
        <v>5.5555555555555552E-2</v>
      </c>
      <c r="L2010" t="s">
        <v>146</v>
      </c>
      <c r="M2010">
        <v>200000</v>
      </c>
      <c r="N2010" t="s">
        <v>225</v>
      </c>
      <c r="O2010" t="s">
        <v>152</v>
      </c>
      <c r="P2010">
        <v>59</v>
      </c>
      <c r="Q2010" t="s">
        <v>154</v>
      </c>
    </row>
    <row r="2011" spans="1:17" x14ac:dyDescent="0.2">
      <c r="A2011">
        <v>1354438</v>
      </c>
      <c r="B2011">
        <v>1076</v>
      </c>
      <c r="C2011" s="1" t="s">
        <v>113</v>
      </c>
      <c r="D2011" s="11">
        <v>44960.990277777775</v>
      </c>
      <c r="E2011" t="s">
        <v>97</v>
      </c>
      <c r="F2011" t="s">
        <v>27</v>
      </c>
      <c r="G2011">
        <v>4766</v>
      </c>
      <c r="H2011" s="5" t="s">
        <v>113</v>
      </c>
      <c r="I2011" s="15">
        <v>44960</v>
      </c>
      <c r="J2011" s="15" t="s">
        <v>232</v>
      </c>
      <c r="K2011" s="6">
        <v>0.49027777777777776</v>
      </c>
      <c r="L2011" t="s">
        <v>142</v>
      </c>
      <c r="M2011">
        <v>1000000</v>
      </c>
      <c r="N2011" t="s">
        <v>209</v>
      </c>
      <c r="O2011" t="s">
        <v>152</v>
      </c>
      <c r="P2011">
        <v>18</v>
      </c>
      <c r="Q2011" t="s">
        <v>156</v>
      </c>
    </row>
    <row r="2012" spans="1:17" x14ac:dyDescent="0.2">
      <c r="A2012">
        <v>1354758</v>
      </c>
      <c r="B2012">
        <v>892</v>
      </c>
      <c r="C2012" s="1" t="s">
        <v>99</v>
      </c>
      <c r="D2012" s="11">
        <v>45238.007638888892</v>
      </c>
      <c r="E2012" t="s">
        <v>98</v>
      </c>
      <c r="F2012" t="s">
        <v>18</v>
      </c>
      <c r="G2012">
        <v>4217</v>
      </c>
      <c r="H2012" s="5" t="s">
        <v>99</v>
      </c>
      <c r="I2012" s="15">
        <v>45238</v>
      </c>
      <c r="J2012" s="15" t="s">
        <v>295</v>
      </c>
      <c r="K2012" s="6">
        <v>0.50763888888888886</v>
      </c>
      <c r="L2012" t="s">
        <v>145</v>
      </c>
      <c r="M2012">
        <v>200000</v>
      </c>
      <c r="N2012" t="s">
        <v>210</v>
      </c>
      <c r="O2012" t="s">
        <v>152</v>
      </c>
      <c r="P2012">
        <v>34</v>
      </c>
      <c r="Q2012" t="s">
        <v>155</v>
      </c>
    </row>
    <row r="2013" spans="1:17" x14ac:dyDescent="0.2">
      <c r="A2013">
        <v>1355256</v>
      </c>
      <c r="B2013">
        <v>332</v>
      </c>
      <c r="C2013" s="1" t="s">
        <v>113</v>
      </c>
      <c r="D2013" s="11">
        <v>44977.027083333334</v>
      </c>
      <c r="E2013" t="s">
        <v>191</v>
      </c>
      <c r="F2013" t="s">
        <v>89</v>
      </c>
      <c r="G2013">
        <v>2173</v>
      </c>
      <c r="H2013" s="5" t="s">
        <v>113</v>
      </c>
      <c r="I2013" s="15">
        <v>44977</v>
      </c>
      <c r="J2013" s="15" t="s">
        <v>232</v>
      </c>
      <c r="K2013" s="6">
        <v>0.52708333333333335</v>
      </c>
      <c r="L2013" t="s">
        <v>144</v>
      </c>
      <c r="M2013">
        <v>150000</v>
      </c>
      <c r="N2013" t="s">
        <v>218</v>
      </c>
      <c r="O2013" t="s">
        <v>151</v>
      </c>
      <c r="P2013">
        <v>78</v>
      </c>
      <c r="Q2013" t="s">
        <v>154</v>
      </c>
    </row>
    <row r="2014" spans="1:17" x14ac:dyDescent="0.2">
      <c r="A2014">
        <v>1355679</v>
      </c>
      <c r="B2014">
        <v>1315</v>
      </c>
      <c r="C2014" s="1" t="s">
        <v>99</v>
      </c>
      <c r="D2014" s="11">
        <v>45202.045138888891</v>
      </c>
      <c r="E2014" t="s">
        <v>191</v>
      </c>
      <c r="F2014" t="s">
        <v>93</v>
      </c>
      <c r="G2014">
        <v>8855</v>
      </c>
      <c r="H2014" s="5" t="s">
        <v>99</v>
      </c>
      <c r="I2014" s="15">
        <v>45202</v>
      </c>
      <c r="J2014" s="15" t="s">
        <v>295</v>
      </c>
      <c r="K2014" s="6">
        <v>4.5138888888888888E-2</v>
      </c>
      <c r="L2014" t="s">
        <v>146</v>
      </c>
      <c r="M2014">
        <v>30000</v>
      </c>
      <c r="N2014" t="s">
        <v>220</v>
      </c>
      <c r="O2014" t="s">
        <v>152</v>
      </c>
      <c r="P2014">
        <v>76</v>
      </c>
      <c r="Q2014" t="s">
        <v>156</v>
      </c>
    </row>
    <row r="2015" spans="1:17" x14ac:dyDescent="0.2">
      <c r="A2015">
        <v>1356717</v>
      </c>
      <c r="B2015">
        <v>59</v>
      </c>
      <c r="C2015" s="1" t="s">
        <v>101</v>
      </c>
      <c r="D2015" s="11">
        <v>44996.936805555553</v>
      </c>
      <c r="E2015" t="s">
        <v>97</v>
      </c>
      <c r="F2015" t="s">
        <v>51</v>
      </c>
      <c r="G2015">
        <v>4472</v>
      </c>
      <c r="H2015" s="5" t="s">
        <v>101</v>
      </c>
      <c r="I2015" s="15">
        <v>44996</v>
      </c>
      <c r="J2015" s="15" t="s">
        <v>232</v>
      </c>
      <c r="K2015" s="6">
        <v>0.43680555555555556</v>
      </c>
      <c r="L2015" t="s">
        <v>145</v>
      </c>
      <c r="M2015">
        <v>100000</v>
      </c>
      <c r="N2015" t="s">
        <v>217</v>
      </c>
      <c r="O2015" t="s">
        <v>152</v>
      </c>
      <c r="P2015">
        <v>70</v>
      </c>
      <c r="Q2015" t="s">
        <v>154</v>
      </c>
    </row>
    <row r="2016" spans="1:17" x14ac:dyDescent="0.2">
      <c r="A2016">
        <v>1357382</v>
      </c>
      <c r="B2016">
        <v>463</v>
      </c>
      <c r="C2016" s="1" t="s">
        <v>109</v>
      </c>
      <c r="D2016" s="11">
        <v>45274.070833333331</v>
      </c>
      <c r="E2016" t="s">
        <v>98</v>
      </c>
      <c r="F2016" t="s">
        <v>63</v>
      </c>
      <c r="G2016">
        <v>2708</v>
      </c>
      <c r="H2016" s="5" t="s">
        <v>109</v>
      </c>
      <c r="I2016" s="15">
        <v>45274</v>
      </c>
      <c r="J2016" s="15" t="s">
        <v>295</v>
      </c>
      <c r="K2016" s="6">
        <v>7.0833333333333331E-2</v>
      </c>
      <c r="L2016" t="s">
        <v>143</v>
      </c>
      <c r="M2016">
        <v>100000</v>
      </c>
      <c r="N2016" t="s">
        <v>198</v>
      </c>
      <c r="O2016" t="s">
        <v>151</v>
      </c>
      <c r="P2016">
        <v>55</v>
      </c>
      <c r="Q2016" t="s">
        <v>154</v>
      </c>
    </row>
    <row r="2017" spans="1:17" x14ac:dyDescent="0.2">
      <c r="A2017">
        <v>1358333</v>
      </c>
      <c r="B2017">
        <v>1755</v>
      </c>
      <c r="C2017" s="1" t="s">
        <v>105</v>
      </c>
      <c r="D2017" s="11">
        <v>45001.967361111114</v>
      </c>
      <c r="E2017" t="s">
        <v>97</v>
      </c>
      <c r="F2017" t="s">
        <v>90</v>
      </c>
      <c r="G2017">
        <v>1585</v>
      </c>
      <c r="H2017" s="5" t="s">
        <v>105</v>
      </c>
      <c r="I2017" s="15">
        <v>45001</v>
      </c>
      <c r="J2017" s="15" t="s">
        <v>232</v>
      </c>
      <c r="K2017" s="6">
        <v>0.46736111111111112</v>
      </c>
      <c r="L2017" t="s">
        <v>142</v>
      </c>
      <c r="M2017">
        <v>150000</v>
      </c>
      <c r="N2017" t="s">
        <v>208</v>
      </c>
      <c r="O2017" t="s">
        <v>151</v>
      </c>
      <c r="P2017">
        <v>66</v>
      </c>
      <c r="Q2017" t="s">
        <v>157</v>
      </c>
    </row>
    <row r="2018" spans="1:17" x14ac:dyDescent="0.2">
      <c r="A2018">
        <v>1358621</v>
      </c>
      <c r="B2018">
        <v>909</v>
      </c>
      <c r="C2018" s="1" t="s">
        <v>113</v>
      </c>
      <c r="D2018" s="11">
        <v>45253.952777777777</v>
      </c>
      <c r="E2018" t="s">
        <v>97</v>
      </c>
      <c r="F2018" t="s">
        <v>39</v>
      </c>
      <c r="G2018">
        <v>7200</v>
      </c>
      <c r="H2018" s="5" t="s">
        <v>113</v>
      </c>
      <c r="I2018" s="15">
        <v>45253</v>
      </c>
      <c r="J2018" s="15" t="s">
        <v>295</v>
      </c>
      <c r="K2018" s="6">
        <v>0.45277777777777778</v>
      </c>
      <c r="L2018" t="s">
        <v>146</v>
      </c>
      <c r="M2018">
        <v>100000</v>
      </c>
      <c r="N2018" t="s">
        <v>212</v>
      </c>
      <c r="O2018" t="s">
        <v>151</v>
      </c>
      <c r="P2018">
        <v>71</v>
      </c>
      <c r="Q2018" t="s">
        <v>155</v>
      </c>
    </row>
    <row r="2019" spans="1:17" x14ac:dyDescent="0.2">
      <c r="A2019">
        <v>1358679</v>
      </c>
      <c r="B2019">
        <v>144</v>
      </c>
      <c r="C2019" s="1" t="s">
        <v>108</v>
      </c>
      <c r="D2019" s="11">
        <v>45011.042361111111</v>
      </c>
      <c r="E2019" t="s">
        <v>98</v>
      </c>
      <c r="F2019" t="s">
        <v>53</v>
      </c>
      <c r="G2019">
        <v>3276</v>
      </c>
      <c r="H2019" s="5" t="s">
        <v>108</v>
      </c>
      <c r="I2019" s="15">
        <v>45011</v>
      </c>
      <c r="J2019" s="15" t="s">
        <v>232</v>
      </c>
      <c r="K2019" s="6">
        <v>4.2361111111111113E-2</v>
      </c>
      <c r="L2019" t="s">
        <v>142</v>
      </c>
      <c r="M2019">
        <v>100000</v>
      </c>
      <c r="N2019" t="s">
        <v>207</v>
      </c>
      <c r="O2019" t="s">
        <v>151</v>
      </c>
      <c r="P2019">
        <v>27</v>
      </c>
      <c r="Q2019" t="s">
        <v>154</v>
      </c>
    </row>
    <row r="2020" spans="1:17" x14ac:dyDescent="0.2">
      <c r="A2020">
        <v>1359265</v>
      </c>
      <c r="B2020">
        <v>1458</v>
      </c>
      <c r="C2020" s="1" t="s">
        <v>100</v>
      </c>
      <c r="D2020" s="11">
        <v>45140.939583333333</v>
      </c>
      <c r="E2020" t="s">
        <v>97</v>
      </c>
      <c r="F2020" t="s">
        <v>24</v>
      </c>
      <c r="G2020">
        <v>7400</v>
      </c>
      <c r="H2020" s="5" t="s">
        <v>100</v>
      </c>
      <c r="I2020" s="15">
        <v>45140</v>
      </c>
      <c r="J2020" s="15" t="s">
        <v>234</v>
      </c>
      <c r="K2020" s="6">
        <v>0.43958333333333333</v>
      </c>
      <c r="L2020" t="s">
        <v>143</v>
      </c>
      <c r="M2020">
        <v>200000</v>
      </c>
      <c r="N2020" t="s">
        <v>214</v>
      </c>
      <c r="O2020" t="s">
        <v>151</v>
      </c>
      <c r="P2020">
        <v>67</v>
      </c>
      <c r="Q2020" t="s">
        <v>156</v>
      </c>
    </row>
    <row r="2021" spans="1:17" x14ac:dyDescent="0.2">
      <c r="A2021">
        <v>1359304</v>
      </c>
      <c r="B2021">
        <v>1033</v>
      </c>
      <c r="C2021" s="1" t="s">
        <v>113</v>
      </c>
      <c r="D2021" s="11">
        <v>45123.969444444447</v>
      </c>
      <c r="E2021" t="s">
        <v>97</v>
      </c>
      <c r="F2021" t="s">
        <v>64</v>
      </c>
      <c r="G2021">
        <v>941</v>
      </c>
      <c r="H2021" s="5" t="s">
        <v>113</v>
      </c>
      <c r="I2021" s="15">
        <v>45123</v>
      </c>
      <c r="J2021" s="15" t="s">
        <v>234</v>
      </c>
      <c r="K2021" s="6">
        <v>0.46944444444444444</v>
      </c>
      <c r="L2021" t="s">
        <v>143</v>
      </c>
      <c r="M2021">
        <v>100000</v>
      </c>
      <c r="N2021" t="s">
        <v>223</v>
      </c>
      <c r="O2021" t="s">
        <v>152</v>
      </c>
      <c r="P2021">
        <v>56</v>
      </c>
      <c r="Q2021" t="s">
        <v>156</v>
      </c>
    </row>
    <row r="2022" spans="1:17" x14ac:dyDescent="0.2">
      <c r="A2022">
        <v>1359599</v>
      </c>
      <c r="B2022">
        <v>883</v>
      </c>
      <c r="C2022" s="1" t="s">
        <v>99</v>
      </c>
      <c r="D2022" s="11">
        <v>45188.008333333331</v>
      </c>
      <c r="E2022" t="s">
        <v>96</v>
      </c>
      <c r="F2022" t="s">
        <v>27</v>
      </c>
      <c r="G2022">
        <v>2508</v>
      </c>
      <c r="H2022" s="5" t="s">
        <v>99</v>
      </c>
      <c r="I2022" s="15">
        <v>45188</v>
      </c>
      <c r="J2022" s="15" t="s">
        <v>234</v>
      </c>
      <c r="K2022" s="6">
        <v>0.5083333333333333</v>
      </c>
      <c r="L2022" t="s">
        <v>142</v>
      </c>
      <c r="M2022">
        <v>1000000</v>
      </c>
      <c r="N2022" t="s">
        <v>209</v>
      </c>
      <c r="O2022" t="s">
        <v>151</v>
      </c>
      <c r="P2022">
        <v>81</v>
      </c>
      <c r="Q2022" t="s">
        <v>155</v>
      </c>
    </row>
    <row r="2023" spans="1:17" x14ac:dyDescent="0.2">
      <c r="A2023">
        <v>1360263</v>
      </c>
      <c r="B2023">
        <v>1782</v>
      </c>
      <c r="C2023" s="1" t="s">
        <v>105</v>
      </c>
      <c r="D2023" s="11">
        <v>45131.011805555558</v>
      </c>
      <c r="E2023" t="s">
        <v>191</v>
      </c>
      <c r="F2023" t="s">
        <v>5</v>
      </c>
      <c r="G2023">
        <v>7986</v>
      </c>
      <c r="H2023" s="5" t="s">
        <v>105</v>
      </c>
      <c r="I2023" s="15">
        <v>45131</v>
      </c>
      <c r="J2023" s="15" t="s">
        <v>234</v>
      </c>
      <c r="K2023" s="6">
        <v>0.51180555555555551</v>
      </c>
      <c r="L2023" t="s">
        <v>143</v>
      </c>
      <c r="M2023">
        <v>200000</v>
      </c>
      <c r="N2023" t="s">
        <v>198</v>
      </c>
      <c r="O2023" t="s">
        <v>151</v>
      </c>
      <c r="P2023">
        <v>50</v>
      </c>
      <c r="Q2023" t="s">
        <v>157</v>
      </c>
    </row>
    <row r="2024" spans="1:17" x14ac:dyDescent="0.2">
      <c r="A2024">
        <v>1360843</v>
      </c>
      <c r="B2024">
        <v>760</v>
      </c>
      <c r="C2024" s="1" t="s">
        <v>113</v>
      </c>
      <c r="D2024" s="11">
        <v>45079.023611111108</v>
      </c>
      <c r="E2024" t="s">
        <v>98</v>
      </c>
      <c r="F2024" t="s">
        <v>16</v>
      </c>
      <c r="G2024">
        <v>2752</v>
      </c>
      <c r="H2024" s="5" t="s">
        <v>113</v>
      </c>
      <c r="I2024" s="15">
        <v>45079</v>
      </c>
      <c r="J2024" s="15" t="s">
        <v>233</v>
      </c>
      <c r="K2024" s="6">
        <v>0.52361111111111114</v>
      </c>
      <c r="L2024" t="s">
        <v>142</v>
      </c>
      <c r="M2024">
        <v>80000</v>
      </c>
      <c r="N2024" t="s">
        <v>208</v>
      </c>
      <c r="O2024" t="s">
        <v>151</v>
      </c>
      <c r="P2024">
        <v>22</v>
      </c>
      <c r="Q2024" t="s">
        <v>155</v>
      </c>
    </row>
    <row r="2025" spans="1:17" x14ac:dyDescent="0.2">
      <c r="A2025">
        <v>1361770</v>
      </c>
      <c r="B2025">
        <v>1061</v>
      </c>
      <c r="C2025" s="1" t="s">
        <v>102</v>
      </c>
      <c r="D2025" s="11">
        <v>45042.004166666666</v>
      </c>
      <c r="E2025" t="s">
        <v>97</v>
      </c>
      <c r="F2025" t="s">
        <v>74</v>
      </c>
      <c r="G2025">
        <v>8962</v>
      </c>
      <c r="H2025" s="5" t="s">
        <v>102</v>
      </c>
      <c r="I2025" s="15">
        <v>45042</v>
      </c>
      <c r="J2025" s="15" t="s">
        <v>233</v>
      </c>
      <c r="K2025" s="6">
        <v>0.50416666666666665</v>
      </c>
      <c r="L2025" t="s">
        <v>145</v>
      </c>
      <c r="M2025">
        <v>150000</v>
      </c>
      <c r="N2025" t="s">
        <v>226</v>
      </c>
      <c r="O2025" t="s">
        <v>152</v>
      </c>
      <c r="P2025">
        <v>61</v>
      </c>
      <c r="Q2025" t="s">
        <v>156</v>
      </c>
    </row>
    <row r="2026" spans="1:17" x14ac:dyDescent="0.2">
      <c r="A2026">
        <v>1361969</v>
      </c>
      <c r="B2026">
        <v>1350</v>
      </c>
      <c r="C2026" s="1" t="s">
        <v>105</v>
      </c>
      <c r="D2026" s="11">
        <v>45051.083333333336</v>
      </c>
      <c r="E2026" t="s">
        <v>191</v>
      </c>
      <c r="F2026" t="s">
        <v>44</v>
      </c>
      <c r="G2026">
        <v>3695</v>
      </c>
      <c r="H2026" s="5" t="s">
        <v>105</v>
      </c>
      <c r="I2026" s="15">
        <v>45051</v>
      </c>
      <c r="J2026" s="15" t="s">
        <v>233</v>
      </c>
      <c r="K2026" s="6">
        <v>8.3333333333333329E-2</v>
      </c>
      <c r="L2026" t="s">
        <v>144</v>
      </c>
      <c r="M2026">
        <v>150000</v>
      </c>
      <c r="N2026" t="s">
        <v>199</v>
      </c>
      <c r="O2026" t="s">
        <v>151</v>
      </c>
      <c r="P2026">
        <v>51</v>
      </c>
      <c r="Q2026" t="s">
        <v>156</v>
      </c>
    </row>
    <row r="2027" spans="1:17" x14ac:dyDescent="0.2">
      <c r="A2027">
        <v>1362369</v>
      </c>
      <c r="B2027">
        <v>230</v>
      </c>
      <c r="C2027" s="1" t="s">
        <v>99</v>
      </c>
      <c r="D2027" s="11">
        <v>44931.042361111111</v>
      </c>
      <c r="E2027" t="s">
        <v>96</v>
      </c>
      <c r="F2027" t="s">
        <v>81</v>
      </c>
      <c r="G2027">
        <v>9795</v>
      </c>
      <c r="H2027" s="5" t="s">
        <v>99</v>
      </c>
      <c r="I2027" s="15">
        <v>44931</v>
      </c>
      <c r="J2027" s="15" t="s">
        <v>232</v>
      </c>
      <c r="K2027" s="6">
        <v>4.2361111111111113E-2</v>
      </c>
      <c r="L2027" t="s">
        <v>143</v>
      </c>
      <c r="M2027">
        <v>250000</v>
      </c>
      <c r="N2027" t="s">
        <v>221</v>
      </c>
      <c r="O2027" t="s">
        <v>151</v>
      </c>
      <c r="P2027">
        <v>79</v>
      </c>
      <c r="Q2027" t="s">
        <v>154</v>
      </c>
    </row>
    <row r="2028" spans="1:17" x14ac:dyDescent="0.2">
      <c r="A2028">
        <v>1362785</v>
      </c>
      <c r="B2028">
        <v>61</v>
      </c>
      <c r="C2028" s="1" t="s">
        <v>105</v>
      </c>
      <c r="D2028" s="11">
        <v>45284.97152777778</v>
      </c>
      <c r="E2028" t="s">
        <v>96</v>
      </c>
      <c r="F2028" t="s">
        <v>88</v>
      </c>
      <c r="G2028">
        <v>3114</v>
      </c>
      <c r="H2028" s="5" t="s">
        <v>105</v>
      </c>
      <c r="I2028" s="15">
        <v>45284</v>
      </c>
      <c r="J2028" s="15" t="s">
        <v>295</v>
      </c>
      <c r="K2028" s="6">
        <v>0.47152777777777777</v>
      </c>
      <c r="L2028" t="s">
        <v>144</v>
      </c>
      <c r="M2028">
        <v>100000</v>
      </c>
      <c r="N2028" t="s">
        <v>200</v>
      </c>
      <c r="O2028" t="s">
        <v>152</v>
      </c>
      <c r="P2028">
        <v>47</v>
      </c>
      <c r="Q2028" t="s">
        <v>154</v>
      </c>
    </row>
    <row r="2029" spans="1:17" x14ac:dyDescent="0.2">
      <c r="A2029">
        <v>1365205</v>
      </c>
      <c r="B2029">
        <v>298</v>
      </c>
      <c r="C2029" s="1" t="s">
        <v>105</v>
      </c>
      <c r="D2029" s="11">
        <v>44949.957638888889</v>
      </c>
      <c r="E2029" t="s">
        <v>98</v>
      </c>
      <c r="F2029" t="s">
        <v>86</v>
      </c>
      <c r="G2029">
        <v>7140</v>
      </c>
      <c r="H2029" s="5" t="s">
        <v>105</v>
      </c>
      <c r="I2029" s="15">
        <v>44949</v>
      </c>
      <c r="J2029" s="15" t="s">
        <v>232</v>
      </c>
      <c r="K2029" s="6">
        <v>0.45763888888888887</v>
      </c>
      <c r="L2029" t="s">
        <v>144</v>
      </c>
      <c r="M2029">
        <v>100000</v>
      </c>
      <c r="N2029" t="s">
        <v>216</v>
      </c>
      <c r="O2029" t="s">
        <v>151</v>
      </c>
      <c r="P2029">
        <v>34</v>
      </c>
      <c r="Q2029" t="s">
        <v>154</v>
      </c>
    </row>
    <row r="2030" spans="1:17" x14ac:dyDescent="0.2">
      <c r="A2030">
        <v>1365442</v>
      </c>
      <c r="B2030">
        <v>1707</v>
      </c>
      <c r="C2030" s="1" t="s">
        <v>100</v>
      </c>
      <c r="D2030" s="11">
        <v>44999.011805555558</v>
      </c>
      <c r="E2030" t="s">
        <v>96</v>
      </c>
      <c r="F2030" t="s">
        <v>8</v>
      </c>
      <c r="G2030">
        <v>8105</v>
      </c>
      <c r="H2030" s="5" t="s">
        <v>100</v>
      </c>
      <c r="I2030" s="15">
        <v>44999</v>
      </c>
      <c r="J2030" s="15" t="s">
        <v>232</v>
      </c>
      <c r="K2030" s="6">
        <v>0.51180555555555551</v>
      </c>
      <c r="L2030" t="s">
        <v>142</v>
      </c>
      <c r="M2030">
        <v>200000</v>
      </c>
      <c r="N2030" t="s">
        <v>201</v>
      </c>
      <c r="O2030" t="s">
        <v>152</v>
      </c>
      <c r="P2030">
        <v>85</v>
      </c>
      <c r="Q2030" t="s">
        <v>157</v>
      </c>
    </row>
    <row r="2031" spans="1:17" x14ac:dyDescent="0.2">
      <c r="A2031">
        <v>1365869</v>
      </c>
      <c r="B2031">
        <v>1763</v>
      </c>
      <c r="C2031" s="1" t="s">
        <v>99</v>
      </c>
      <c r="D2031" s="11">
        <v>45217.955555555556</v>
      </c>
      <c r="E2031" t="s">
        <v>97</v>
      </c>
      <c r="F2031" t="s">
        <v>90</v>
      </c>
      <c r="G2031">
        <v>8523</v>
      </c>
      <c r="H2031" s="5" t="s">
        <v>99</v>
      </c>
      <c r="I2031" s="15">
        <v>45217</v>
      </c>
      <c r="J2031" s="15" t="s">
        <v>295</v>
      </c>
      <c r="K2031" s="6">
        <v>0.45555555555555555</v>
      </c>
      <c r="L2031" t="s">
        <v>142</v>
      </c>
      <c r="M2031">
        <v>150000</v>
      </c>
      <c r="N2031" t="s">
        <v>208</v>
      </c>
      <c r="O2031" t="s">
        <v>152</v>
      </c>
      <c r="P2031">
        <v>84</v>
      </c>
      <c r="Q2031" t="s">
        <v>157</v>
      </c>
    </row>
    <row r="2032" spans="1:17" x14ac:dyDescent="0.2">
      <c r="A2032">
        <v>1366020</v>
      </c>
      <c r="B2032">
        <v>659</v>
      </c>
      <c r="C2032" s="1" t="s">
        <v>101</v>
      </c>
      <c r="D2032" s="11">
        <v>45148.972222222219</v>
      </c>
      <c r="E2032" t="s">
        <v>97</v>
      </c>
      <c r="F2032" t="s">
        <v>43</v>
      </c>
      <c r="G2032">
        <v>9989</v>
      </c>
      <c r="H2032" s="5" t="s">
        <v>101</v>
      </c>
      <c r="I2032" s="15">
        <v>45148</v>
      </c>
      <c r="J2032" s="15" t="s">
        <v>234</v>
      </c>
      <c r="K2032" s="6">
        <v>0.47222222222222221</v>
      </c>
      <c r="L2032" t="s">
        <v>145</v>
      </c>
      <c r="M2032">
        <v>1000000</v>
      </c>
      <c r="N2032" t="s">
        <v>203</v>
      </c>
      <c r="O2032" t="s">
        <v>152</v>
      </c>
      <c r="P2032">
        <v>61</v>
      </c>
      <c r="Q2032" t="s">
        <v>155</v>
      </c>
    </row>
    <row r="2033" spans="1:17" x14ac:dyDescent="0.2">
      <c r="A2033">
        <v>1366848</v>
      </c>
      <c r="B2033">
        <v>1433</v>
      </c>
      <c r="C2033" s="1" t="s">
        <v>101</v>
      </c>
      <c r="D2033" s="11">
        <v>45090.040277777778</v>
      </c>
      <c r="E2033" t="s">
        <v>191</v>
      </c>
      <c r="F2033" t="s">
        <v>91</v>
      </c>
      <c r="G2033">
        <v>2562</v>
      </c>
      <c r="H2033" s="5" t="s">
        <v>101</v>
      </c>
      <c r="I2033" s="15">
        <v>45090</v>
      </c>
      <c r="J2033" s="15" t="s">
        <v>233</v>
      </c>
      <c r="K2033" s="6">
        <v>0.54027777777777775</v>
      </c>
      <c r="L2033" t="s">
        <v>142</v>
      </c>
      <c r="M2033">
        <v>100000</v>
      </c>
      <c r="N2033" t="s">
        <v>213</v>
      </c>
      <c r="O2033" t="s">
        <v>152</v>
      </c>
      <c r="P2033">
        <v>28</v>
      </c>
      <c r="Q2033" t="s">
        <v>156</v>
      </c>
    </row>
    <row r="2034" spans="1:17" x14ac:dyDescent="0.2">
      <c r="A2034">
        <v>1366911</v>
      </c>
      <c r="B2034">
        <v>1017</v>
      </c>
      <c r="C2034" s="1" t="s">
        <v>113</v>
      </c>
      <c r="D2034" s="11">
        <v>45168.986111111109</v>
      </c>
      <c r="E2034" t="s">
        <v>96</v>
      </c>
      <c r="F2034" t="s">
        <v>78</v>
      </c>
      <c r="G2034">
        <v>1302</v>
      </c>
      <c r="H2034" s="5" t="s">
        <v>113</v>
      </c>
      <c r="I2034" s="15">
        <v>45168</v>
      </c>
      <c r="J2034" s="15" t="s">
        <v>234</v>
      </c>
      <c r="K2034" s="6">
        <v>0.4861111111111111</v>
      </c>
      <c r="L2034" t="s">
        <v>143</v>
      </c>
      <c r="M2034">
        <v>200000</v>
      </c>
      <c r="N2034" t="s">
        <v>215</v>
      </c>
      <c r="O2034" t="s">
        <v>151</v>
      </c>
      <c r="P2034">
        <v>38</v>
      </c>
      <c r="Q2034" t="s">
        <v>156</v>
      </c>
    </row>
    <row r="2035" spans="1:17" x14ac:dyDescent="0.2">
      <c r="A2035">
        <v>1366955</v>
      </c>
      <c r="B2035">
        <v>1529</v>
      </c>
      <c r="C2035" s="1" t="s">
        <v>102</v>
      </c>
      <c r="D2035" s="11">
        <v>45005.03125</v>
      </c>
      <c r="E2035" t="s">
        <v>98</v>
      </c>
      <c r="F2035" t="s">
        <v>29</v>
      </c>
      <c r="G2035">
        <v>5336</v>
      </c>
      <c r="H2035" s="5" t="s">
        <v>102</v>
      </c>
      <c r="I2035" s="15">
        <v>45005</v>
      </c>
      <c r="J2035" s="15" t="s">
        <v>232</v>
      </c>
      <c r="K2035" s="6">
        <v>0.53125</v>
      </c>
      <c r="L2035" t="s">
        <v>143</v>
      </c>
      <c r="M2035">
        <v>150000</v>
      </c>
      <c r="N2035" t="s">
        <v>214</v>
      </c>
      <c r="O2035" t="s">
        <v>151</v>
      </c>
      <c r="P2035">
        <v>27</v>
      </c>
      <c r="Q2035" t="s">
        <v>157</v>
      </c>
    </row>
    <row r="2036" spans="1:17" x14ac:dyDescent="0.2">
      <c r="A2036">
        <v>1368464</v>
      </c>
      <c r="B2036">
        <v>414</v>
      </c>
      <c r="C2036" s="1" t="s">
        <v>113</v>
      </c>
      <c r="D2036" s="11">
        <v>45252.036111111112</v>
      </c>
      <c r="E2036" t="s">
        <v>96</v>
      </c>
      <c r="F2036" t="s">
        <v>34</v>
      </c>
      <c r="G2036">
        <v>7424</v>
      </c>
      <c r="H2036" s="5" t="s">
        <v>113</v>
      </c>
      <c r="I2036" s="15">
        <v>45252</v>
      </c>
      <c r="J2036" s="15" t="s">
        <v>295</v>
      </c>
      <c r="K2036" s="6">
        <v>0.53611111111111109</v>
      </c>
      <c r="L2036" t="s">
        <v>144</v>
      </c>
      <c r="M2036">
        <v>150000</v>
      </c>
      <c r="N2036" t="s">
        <v>218</v>
      </c>
      <c r="O2036" t="s">
        <v>151</v>
      </c>
      <c r="P2036">
        <v>86</v>
      </c>
      <c r="Q2036" t="s">
        <v>154</v>
      </c>
    </row>
    <row r="2037" spans="1:17" x14ac:dyDescent="0.2">
      <c r="A2037">
        <v>1369791</v>
      </c>
      <c r="B2037">
        <v>588</v>
      </c>
      <c r="C2037" s="1" t="s">
        <v>107</v>
      </c>
      <c r="D2037" s="11">
        <v>44964.046527777777</v>
      </c>
      <c r="E2037" t="s">
        <v>97</v>
      </c>
      <c r="F2037" t="s">
        <v>83</v>
      </c>
      <c r="G2037">
        <v>6758</v>
      </c>
      <c r="H2037" s="5" t="s">
        <v>107</v>
      </c>
      <c r="I2037" s="15">
        <v>44964</v>
      </c>
      <c r="J2037" s="15" t="s">
        <v>232</v>
      </c>
      <c r="K2037" s="6">
        <v>4.6527777777777779E-2</v>
      </c>
      <c r="L2037" t="s">
        <v>143</v>
      </c>
      <c r="M2037">
        <v>200000</v>
      </c>
      <c r="N2037" t="s">
        <v>206</v>
      </c>
      <c r="O2037" t="s">
        <v>152</v>
      </c>
      <c r="P2037">
        <v>42</v>
      </c>
      <c r="Q2037" t="s">
        <v>155</v>
      </c>
    </row>
    <row r="2038" spans="1:17" x14ac:dyDescent="0.2">
      <c r="A2038">
        <v>1370327</v>
      </c>
      <c r="B2038">
        <v>374</v>
      </c>
      <c r="C2038" s="1" t="s">
        <v>108</v>
      </c>
      <c r="D2038" s="11">
        <v>45278.050694444442</v>
      </c>
      <c r="E2038" t="s">
        <v>98</v>
      </c>
      <c r="F2038" t="s">
        <v>40</v>
      </c>
      <c r="G2038">
        <v>9133</v>
      </c>
      <c r="H2038" s="5" t="s">
        <v>108</v>
      </c>
      <c r="I2038" s="15">
        <v>45278</v>
      </c>
      <c r="J2038" s="15" t="s">
        <v>295</v>
      </c>
      <c r="K2038" s="6">
        <v>5.0694444444444445E-2</v>
      </c>
      <c r="L2038" t="s">
        <v>142</v>
      </c>
      <c r="M2038">
        <v>150000</v>
      </c>
      <c r="N2038" t="s">
        <v>207</v>
      </c>
      <c r="O2038" t="s">
        <v>151</v>
      </c>
      <c r="P2038">
        <v>71</v>
      </c>
      <c r="Q2038" t="s">
        <v>154</v>
      </c>
    </row>
    <row r="2039" spans="1:17" x14ac:dyDescent="0.2">
      <c r="A2039">
        <v>1370775</v>
      </c>
      <c r="B2039">
        <v>462</v>
      </c>
      <c r="C2039" s="1" t="s">
        <v>99</v>
      </c>
      <c r="D2039" s="11">
        <v>45039.075694444444</v>
      </c>
      <c r="E2039" t="s">
        <v>98</v>
      </c>
      <c r="F2039" t="s">
        <v>69</v>
      </c>
      <c r="G2039">
        <v>1949</v>
      </c>
      <c r="H2039" s="5" t="s">
        <v>99</v>
      </c>
      <c r="I2039" s="15">
        <v>45039</v>
      </c>
      <c r="J2039" s="15" t="s">
        <v>233</v>
      </c>
      <c r="K2039" s="6">
        <v>7.5694444444444439E-2</v>
      </c>
      <c r="L2039" t="s">
        <v>146</v>
      </c>
      <c r="M2039">
        <v>250000</v>
      </c>
      <c r="N2039" t="s">
        <v>225</v>
      </c>
      <c r="O2039" t="s">
        <v>152</v>
      </c>
      <c r="P2039">
        <v>80</v>
      </c>
      <c r="Q2039" t="s">
        <v>154</v>
      </c>
    </row>
    <row r="2040" spans="1:17" x14ac:dyDescent="0.2">
      <c r="A2040">
        <v>1371197</v>
      </c>
      <c r="B2040">
        <v>1891</v>
      </c>
      <c r="C2040" s="1" t="s">
        <v>106</v>
      </c>
      <c r="D2040" s="11">
        <v>45013.008333333331</v>
      </c>
      <c r="E2040" t="s">
        <v>97</v>
      </c>
      <c r="F2040" t="s">
        <v>85</v>
      </c>
      <c r="G2040">
        <v>5430</v>
      </c>
      <c r="H2040" s="5" t="s">
        <v>106</v>
      </c>
      <c r="I2040" s="15">
        <v>45013</v>
      </c>
      <c r="J2040" s="15" t="s">
        <v>232</v>
      </c>
      <c r="K2040" s="6">
        <v>0.5083333333333333</v>
      </c>
      <c r="L2040" t="s">
        <v>146</v>
      </c>
      <c r="M2040">
        <v>100000</v>
      </c>
      <c r="N2040" t="s">
        <v>212</v>
      </c>
      <c r="O2040" t="s">
        <v>151</v>
      </c>
      <c r="P2040">
        <v>54</v>
      </c>
      <c r="Q2040" t="s">
        <v>157</v>
      </c>
    </row>
    <row r="2041" spans="1:17" x14ac:dyDescent="0.2">
      <c r="A2041">
        <v>1371439</v>
      </c>
      <c r="B2041">
        <v>633</v>
      </c>
      <c r="C2041" s="1" t="s">
        <v>100</v>
      </c>
      <c r="D2041" s="11">
        <v>45217.004861111112</v>
      </c>
      <c r="E2041" t="s">
        <v>96</v>
      </c>
      <c r="F2041" t="s">
        <v>43</v>
      </c>
      <c r="G2041">
        <v>4266</v>
      </c>
      <c r="H2041" s="5" t="s">
        <v>100</v>
      </c>
      <c r="I2041" s="15">
        <v>45217</v>
      </c>
      <c r="J2041" s="15" t="s">
        <v>295</v>
      </c>
      <c r="K2041" s="6">
        <v>0.50486111111111109</v>
      </c>
      <c r="L2041" t="s">
        <v>145</v>
      </c>
      <c r="M2041">
        <v>1000000</v>
      </c>
      <c r="N2041" t="s">
        <v>203</v>
      </c>
      <c r="O2041" t="s">
        <v>152</v>
      </c>
      <c r="P2041">
        <v>88</v>
      </c>
      <c r="Q2041" t="s">
        <v>155</v>
      </c>
    </row>
    <row r="2042" spans="1:17" x14ac:dyDescent="0.2">
      <c r="A2042">
        <v>1371917</v>
      </c>
      <c r="B2042">
        <v>1407</v>
      </c>
      <c r="C2042" s="1" t="s">
        <v>99</v>
      </c>
      <c r="D2042" s="11">
        <v>45132.03402777778</v>
      </c>
      <c r="E2042" t="s">
        <v>97</v>
      </c>
      <c r="F2042" t="s">
        <v>81</v>
      </c>
      <c r="G2042">
        <v>7060</v>
      </c>
      <c r="H2042" s="5" t="s">
        <v>99</v>
      </c>
      <c r="I2042" s="15">
        <v>45132</v>
      </c>
      <c r="J2042" s="15" t="s">
        <v>234</v>
      </c>
      <c r="K2042" s="6">
        <v>0.53402777777777777</v>
      </c>
      <c r="L2042" t="s">
        <v>143</v>
      </c>
      <c r="M2042">
        <v>250000</v>
      </c>
      <c r="N2042" t="s">
        <v>221</v>
      </c>
      <c r="O2042" t="s">
        <v>152</v>
      </c>
      <c r="P2042">
        <v>37</v>
      </c>
      <c r="Q2042" t="s">
        <v>156</v>
      </c>
    </row>
    <row r="2043" spans="1:17" x14ac:dyDescent="0.2">
      <c r="A2043">
        <v>1373309</v>
      </c>
      <c r="B2043">
        <v>718</v>
      </c>
      <c r="C2043" s="1" t="s">
        <v>103</v>
      </c>
      <c r="D2043" s="11">
        <v>45101.036805555559</v>
      </c>
      <c r="E2043" t="s">
        <v>96</v>
      </c>
      <c r="F2043" t="s">
        <v>88</v>
      </c>
      <c r="G2043">
        <v>2634</v>
      </c>
      <c r="H2043" s="5" t="s">
        <v>103</v>
      </c>
      <c r="I2043" s="15">
        <v>45101</v>
      </c>
      <c r="J2043" s="15" t="s">
        <v>233</v>
      </c>
      <c r="K2043" s="6">
        <v>0.53680555555555554</v>
      </c>
      <c r="L2043" t="s">
        <v>144</v>
      </c>
      <c r="M2043">
        <v>100000</v>
      </c>
      <c r="N2043" t="s">
        <v>200</v>
      </c>
      <c r="O2043" t="s">
        <v>152</v>
      </c>
      <c r="P2043">
        <v>77</v>
      </c>
      <c r="Q2043" t="s">
        <v>155</v>
      </c>
    </row>
    <row r="2044" spans="1:17" x14ac:dyDescent="0.2">
      <c r="A2044">
        <v>1373323</v>
      </c>
      <c r="B2044">
        <v>1893</v>
      </c>
      <c r="C2044" s="1" t="s">
        <v>101</v>
      </c>
      <c r="D2044" s="11">
        <v>44971.047222222223</v>
      </c>
      <c r="E2044" t="s">
        <v>97</v>
      </c>
      <c r="F2044" t="s">
        <v>43</v>
      </c>
      <c r="G2044">
        <v>8546</v>
      </c>
      <c r="H2044" s="5" t="s">
        <v>101</v>
      </c>
      <c r="I2044" s="15">
        <v>44971</v>
      </c>
      <c r="J2044" s="15" t="s">
        <v>232</v>
      </c>
      <c r="K2044" s="6">
        <v>4.7222222222222221E-2</v>
      </c>
      <c r="L2044" t="s">
        <v>145</v>
      </c>
      <c r="M2044">
        <v>1000000</v>
      </c>
      <c r="N2044" t="s">
        <v>203</v>
      </c>
      <c r="O2044" t="s">
        <v>151</v>
      </c>
      <c r="P2044">
        <v>47</v>
      </c>
      <c r="Q2044" t="s">
        <v>157</v>
      </c>
    </row>
    <row r="2045" spans="1:17" x14ac:dyDescent="0.2">
      <c r="A2045">
        <v>1373414</v>
      </c>
      <c r="B2045">
        <v>613</v>
      </c>
      <c r="C2045" s="1" t="s">
        <v>113</v>
      </c>
      <c r="D2045" s="11">
        <v>44970.990277777775</v>
      </c>
      <c r="E2045" t="s">
        <v>191</v>
      </c>
      <c r="F2045" t="s">
        <v>27</v>
      </c>
      <c r="G2045">
        <v>5539</v>
      </c>
      <c r="H2045" s="5" t="s">
        <v>113</v>
      </c>
      <c r="I2045" s="15">
        <v>44970</v>
      </c>
      <c r="J2045" s="15" t="s">
        <v>232</v>
      </c>
      <c r="K2045" s="6">
        <v>0.49027777777777776</v>
      </c>
      <c r="L2045" t="s">
        <v>142</v>
      </c>
      <c r="M2045">
        <v>1000000</v>
      </c>
      <c r="N2045" t="s">
        <v>209</v>
      </c>
      <c r="O2045" t="s">
        <v>152</v>
      </c>
      <c r="P2045">
        <v>51</v>
      </c>
      <c r="Q2045" t="s">
        <v>155</v>
      </c>
    </row>
    <row r="2046" spans="1:17" x14ac:dyDescent="0.2">
      <c r="A2046">
        <v>1374086</v>
      </c>
      <c r="B2046">
        <v>206</v>
      </c>
      <c r="C2046" s="1" t="s">
        <v>99</v>
      </c>
      <c r="D2046" s="11">
        <v>45179.987500000003</v>
      </c>
      <c r="E2046" t="s">
        <v>96</v>
      </c>
      <c r="F2046" t="s">
        <v>39</v>
      </c>
      <c r="G2046">
        <v>622</v>
      </c>
      <c r="H2046" s="5" t="s">
        <v>99</v>
      </c>
      <c r="I2046" s="15">
        <v>45179</v>
      </c>
      <c r="J2046" s="15" t="s">
        <v>234</v>
      </c>
      <c r="K2046" s="6">
        <v>0.48749999999999999</v>
      </c>
      <c r="L2046" t="s">
        <v>146</v>
      </c>
      <c r="M2046">
        <v>100000</v>
      </c>
      <c r="N2046" t="s">
        <v>212</v>
      </c>
      <c r="O2046" t="s">
        <v>152</v>
      </c>
      <c r="P2046">
        <v>56</v>
      </c>
      <c r="Q2046" t="s">
        <v>154</v>
      </c>
    </row>
    <row r="2047" spans="1:17" x14ac:dyDescent="0.2">
      <c r="A2047">
        <v>1376137</v>
      </c>
      <c r="B2047">
        <v>1472</v>
      </c>
      <c r="C2047" s="1" t="s">
        <v>99</v>
      </c>
      <c r="D2047" s="11">
        <v>45235.019444444442</v>
      </c>
      <c r="E2047" t="s">
        <v>191</v>
      </c>
      <c r="F2047" t="s">
        <v>24</v>
      </c>
      <c r="G2047">
        <v>7325</v>
      </c>
      <c r="H2047" s="5" t="s">
        <v>99</v>
      </c>
      <c r="I2047" s="15">
        <v>45235</v>
      </c>
      <c r="J2047" s="15" t="s">
        <v>295</v>
      </c>
      <c r="K2047" s="6">
        <v>0.51944444444444449</v>
      </c>
      <c r="L2047" t="s">
        <v>143</v>
      </c>
      <c r="M2047">
        <v>200000</v>
      </c>
      <c r="N2047" t="s">
        <v>214</v>
      </c>
      <c r="O2047" t="s">
        <v>152</v>
      </c>
      <c r="P2047">
        <v>83</v>
      </c>
      <c r="Q2047" t="s">
        <v>156</v>
      </c>
    </row>
    <row r="2048" spans="1:17" x14ac:dyDescent="0.2">
      <c r="A2048">
        <v>1376176</v>
      </c>
      <c r="B2048">
        <v>1887</v>
      </c>
      <c r="C2048" s="1" t="s">
        <v>105</v>
      </c>
      <c r="D2048" s="11">
        <v>44974.990277777775</v>
      </c>
      <c r="E2048" t="s">
        <v>98</v>
      </c>
      <c r="F2048" t="s">
        <v>27</v>
      </c>
      <c r="G2048">
        <v>9141</v>
      </c>
      <c r="H2048" s="5" t="s">
        <v>105</v>
      </c>
      <c r="I2048" s="15">
        <v>44974</v>
      </c>
      <c r="J2048" s="15" t="s">
        <v>232</v>
      </c>
      <c r="K2048" s="6">
        <v>0.49027777777777776</v>
      </c>
      <c r="L2048" t="s">
        <v>142</v>
      </c>
      <c r="M2048">
        <v>1000000</v>
      </c>
      <c r="N2048" t="s">
        <v>209</v>
      </c>
      <c r="O2048" t="s">
        <v>151</v>
      </c>
      <c r="P2048">
        <v>89</v>
      </c>
      <c r="Q2048" t="s">
        <v>157</v>
      </c>
    </row>
    <row r="2049" spans="1:17" x14ac:dyDescent="0.2">
      <c r="A2049">
        <v>1376269</v>
      </c>
      <c r="B2049">
        <v>1006</v>
      </c>
      <c r="C2049" s="1" t="s">
        <v>101</v>
      </c>
      <c r="D2049" s="11">
        <v>45180.021527777775</v>
      </c>
      <c r="E2049" t="s">
        <v>98</v>
      </c>
      <c r="F2049" t="s">
        <v>31</v>
      </c>
      <c r="G2049">
        <v>1068</v>
      </c>
      <c r="H2049" s="5" t="s">
        <v>101</v>
      </c>
      <c r="I2049" s="15">
        <v>45180</v>
      </c>
      <c r="J2049" s="15" t="s">
        <v>234</v>
      </c>
      <c r="K2049" s="6">
        <v>0.52152777777777781</v>
      </c>
      <c r="L2049" t="s">
        <v>143</v>
      </c>
      <c r="M2049">
        <v>80000</v>
      </c>
      <c r="N2049" t="s">
        <v>204</v>
      </c>
      <c r="O2049" t="s">
        <v>152</v>
      </c>
      <c r="P2049">
        <v>18</v>
      </c>
      <c r="Q2049" t="s">
        <v>156</v>
      </c>
    </row>
    <row r="2050" spans="1:17" x14ac:dyDescent="0.2">
      <c r="A2050">
        <v>1376427</v>
      </c>
      <c r="B2050">
        <v>1430</v>
      </c>
      <c r="C2050" s="1" t="s">
        <v>99</v>
      </c>
      <c r="D2050" s="11">
        <v>45176.963194444441</v>
      </c>
      <c r="E2050" t="s">
        <v>96</v>
      </c>
      <c r="F2050" t="s">
        <v>78</v>
      </c>
      <c r="G2050">
        <v>9138</v>
      </c>
      <c r="H2050" s="5" t="s">
        <v>99</v>
      </c>
      <c r="I2050" s="15">
        <v>45176</v>
      </c>
      <c r="J2050" s="15" t="s">
        <v>234</v>
      </c>
      <c r="K2050" s="6">
        <v>0.46319444444444446</v>
      </c>
      <c r="L2050" t="s">
        <v>143</v>
      </c>
      <c r="M2050">
        <v>200000</v>
      </c>
      <c r="N2050" t="s">
        <v>215</v>
      </c>
      <c r="O2050" t="s">
        <v>152</v>
      </c>
      <c r="P2050">
        <v>82</v>
      </c>
      <c r="Q2050" t="s">
        <v>156</v>
      </c>
    </row>
    <row r="2051" spans="1:17" x14ac:dyDescent="0.2">
      <c r="A2051">
        <v>1376435</v>
      </c>
      <c r="B2051">
        <v>145</v>
      </c>
      <c r="C2051" s="1" t="s">
        <v>107</v>
      </c>
      <c r="D2051" s="11">
        <v>44991.986111111109</v>
      </c>
      <c r="E2051" t="s">
        <v>97</v>
      </c>
      <c r="F2051" t="s">
        <v>77</v>
      </c>
      <c r="G2051">
        <v>8109</v>
      </c>
      <c r="H2051" s="5" t="s">
        <v>107</v>
      </c>
      <c r="I2051" s="15">
        <v>44991</v>
      </c>
      <c r="J2051" s="15" t="s">
        <v>232</v>
      </c>
      <c r="K2051" s="6">
        <v>0.4861111111111111</v>
      </c>
      <c r="L2051" t="s">
        <v>146</v>
      </c>
      <c r="M2051">
        <v>100000</v>
      </c>
      <c r="N2051" t="s">
        <v>222</v>
      </c>
      <c r="O2051" t="s">
        <v>151</v>
      </c>
      <c r="P2051">
        <v>18</v>
      </c>
      <c r="Q2051" t="s">
        <v>154</v>
      </c>
    </row>
    <row r="2052" spans="1:17" x14ac:dyDescent="0.2">
      <c r="A2052">
        <v>1379500</v>
      </c>
      <c r="B2052">
        <v>1128</v>
      </c>
      <c r="C2052" s="1" t="s">
        <v>100</v>
      </c>
      <c r="D2052" s="11">
        <v>45132.098611111112</v>
      </c>
      <c r="E2052" t="s">
        <v>191</v>
      </c>
      <c r="F2052" t="s">
        <v>32</v>
      </c>
      <c r="G2052">
        <v>4248</v>
      </c>
      <c r="H2052" s="5" t="s">
        <v>100</v>
      </c>
      <c r="I2052" s="15">
        <v>45132</v>
      </c>
      <c r="J2052" s="15" t="s">
        <v>234</v>
      </c>
      <c r="K2052" s="6">
        <v>9.8611111111111108E-2</v>
      </c>
      <c r="L2052" t="s">
        <v>145</v>
      </c>
      <c r="M2052">
        <v>80000</v>
      </c>
      <c r="N2052" t="s">
        <v>217</v>
      </c>
      <c r="O2052" t="s">
        <v>152</v>
      </c>
      <c r="P2052">
        <v>18</v>
      </c>
      <c r="Q2052" t="s">
        <v>156</v>
      </c>
    </row>
    <row r="2053" spans="1:17" x14ac:dyDescent="0.2">
      <c r="A2053">
        <v>1380014</v>
      </c>
      <c r="B2053">
        <v>914</v>
      </c>
      <c r="C2053" s="1" t="s">
        <v>99</v>
      </c>
      <c r="D2053" s="11">
        <v>45274.039583333331</v>
      </c>
      <c r="E2053" t="s">
        <v>96</v>
      </c>
      <c r="F2053" t="s">
        <v>30</v>
      </c>
      <c r="G2053">
        <v>5389</v>
      </c>
      <c r="H2053" s="5" t="s">
        <v>99</v>
      </c>
      <c r="I2053" s="15">
        <v>45274</v>
      </c>
      <c r="J2053" s="15" t="s">
        <v>295</v>
      </c>
      <c r="K2053" s="6">
        <v>0.5395833333333333</v>
      </c>
      <c r="L2053" t="s">
        <v>144</v>
      </c>
      <c r="M2053">
        <v>200000</v>
      </c>
      <c r="N2053" t="s">
        <v>216</v>
      </c>
      <c r="O2053" t="s">
        <v>152</v>
      </c>
      <c r="P2053">
        <v>80</v>
      </c>
      <c r="Q2053" t="s">
        <v>155</v>
      </c>
    </row>
    <row r="2054" spans="1:17" x14ac:dyDescent="0.2">
      <c r="A2054">
        <v>1383231</v>
      </c>
      <c r="B2054">
        <v>900</v>
      </c>
      <c r="C2054" s="1" t="s">
        <v>99</v>
      </c>
      <c r="D2054" s="11">
        <v>45134.992361111108</v>
      </c>
      <c r="E2054" t="s">
        <v>191</v>
      </c>
      <c r="F2054" t="s">
        <v>74</v>
      </c>
      <c r="G2054">
        <v>2730</v>
      </c>
      <c r="H2054" s="5" t="s">
        <v>99</v>
      </c>
      <c r="I2054" s="15">
        <v>45134</v>
      </c>
      <c r="J2054" s="15" t="s">
        <v>234</v>
      </c>
      <c r="K2054" s="6">
        <v>0.49236111111111114</v>
      </c>
      <c r="L2054" t="s">
        <v>145</v>
      </c>
      <c r="M2054">
        <v>150000</v>
      </c>
      <c r="N2054" t="s">
        <v>226</v>
      </c>
      <c r="O2054" t="s">
        <v>151</v>
      </c>
      <c r="P2054">
        <v>54</v>
      </c>
      <c r="Q2054" t="s">
        <v>155</v>
      </c>
    </row>
    <row r="2055" spans="1:17" x14ac:dyDescent="0.2">
      <c r="A2055">
        <v>1383522</v>
      </c>
      <c r="B2055">
        <v>1792</v>
      </c>
      <c r="C2055" s="1" t="s">
        <v>108</v>
      </c>
      <c r="D2055" s="11">
        <v>45020.038194444445</v>
      </c>
      <c r="E2055" t="s">
        <v>191</v>
      </c>
      <c r="F2055" t="s">
        <v>85</v>
      </c>
      <c r="G2055">
        <v>9147</v>
      </c>
      <c r="H2055" s="5" t="s">
        <v>108</v>
      </c>
      <c r="I2055" s="15">
        <v>45020</v>
      </c>
      <c r="J2055" s="15" t="s">
        <v>233</v>
      </c>
      <c r="K2055" s="6">
        <v>0.53819444444444442</v>
      </c>
      <c r="L2055" t="s">
        <v>146</v>
      </c>
      <c r="M2055">
        <v>100000</v>
      </c>
      <c r="N2055" t="s">
        <v>212</v>
      </c>
      <c r="O2055" t="s">
        <v>151</v>
      </c>
      <c r="P2055">
        <v>59</v>
      </c>
      <c r="Q2055" t="s">
        <v>157</v>
      </c>
    </row>
    <row r="2056" spans="1:17" x14ac:dyDescent="0.2">
      <c r="A2056">
        <v>1383688</v>
      </c>
      <c r="B2056">
        <v>271</v>
      </c>
      <c r="C2056" s="1" t="s">
        <v>99</v>
      </c>
      <c r="D2056" s="11">
        <v>44971.076388888891</v>
      </c>
      <c r="E2056" t="s">
        <v>96</v>
      </c>
      <c r="F2056" t="s">
        <v>51</v>
      </c>
      <c r="G2056">
        <v>240</v>
      </c>
      <c r="H2056" s="5" t="s">
        <v>99</v>
      </c>
      <c r="I2056" s="15">
        <v>44971</v>
      </c>
      <c r="J2056" s="15" t="s">
        <v>232</v>
      </c>
      <c r="K2056" s="6">
        <v>7.6388888888888895E-2</v>
      </c>
      <c r="L2056" t="s">
        <v>145</v>
      </c>
      <c r="M2056">
        <v>100000</v>
      </c>
      <c r="N2056" t="s">
        <v>217</v>
      </c>
      <c r="O2056" t="s">
        <v>151</v>
      </c>
      <c r="P2056">
        <v>68</v>
      </c>
      <c r="Q2056" t="s">
        <v>154</v>
      </c>
    </row>
    <row r="2057" spans="1:17" x14ac:dyDescent="0.2">
      <c r="A2057">
        <v>1384019</v>
      </c>
      <c r="B2057">
        <v>1408</v>
      </c>
      <c r="C2057" s="1" t="s">
        <v>99</v>
      </c>
      <c r="D2057" s="11">
        <v>45251.074999999997</v>
      </c>
      <c r="E2057" t="s">
        <v>191</v>
      </c>
      <c r="F2057" t="s">
        <v>68</v>
      </c>
      <c r="G2057">
        <v>4853</v>
      </c>
      <c r="H2057" s="5" t="s">
        <v>99</v>
      </c>
      <c r="I2057" s="15">
        <v>45251</v>
      </c>
      <c r="J2057" s="15" t="s">
        <v>295</v>
      </c>
      <c r="K2057" s="6">
        <v>7.4999999999999997E-2</v>
      </c>
      <c r="L2057" t="s">
        <v>144</v>
      </c>
      <c r="M2057">
        <v>100000</v>
      </c>
      <c r="N2057" t="s">
        <v>200</v>
      </c>
      <c r="O2057" t="s">
        <v>152</v>
      </c>
      <c r="P2057">
        <v>68</v>
      </c>
      <c r="Q2057" t="s">
        <v>156</v>
      </c>
    </row>
    <row r="2058" spans="1:17" x14ac:dyDescent="0.2">
      <c r="A2058">
        <v>1385078</v>
      </c>
      <c r="B2058">
        <v>146</v>
      </c>
      <c r="C2058" s="1" t="s">
        <v>103</v>
      </c>
      <c r="D2058" s="11">
        <v>45126.064583333333</v>
      </c>
      <c r="E2058" t="s">
        <v>97</v>
      </c>
      <c r="F2058" t="s">
        <v>79</v>
      </c>
      <c r="G2058">
        <v>1972</v>
      </c>
      <c r="H2058" s="5" t="s">
        <v>103</v>
      </c>
      <c r="I2058" s="15">
        <v>45126</v>
      </c>
      <c r="J2058" s="15" t="s">
        <v>234</v>
      </c>
      <c r="K2058" s="6">
        <v>6.458333333333334E-2</v>
      </c>
      <c r="L2058" t="s">
        <v>143</v>
      </c>
      <c r="M2058">
        <v>50000</v>
      </c>
      <c r="N2058" t="s">
        <v>204</v>
      </c>
      <c r="O2058" t="s">
        <v>151</v>
      </c>
      <c r="P2058">
        <v>85</v>
      </c>
      <c r="Q2058" t="s">
        <v>154</v>
      </c>
    </row>
    <row r="2059" spans="1:17" x14ac:dyDescent="0.2">
      <c r="A2059">
        <v>1385605</v>
      </c>
      <c r="B2059">
        <v>1850</v>
      </c>
      <c r="C2059" s="1" t="s">
        <v>109</v>
      </c>
      <c r="D2059" s="11">
        <v>45062.003472222219</v>
      </c>
      <c r="E2059" t="s">
        <v>98</v>
      </c>
      <c r="F2059" t="s">
        <v>76</v>
      </c>
      <c r="G2059">
        <v>6075</v>
      </c>
      <c r="H2059" s="5" t="s">
        <v>109</v>
      </c>
      <c r="I2059" s="15">
        <v>45062</v>
      </c>
      <c r="J2059" s="15" t="s">
        <v>233</v>
      </c>
      <c r="K2059" s="6">
        <v>0.50347222222222221</v>
      </c>
      <c r="L2059" t="s">
        <v>142</v>
      </c>
      <c r="M2059">
        <v>80000</v>
      </c>
      <c r="N2059" t="s">
        <v>201</v>
      </c>
      <c r="O2059" t="s">
        <v>151</v>
      </c>
      <c r="P2059">
        <v>60</v>
      </c>
      <c r="Q2059" t="s">
        <v>157</v>
      </c>
    </row>
    <row r="2060" spans="1:17" x14ac:dyDescent="0.2">
      <c r="A2060">
        <v>1385745</v>
      </c>
      <c r="B2060">
        <v>1686</v>
      </c>
      <c r="C2060" s="1" t="s">
        <v>100</v>
      </c>
      <c r="D2060" s="11">
        <v>44958.061111111114</v>
      </c>
      <c r="E2060" t="s">
        <v>96</v>
      </c>
      <c r="F2060" t="s">
        <v>27</v>
      </c>
      <c r="G2060">
        <v>5128</v>
      </c>
      <c r="H2060" s="5" t="s">
        <v>100</v>
      </c>
      <c r="I2060" s="15">
        <v>44958</v>
      </c>
      <c r="J2060" s="15" t="s">
        <v>232</v>
      </c>
      <c r="K2060" s="6">
        <v>6.1111111111111109E-2</v>
      </c>
      <c r="L2060" t="s">
        <v>142</v>
      </c>
      <c r="M2060">
        <v>1000000</v>
      </c>
      <c r="N2060" t="s">
        <v>209</v>
      </c>
      <c r="O2060" t="s">
        <v>151</v>
      </c>
      <c r="P2060">
        <v>53</v>
      </c>
      <c r="Q2060" t="s">
        <v>157</v>
      </c>
    </row>
    <row r="2061" spans="1:17" x14ac:dyDescent="0.2">
      <c r="A2061">
        <v>1386514</v>
      </c>
      <c r="B2061">
        <v>1892</v>
      </c>
      <c r="C2061" s="1" t="s">
        <v>99</v>
      </c>
      <c r="D2061" s="11">
        <v>45070.020138888889</v>
      </c>
      <c r="E2061" t="s">
        <v>98</v>
      </c>
      <c r="F2061" t="s">
        <v>43</v>
      </c>
      <c r="G2061">
        <v>2382</v>
      </c>
      <c r="H2061" s="5" t="s">
        <v>99</v>
      </c>
      <c r="I2061" s="15">
        <v>45070</v>
      </c>
      <c r="J2061" s="15" t="s">
        <v>233</v>
      </c>
      <c r="K2061" s="6">
        <v>0.52013888888888893</v>
      </c>
      <c r="L2061" t="s">
        <v>145</v>
      </c>
      <c r="M2061">
        <v>1000000</v>
      </c>
      <c r="N2061" t="s">
        <v>203</v>
      </c>
      <c r="O2061" t="s">
        <v>151</v>
      </c>
      <c r="P2061">
        <v>64</v>
      </c>
      <c r="Q2061" t="s">
        <v>157</v>
      </c>
    </row>
    <row r="2062" spans="1:17" x14ac:dyDescent="0.2">
      <c r="A2062">
        <v>1386601</v>
      </c>
      <c r="B2062">
        <v>1276</v>
      </c>
      <c r="C2062" s="1" t="s">
        <v>100</v>
      </c>
      <c r="D2062" s="11">
        <v>45026.027777777781</v>
      </c>
      <c r="E2062" t="s">
        <v>97</v>
      </c>
      <c r="F2062" t="s">
        <v>43</v>
      </c>
      <c r="G2062">
        <v>4677</v>
      </c>
      <c r="H2062" s="5" t="s">
        <v>100</v>
      </c>
      <c r="I2062" s="15">
        <v>45026</v>
      </c>
      <c r="J2062" s="15" t="s">
        <v>233</v>
      </c>
      <c r="K2062" s="6">
        <v>0.52777777777777779</v>
      </c>
      <c r="L2062" t="s">
        <v>145</v>
      </c>
      <c r="M2062">
        <v>1000000</v>
      </c>
      <c r="N2062" t="s">
        <v>203</v>
      </c>
      <c r="O2062" t="s">
        <v>151</v>
      </c>
      <c r="P2062">
        <v>88</v>
      </c>
      <c r="Q2062" t="s">
        <v>156</v>
      </c>
    </row>
    <row r="2063" spans="1:17" x14ac:dyDescent="0.2">
      <c r="A2063">
        <v>1387867</v>
      </c>
      <c r="B2063">
        <v>322</v>
      </c>
      <c r="C2063" s="1" t="s">
        <v>113</v>
      </c>
      <c r="D2063" s="11">
        <v>45068.05</v>
      </c>
      <c r="E2063" t="s">
        <v>98</v>
      </c>
      <c r="F2063" t="s">
        <v>4</v>
      </c>
      <c r="G2063">
        <v>7080</v>
      </c>
      <c r="H2063" s="5" t="s">
        <v>113</v>
      </c>
      <c r="I2063" s="15">
        <v>45068</v>
      </c>
      <c r="J2063" s="15" t="s">
        <v>233</v>
      </c>
      <c r="K2063" s="6">
        <v>0.05</v>
      </c>
      <c r="L2063" t="s">
        <v>142</v>
      </c>
      <c r="M2063">
        <v>200000</v>
      </c>
      <c r="N2063" t="s">
        <v>197</v>
      </c>
      <c r="O2063" t="s">
        <v>151</v>
      </c>
      <c r="P2063">
        <v>22</v>
      </c>
      <c r="Q2063" t="s">
        <v>154</v>
      </c>
    </row>
    <row r="2064" spans="1:17" x14ac:dyDescent="0.2">
      <c r="A2064">
        <v>1389485</v>
      </c>
      <c r="B2064">
        <v>607</v>
      </c>
      <c r="C2064" s="1" t="s">
        <v>106</v>
      </c>
      <c r="D2064" s="11">
        <v>45236.022916666669</v>
      </c>
      <c r="E2064" t="s">
        <v>98</v>
      </c>
      <c r="F2064" t="s">
        <v>19</v>
      </c>
      <c r="G2064">
        <v>8449</v>
      </c>
      <c r="H2064" s="5" t="s">
        <v>106</v>
      </c>
      <c r="I2064" s="15">
        <v>45236</v>
      </c>
      <c r="J2064" s="15" t="s">
        <v>295</v>
      </c>
      <c r="K2064" s="6">
        <v>0.5229166666666667</v>
      </c>
      <c r="L2064" t="s">
        <v>142</v>
      </c>
      <c r="M2064">
        <v>150000</v>
      </c>
      <c r="N2064" t="s">
        <v>211</v>
      </c>
      <c r="O2064" t="s">
        <v>152</v>
      </c>
      <c r="P2064">
        <v>41</v>
      </c>
      <c r="Q2064" t="s">
        <v>155</v>
      </c>
    </row>
    <row r="2065" spans="1:17" x14ac:dyDescent="0.2">
      <c r="A2065">
        <v>1389680</v>
      </c>
      <c r="B2065">
        <v>888</v>
      </c>
      <c r="C2065" s="1" t="s">
        <v>108</v>
      </c>
      <c r="D2065" s="11">
        <v>44936.015277777777</v>
      </c>
      <c r="E2065" t="s">
        <v>191</v>
      </c>
      <c r="F2065" t="s">
        <v>82</v>
      </c>
      <c r="G2065">
        <v>9670</v>
      </c>
      <c r="H2065" s="5" t="s">
        <v>108</v>
      </c>
      <c r="I2065" s="15">
        <v>44936</v>
      </c>
      <c r="J2065" s="15" t="s">
        <v>232</v>
      </c>
      <c r="K2065" s="6">
        <v>0.51527777777777772</v>
      </c>
      <c r="L2065" t="s">
        <v>142</v>
      </c>
      <c r="M2065">
        <v>100000</v>
      </c>
      <c r="N2065" t="s">
        <v>209</v>
      </c>
      <c r="O2065" t="s">
        <v>151</v>
      </c>
      <c r="P2065">
        <v>71</v>
      </c>
      <c r="Q2065" t="s">
        <v>155</v>
      </c>
    </row>
    <row r="2066" spans="1:17" x14ac:dyDescent="0.2">
      <c r="A2066">
        <v>1391439</v>
      </c>
      <c r="B2066">
        <v>811</v>
      </c>
      <c r="C2066" s="1" t="s">
        <v>113</v>
      </c>
      <c r="D2066" s="11">
        <v>45246.940972222219</v>
      </c>
      <c r="E2066" t="s">
        <v>98</v>
      </c>
      <c r="F2066" t="s">
        <v>21</v>
      </c>
      <c r="G2066">
        <v>6152</v>
      </c>
      <c r="H2066" s="5" t="s">
        <v>113</v>
      </c>
      <c r="I2066" s="15">
        <v>45246</v>
      </c>
      <c r="J2066" s="15" t="s">
        <v>295</v>
      </c>
      <c r="K2066" s="6">
        <v>0.44097222222222221</v>
      </c>
      <c r="L2066" t="s">
        <v>142</v>
      </c>
      <c r="M2066">
        <v>150000</v>
      </c>
      <c r="N2066" t="s">
        <v>211</v>
      </c>
      <c r="O2066" t="s">
        <v>152</v>
      </c>
      <c r="P2066">
        <v>32</v>
      </c>
      <c r="Q2066" t="s">
        <v>155</v>
      </c>
    </row>
    <row r="2067" spans="1:17" x14ac:dyDescent="0.2">
      <c r="A2067">
        <v>1391623</v>
      </c>
      <c r="B2067">
        <v>606</v>
      </c>
      <c r="C2067" s="1" t="s">
        <v>99</v>
      </c>
      <c r="D2067" s="11">
        <v>45117.974999999999</v>
      </c>
      <c r="E2067" t="s">
        <v>98</v>
      </c>
      <c r="F2067" t="s">
        <v>66</v>
      </c>
      <c r="G2067">
        <v>6445</v>
      </c>
      <c r="H2067" s="5" t="s">
        <v>99</v>
      </c>
      <c r="I2067" s="15">
        <v>45117</v>
      </c>
      <c r="J2067" s="15" t="s">
        <v>234</v>
      </c>
      <c r="K2067" s="6">
        <v>0.47499999999999998</v>
      </c>
      <c r="L2067" t="s">
        <v>144</v>
      </c>
      <c r="M2067">
        <v>150000</v>
      </c>
      <c r="N2067" t="s">
        <v>224</v>
      </c>
      <c r="O2067" t="s">
        <v>151</v>
      </c>
      <c r="P2067">
        <v>18</v>
      </c>
      <c r="Q2067" t="s">
        <v>155</v>
      </c>
    </row>
    <row r="2068" spans="1:17" x14ac:dyDescent="0.2">
      <c r="A2068">
        <v>1392838</v>
      </c>
      <c r="B2068">
        <v>1138</v>
      </c>
      <c r="C2068" s="1" t="s">
        <v>101</v>
      </c>
      <c r="D2068" s="11">
        <v>45137.979861111111</v>
      </c>
      <c r="E2068" t="s">
        <v>96</v>
      </c>
      <c r="F2068" t="s">
        <v>78</v>
      </c>
      <c r="G2068">
        <v>1617</v>
      </c>
      <c r="H2068" s="5" t="s">
        <v>101</v>
      </c>
      <c r="I2068" s="15">
        <v>45137</v>
      </c>
      <c r="J2068" s="15" t="s">
        <v>234</v>
      </c>
      <c r="K2068" s="6">
        <v>0.47986111111111113</v>
      </c>
      <c r="L2068" t="s">
        <v>143</v>
      </c>
      <c r="M2068">
        <v>200000</v>
      </c>
      <c r="N2068" t="s">
        <v>215</v>
      </c>
      <c r="O2068" t="s">
        <v>152</v>
      </c>
      <c r="P2068">
        <v>83</v>
      </c>
      <c r="Q2068" t="s">
        <v>156</v>
      </c>
    </row>
    <row r="2069" spans="1:17" x14ac:dyDescent="0.2">
      <c r="A2069">
        <v>1393397</v>
      </c>
      <c r="B2069">
        <v>73</v>
      </c>
      <c r="C2069" s="1" t="s">
        <v>109</v>
      </c>
      <c r="D2069" s="11">
        <v>45021.022222222222</v>
      </c>
      <c r="E2069" t="s">
        <v>96</v>
      </c>
      <c r="F2069" t="s">
        <v>5</v>
      </c>
      <c r="G2069">
        <v>7174</v>
      </c>
      <c r="H2069" s="5" t="s">
        <v>109</v>
      </c>
      <c r="I2069" s="15">
        <v>45021</v>
      </c>
      <c r="J2069" s="15" t="s">
        <v>233</v>
      </c>
      <c r="K2069" s="6">
        <v>0.52222222222222225</v>
      </c>
      <c r="L2069" t="s">
        <v>143</v>
      </c>
      <c r="M2069">
        <v>200000</v>
      </c>
      <c r="N2069" t="s">
        <v>198</v>
      </c>
      <c r="O2069" t="s">
        <v>152</v>
      </c>
      <c r="P2069">
        <v>34</v>
      </c>
      <c r="Q2069" t="s">
        <v>154</v>
      </c>
    </row>
    <row r="2070" spans="1:17" x14ac:dyDescent="0.2">
      <c r="A2070">
        <v>1393864</v>
      </c>
      <c r="B2070">
        <v>1794</v>
      </c>
      <c r="C2070" s="1" t="s">
        <v>101</v>
      </c>
      <c r="D2070" s="11">
        <v>45114.072916666664</v>
      </c>
      <c r="E2070" t="s">
        <v>97</v>
      </c>
      <c r="F2070" t="s">
        <v>43</v>
      </c>
      <c r="G2070">
        <v>3135</v>
      </c>
      <c r="H2070" s="5" t="s">
        <v>101</v>
      </c>
      <c r="I2070" s="15">
        <v>45114</v>
      </c>
      <c r="J2070" s="15" t="s">
        <v>234</v>
      </c>
      <c r="K2070" s="6">
        <v>7.2916666666666671E-2</v>
      </c>
      <c r="L2070" t="s">
        <v>145</v>
      </c>
      <c r="M2070">
        <v>1000000</v>
      </c>
      <c r="N2070" t="s">
        <v>203</v>
      </c>
      <c r="O2070" t="s">
        <v>151</v>
      </c>
      <c r="P2070">
        <v>41</v>
      </c>
      <c r="Q2070" t="s">
        <v>157</v>
      </c>
    </row>
    <row r="2071" spans="1:17" x14ac:dyDescent="0.2">
      <c r="A2071">
        <v>1395655</v>
      </c>
      <c r="B2071">
        <v>345</v>
      </c>
      <c r="C2071" s="1" t="s">
        <v>113</v>
      </c>
      <c r="D2071" s="11">
        <v>45150.02847222222</v>
      </c>
      <c r="E2071" t="s">
        <v>98</v>
      </c>
      <c r="F2071" t="s">
        <v>27</v>
      </c>
      <c r="G2071">
        <v>8180</v>
      </c>
      <c r="H2071" s="5" t="s">
        <v>113</v>
      </c>
      <c r="I2071" s="15">
        <v>45150</v>
      </c>
      <c r="J2071" s="15" t="s">
        <v>234</v>
      </c>
      <c r="K2071" s="6">
        <v>0.52847222222222223</v>
      </c>
      <c r="L2071" t="s">
        <v>142</v>
      </c>
      <c r="M2071">
        <v>1000000</v>
      </c>
      <c r="N2071" t="s">
        <v>209</v>
      </c>
      <c r="O2071" t="s">
        <v>152</v>
      </c>
      <c r="P2071">
        <v>31</v>
      </c>
      <c r="Q2071" t="s">
        <v>154</v>
      </c>
    </row>
    <row r="2072" spans="1:17" x14ac:dyDescent="0.2">
      <c r="A2072">
        <v>1395839</v>
      </c>
      <c r="B2072">
        <v>163</v>
      </c>
      <c r="C2072" s="1" t="s">
        <v>99</v>
      </c>
      <c r="D2072" s="11">
        <v>45070.011111111111</v>
      </c>
      <c r="E2072" t="s">
        <v>98</v>
      </c>
      <c r="F2072" t="s">
        <v>27</v>
      </c>
      <c r="G2072">
        <v>2045</v>
      </c>
      <c r="H2072" s="5" t="s">
        <v>99</v>
      </c>
      <c r="I2072" s="15">
        <v>45070</v>
      </c>
      <c r="J2072" s="15" t="s">
        <v>233</v>
      </c>
      <c r="K2072" s="6">
        <v>0.51111111111111107</v>
      </c>
      <c r="L2072" t="s">
        <v>142</v>
      </c>
      <c r="M2072">
        <v>1000000</v>
      </c>
      <c r="N2072" t="s">
        <v>209</v>
      </c>
      <c r="O2072" t="s">
        <v>152</v>
      </c>
      <c r="P2072">
        <v>81</v>
      </c>
      <c r="Q2072" t="s">
        <v>154</v>
      </c>
    </row>
    <row r="2073" spans="1:17" x14ac:dyDescent="0.2">
      <c r="A2073">
        <v>1396020</v>
      </c>
      <c r="B2073">
        <v>1139</v>
      </c>
      <c r="C2073" s="1" t="s">
        <v>99</v>
      </c>
      <c r="D2073" s="11">
        <v>45282.981249999997</v>
      </c>
      <c r="E2073" t="s">
        <v>96</v>
      </c>
      <c r="F2073" t="s">
        <v>27</v>
      </c>
      <c r="G2073">
        <v>5055</v>
      </c>
      <c r="H2073" s="5" t="s">
        <v>99</v>
      </c>
      <c r="I2073" s="15">
        <v>45282</v>
      </c>
      <c r="J2073" s="15" t="s">
        <v>295</v>
      </c>
      <c r="K2073" s="6">
        <v>0.48125000000000001</v>
      </c>
      <c r="L2073" t="s">
        <v>142</v>
      </c>
      <c r="M2073">
        <v>1000000</v>
      </c>
      <c r="N2073" t="s">
        <v>209</v>
      </c>
      <c r="O2073" t="s">
        <v>152</v>
      </c>
      <c r="P2073">
        <v>84</v>
      </c>
      <c r="Q2073" t="s">
        <v>156</v>
      </c>
    </row>
    <row r="2074" spans="1:17" x14ac:dyDescent="0.2">
      <c r="A2074">
        <v>1396650</v>
      </c>
      <c r="B2074">
        <v>1751</v>
      </c>
      <c r="C2074" s="1" t="s">
        <v>99</v>
      </c>
      <c r="D2074" s="11">
        <v>45272.022916666669</v>
      </c>
      <c r="E2074" t="s">
        <v>97</v>
      </c>
      <c r="F2074" t="s">
        <v>21</v>
      </c>
      <c r="G2074">
        <v>9911</v>
      </c>
      <c r="H2074" s="5" t="s">
        <v>99</v>
      </c>
      <c r="I2074" s="15">
        <v>45272</v>
      </c>
      <c r="J2074" s="15" t="s">
        <v>295</v>
      </c>
      <c r="K2074" s="6">
        <v>0.5229166666666667</v>
      </c>
      <c r="L2074" t="s">
        <v>142</v>
      </c>
      <c r="M2074">
        <v>150000</v>
      </c>
      <c r="N2074" t="s">
        <v>211</v>
      </c>
      <c r="O2074" t="s">
        <v>151</v>
      </c>
      <c r="P2074">
        <v>78</v>
      </c>
      <c r="Q2074" t="s">
        <v>157</v>
      </c>
    </row>
    <row r="2075" spans="1:17" x14ac:dyDescent="0.2">
      <c r="A2075">
        <v>1398659</v>
      </c>
      <c r="B2075">
        <v>1366</v>
      </c>
      <c r="C2075" s="1" t="s">
        <v>99</v>
      </c>
      <c r="D2075" s="11">
        <v>45259.000694444447</v>
      </c>
      <c r="E2075" t="s">
        <v>97</v>
      </c>
      <c r="F2075" t="s">
        <v>12</v>
      </c>
      <c r="G2075">
        <v>1845</v>
      </c>
      <c r="H2075" s="5" t="s">
        <v>99</v>
      </c>
      <c r="I2075" s="15">
        <v>45259</v>
      </c>
      <c r="J2075" s="15" t="s">
        <v>295</v>
      </c>
      <c r="K2075" s="6">
        <v>0.50069444444444444</v>
      </c>
      <c r="L2075" t="s">
        <v>143</v>
      </c>
      <c r="M2075">
        <v>150000</v>
      </c>
      <c r="N2075" t="s">
        <v>205</v>
      </c>
      <c r="O2075" t="s">
        <v>151</v>
      </c>
      <c r="P2075">
        <v>44</v>
      </c>
      <c r="Q2075" t="s">
        <v>156</v>
      </c>
    </row>
    <row r="2076" spans="1:17" x14ac:dyDescent="0.2">
      <c r="A2076">
        <v>1399773</v>
      </c>
      <c r="B2076">
        <v>1990</v>
      </c>
      <c r="C2076" s="1" t="s">
        <v>99</v>
      </c>
      <c r="D2076" s="11">
        <v>44929.00277777778</v>
      </c>
      <c r="E2076" t="s">
        <v>96</v>
      </c>
      <c r="F2076" t="s">
        <v>29</v>
      </c>
      <c r="G2076">
        <v>6970</v>
      </c>
      <c r="H2076" s="5" t="s">
        <v>99</v>
      </c>
      <c r="I2076" s="15">
        <v>44929</v>
      </c>
      <c r="J2076" s="15" t="s">
        <v>232</v>
      </c>
      <c r="K2076" s="6">
        <v>0.50277777777777777</v>
      </c>
      <c r="L2076" t="s">
        <v>143</v>
      </c>
      <c r="M2076">
        <v>150000</v>
      </c>
      <c r="N2076" t="s">
        <v>214</v>
      </c>
      <c r="O2076" t="s">
        <v>152</v>
      </c>
      <c r="P2076">
        <v>89</v>
      </c>
      <c r="Q2076" t="s">
        <v>157</v>
      </c>
    </row>
    <row r="2077" spans="1:17" x14ac:dyDescent="0.2">
      <c r="A2077">
        <v>1400564</v>
      </c>
      <c r="B2077">
        <v>768</v>
      </c>
      <c r="C2077" s="1" t="s">
        <v>99</v>
      </c>
      <c r="D2077" s="11">
        <v>45188.05972222222</v>
      </c>
      <c r="E2077" t="s">
        <v>97</v>
      </c>
      <c r="F2077" t="s">
        <v>24</v>
      </c>
      <c r="G2077">
        <v>5190</v>
      </c>
      <c r="H2077" s="5" t="s">
        <v>99</v>
      </c>
      <c r="I2077" s="15">
        <v>45188</v>
      </c>
      <c r="J2077" s="15" t="s">
        <v>234</v>
      </c>
      <c r="K2077" s="6">
        <v>5.9722222222222225E-2</v>
      </c>
      <c r="L2077" t="s">
        <v>143</v>
      </c>
      <c r="M2077">
        <v>200000</v>
      </c>
      <c r="N2077" t="s">
        <v>214</v>
      </c>
      <c r="O2077" t="s">
        <v>152</v>
      </c>
      <c r="P2077">
        <v>38</v>
      </c>
      <c r="Q2077" t="s">
        <v>155</v>
      </c>
    </row>
    <row r="2078" spans="1:17" x14ac:dyDescent="0.2">
      <c r="A2078">
        <v>1400596</v>
      </c>
      <c r="B2078">
        <v>367</v>
      </c>
      <c r="C2078" s="1" t="s">
        <v>113</v>
      </c>
      <c r="D2078" s="11">
        <v>45159.963888888888</v>
      </c>
      <c r="E2078" t="s">
        <v>191</v>
      </c>
      <c r="F2078" t="s">
        <v>86</v>
      </c>
      <c r="G2078">
        <v>680</v>
      </c>
      <c r="H2078" s="5" t="s">
        <v>113</v>
      </c>
      <c r="I2078" s="15">
        <v>45159</v>
      </c>
      <c r="J2078" s="15" t="s">
        <v>234</v>
      </c>
      <c r="K2078" s="6">
        <v>0.46388888888888891</v>
      </c>
      <c r="L2078" t="s">
        <v>144</v>
      </c>
      <c r="M2078">
        <v>100000</v>
      </c>
      <c r="N2078" t="s">
        <v>216</v>
      </c>
      <c r="O2078" t="s">
        <v>151</v>
      </c>
      <c r="P2078">
        <v>23</v>
      </c>
      <c r="Q2078" t="s">
        <v>154</v>
      </c>
    </row>
    <row r="2079" spans="1:17" x14ac:dyDescent="0.2">
      <c r="A2079">
        <v>1401727</v>
      </c>
      <c r="B2079">
        <v>637</v>
      </c>
      <c r="C2079" s="1" t="s">
        <v>99</v>
      </c>
      <c r="D2079" s="11">
        <v>45152.024305555555</v>
      </c>
      <c r="E2079" t="s">
        <v>96</v>
      </c>
      <c r="F2079" t="s">
        <v>31</v>
      </c>
      <c r="G2079">
        <v>4277</v>
      </c>
      <c r="H2079" s="5" t="s">
        <v>99</v>
      </c>
      <c r="I2079" s="15">
        <v>45152</v>
      </c>
      <c r="J2079" s="15" t="s">
        <v>234</v>
      </c>
      <c r="K2079" s="6">
        <v>0.52430555555555558</v>
      </c>
      <c r="L2079" t="s">
        <v>143</v>
      </c>
      <c r="M2079">
        <v>80000</v>
      </c>
      <c r="N2079" t="s">
        <v>204</v>
      </c>
      <c r="O2079" t="s">
        <v>151</v>
      </c>
      <c r="P2079">
        <v>38</v>
      </c>
      <c r="Q2079" t="s">
        <v>155</v>
      </c>
    </row>
    <row r="2080" spans="1:17" x14ac:dyDescent="0.2">
      <c r="A2080">
        <v>1404328</v>
      </c>
      <c r="B2080">
        <v>1469</v>
      </c>
      <c r="C2080" s="1" t="s">
        <v>107</v>
      </c>
      <c r="D2080" s="11">
        <v>44980.013888888891</v>
      </c>
      <c r="E2080" t="s">
        <v>97</v>
      </c>
      <c r="F2080" t="s">
        <v>90</v>
      </c>
      <c r="G2080">
        <v>4532</v>
      </c>
      <c r="H2080" s="5" t="s">
        <v>107</v>
      </c>
      <c r="I2080" s="15">
        <v>44980</v>
      </c>
      <c r="J2080" s="15" t="s">
        <v>232</v>
      </c>
      <c r="K2080" s="6">
        <v>0.51388888888888884</v>
      </c>
      <c r="L2080" t="s">
        <v>142</v>
      </c>
      <c r="M2080">
        <v>150000</v>
      </c>
      <c r="N2080" t="s">
        <v>208</v>
      </c>
      <c r="O2080" t="s">
        <v>152</v>
      </c>
      <c r="P2080">
        <v>38</v>
      </c>
      <c r="Q2080" t="s">
        <v>156</v>
      </c>
    </row>
    <row r="2081" spans="1:17" x14ac:dyDescent="0.2">
      <c r="A2081">
        <v>1404963</v>
      </c>
      <c r="B2081">
        <v>69</v>
      </c>
      <c r="C2081" s="1" t="s">
        <v>99</v>
      </c>
      <c r="D2081" s="11">
        <v>45278.038194444445</v>
      </c>
      <c r="E2081" t="s">
        <v>98</v>
      </c>
      <c r="F2081" t="s">
        <v>33</v>
      </c>
      <c r="G2081">
        <v>1572</v>
      </c>
      <c r="H2081" s="5" t="s">
        <v>99</v>
      </c>
      <c r="I2081" s="15">
        <v>45278</v>
      </c>
      <c r="J2081" s="15" t="s">
        <v>295</v>
      </c>
      <c r="K2081" s="6">
        <v>0.53819444444444442</v>
      </c>
      <c r="L2081" t="s">
        <v>145</v>
      </c>
      <c r="M2081">
        <v>100000</v>
      </c>
      <c r="N2081" t="s">
        <v>210</v>
      </c>
      <c r="O2081" t="s">
        <v>151</v>
      </c>
      <c r="P2081">
        <v>39</v>
      </c>
      <c r="Q2081" t="s">
        <v>154</v>
      </c>
    </row>
    <row r="2082" spans="1:17" x14ac:dyDescent="0.2">
      <c r="A2082">
        <v>1405341</v>
      </c>
      <c r="B2082">
        <v>749</v>
      </c>
      <c r="C2082" s="1" t="s">
        <v>106</v>
      </c>
      <c r="D2082" s="11">
        <v>45115.061111111114</v>
      </c>
      <c r="E2082" t="s">
        <v>98</v>
      </c>
      <c r="F2082" t="s">
        <v>91</v>
      </c>
      <c r="G2082">
        <v>1177</v>
      </c>
      <c r="H2082" s="5" t="s">
        <v>106</v>
      </c>
      <c r="I2082" s="15">
        <v>45115</v>
      </c>
      <c r="J2082" s="15" t="s">
        <v>234</v>
      </c>
      <c r="K2082" s="6">
        <v>6.1111111111111109E-2</v>
      </c>
      <c r="L2082" t="s">
        <v>142</v>
      </c>
      <c r="M2082">
        <v>100000</v>
      </c>
      <c r="N2082" t="s">
        <v>213</v>
      </c>
      <c r="O2082" t="s">
        <v>152</v>
      </c>
      <c r="P2082">
        <v>82</v>
      </c>
      <c r="Q2082" t="s">
        <v>155</v>
      </c>
    </row>
    <row r="2083" spans="1:17" x14ac:dyDescent="0.2">
      <c r="A2083">
        <v>1405517</v>
      </c>
      <c r="B2083">
        <v>1790</v>
      </c>
      <c r="C2083" s="1" t="s">
        <v>99</v>
      </c>
      <c r="D2083" s="11">
        <v>45075.036805555559</v>
      </c>
      <c r="E2083" t="s">
        <v>191</v>
      </c>
      <c r="F2083" t="s">
        <v>35</v>
      </c>
      <c r="G2083">
        <v>8268</v>
      </c>
      <c r="H2083" s="5" t="s">
        <v>99</v>
      </c>
      <c r="I2083" s="15">
        <v>45075</v>
      </c>
      <c r="J2083" s="15" t="s">
        <v>233</v>
      </c>
      <c r="K2083" s="6">
        <v>0.53680555555555554</v>
      </c>
      <c r="L2083" t="s">
        <v>144</v>
      </c>
      <c r="M2083">
        <v>100000</v>
      </c>
      <c r="N2083" t="s">
        <v>219</v>
      </c>
      <c r="O2083" t="s">
        <v>151</v>
      </c>
      <c r="P2083">
        <v>85</v>
      </c>
      <c r="Q2083" t="s">
        <v>157</v>
      </c>
    </row>
    <row r="2084" spans="1:17" x14ac:dyDescent="0.2">
      <c r="A2084">
        <v>1407976</v>
      </c>
      <c r="B2084">
        <v>569</v>
      </c>
      <c r="C2084" s="1" t="s">
        <v>99</v>
      </c>
      <c r="D2084" s="11">
        <v>45018.972916666666</v>
      </c>
      <c r="E2084" t="s">
        <v>96</v>
      </c>
      <c r="F2084" t="s">
        <v>36</v>
      </c>
      <c r="G2084">
        <v>8751</v>
      </c>
      <c r="H2084" s="5" t="s">
        <v>99</v>
      </c>
      <c r="I2084" s="15">
        <v>45018</v>
      </c>
      <c r="J2084" s="15" t="s">
        <v>233</v>
      </c>
      <c r="K2084" s="6">
        <v>0.47291666666666665</v>
      </c>
      <c r="L2084" t="s">
        <v>146</v>
      </c>
      <c r="M2084">
        <v>100000</v>
      </c>
      <c r="N2084" t="s">
        <v>220</v>
      </c>
      <c r="O2084" t="s">
        <v>151</v>
      </c>
      <c r="P2084">
        <v>62</v>
      </c>
      <c r="Q2084" t="s">
        <v>155</v>
      </c>
    </row>
    <row r="2085" spans="1:17" x14ac:dyDescent="0.2">
      <c r="A2085">
        <v>1409071</v>
      </c>
      <c r="B2085">
        <v>807</v>
      </c>
      <c r="C2085" s="1" t="s">
        <v>102</v>
      </c>
      <c r="D2085" s="11">
        <v>45041.968055555553</v>
      </c>
      <c r="E2085" t="s">
        <v>191</v>
      </c>
      <c r="F2085" t="s">
        <v>37</v>
      </c>
      <c r="G2085">
        <v>1067</v>
      </c>
      <c r="H2085" s="5" t="s">
        <v>102</v>
      </c>
      <c r="I2085" s="15">
        <v>45041</v>
      </c>
      <c r="J2085" s="15" t="s">
        <v>233</v>
      </c>
      <c r="K2085" s="6">
        <v>0.46805555555555556</v>
      </c>
      <c r="L2085" t="s">
        <v>144</v>
      </c>
      <c r="M2085">
        <v>100000</v>
      </c>
      <c r="N2085" t="s">
        <v>199</v>
      </c>
      <c r="O2085" t="s">
        <v>152</v>
      </c>
      <c r="P2085">
        <v>56</v>
      </c>
      <c r="Q2085" t="s">
        <v>155</v>
      </c>
    </row>
    <row r="2086" spans="1:17" x14ac:dyDescent="0.2">
      <c r="A2086">
        <v>1409253</v>
      </c>
      <c r="B2086">
        <v>1099</v>
      </c>
      <c r="C2086" s="1" t="s">
        <v>100</v>
      </c>
      <c r="D2086" s="11">
        <v>45019.978472222225</v>
      </c>
      <c r="E2086" t="s">
        <v>191</v>
      </c>
      <c r="F2086" t="s">
        <v>27</v>
      </c>
      <c r="G2086">
        <v>136</v>
      </c>
      <c r="H2086" s="5" t="s">
        <v>100</v>
      </c>
      <c r="I2086" s="15">
        <v>45019</v>
      </c>
      <c r="J2086" s="15" t="s">
        <v>233</v>
      </c>
      <c r="K2086" s="6">
        <v>0.47847222222222224</v>
      </c>
      <c r="L2086" t="s">
        <v>142</v>
      </c>
      <c r="M2086">
        <v>1000000</v>
      </c>
      <c r="N2086" t="s">
        <v>209</v>
      </c>
      <c r="O2086" t="s">
        <v>152</v>
      </c>
      <c r="P2086">
        <v>76</v>
      </c>
      <c r="Q2086" t="s">
        <v>156</v>
      </c>
    </row>
    <row r="2087" spans="1:17" x14ac:dyDescent="0.2">
      <c r="A2087">
        <v>1409459</v>
      </c>
      <c r="B2087">
        <v>843</v>
      </c>
      <c r="C2087" s="1" t="s">
        <v>99</v>
      </c>
      <c r="D2087" s="11">
        <v>45067.015277777777</v>
      </c>
      <c r="E2087" t="s">
        <v>97</v>
      </c>
      <c r="F2087" t="s">
        <v>65</v>
      </c>
      <c r="G2087">
        <v>6955</v>
      </c>
      <c r="H2087" s="5" t="s">
        <v>99</v>
      </c>
      <c r="I2087" s="15">
        <v>45067</v>
      </c>
      <c r="J2087" s="15" t="s">
        <v>233</v>
      </c>
      <c r="K2087" s="6">
        <v>0.51527777777777772</v>
      </c>
      <c r="L2087" t="s">
        <v>146</v>
      </c>
      <c r="M2087">
        <v>200000</v>
      </c>
      <c r="N2087" t="s">
        <v>225</v>
      </c>
      <c r="O2087" t="s">
        <v>152</v>
      </c>
      <c r="P2087">
        <v>37</v>
      </c>
      <c r="Q2087" t="s">
        <v>155</v>
      </c>
    </row>
    <row r="2088" spans="1:17" x14ac:dyDescent="0.2">
      <c r="A2088">
        <v>1409549</v>
      </c>
      <c r="B2088">
        <v>915</v>
      </c>
      <c r="C2088" s="1" t="s">
        <v>100</v>
      </c>
      <c r="D2088" s="11">
        <v>45129.002083333333</v>
      </c>
      <c r="E2088" t="s">
        <v>97</v>
      </c>
      <c r="F2088" t="s">
        <v>23</v>
      </c>
      <c r="G2088">
        <v>8235</v>
      </c>
      <c r="H2088" s="5" t="s">
        <v>100</v>
      </c>
      <c r="I2088" s="15">
        <v>45129</v>
      </c>
      <c r="J2088" s="15" t="s">
        <v>234</v>
      </c>
      <c r="K2088" s="6">
        <v>0.50208333333333333</v>
      </c>
      <c r="L2088" t="s">
        <v>142</v>
      </c>
      <c r="M2088">
        <v>150000</v>
      </c>
      <c r="N2088" t="s">
        <v>213</v>
      </c>
      <c r="O2088" t="s">
        <v>151</v>
      </c>
      <c r="P2088">
        <v>39</v>
      </c>
      <c r="Q2088" t="s">
        <v>155</v>
      </c>
    </row>
    <row r="2089" spans="1:17" x14ac:dyDescent="0.2">
      <c r="A2089">
        <v>1409687</v>
      </c>
      <c r="B2089">
        <v>1475</v>
      </c>
      <c r="C2089" s="1" t="s">
        <v>105</v>
      </c>
      <c r="D2089" s="11">
        <v>45019.037499999999</v>
      </c>
      <c r="E2089" t="s">
        <v>191</v>
      </c>
      <c r="F2089" t="s">
        <v>40</v>
      </c>
      <c r="G2089">
        <v>3268</v>
      </c>
      <c r="H2089" s="5" t="s">
        <v>105</v>
      </c>
      <c r="I2089" s="15">
        <v>45019</v>
      </c>
      <c r="J2089" s="15" t="s">
        <v>233</v>
      </c>
      <c r="K2089" s="6">
        <v>0.53749999999999998</v>
      </c>
      <c r="L2089" t="s">
        <v>142</v>
      </c>
      <c r="M2089">
        <v>150000</v>
      </c>
      <c r="N2089" t="s">
        <v>207</v>
      </c>
      <c r="O2089" t="s">
        <v>152</v>
      </c>
      <c r="P2089">
        <v>25</v>
      </c>
      <c r="Q2089" t="s">
        <v>156</v>
      </c>
    </row>
    <row r="2090" spans="1:17" x14ac:dyDescent="0.2">
      <c r="A2090">
        <v>1411077</v>
      </c>
      <c r="B2090">
        <v>1545</v>
      </c>
      <c r="C2090" s="1" t="s">
        <v>103</v>
      </c>
      <c r="D2090" s="11">
        <v>45092.00277777778</v>
      </c>
      <c r="E2090" t="s">
        <v>191</v>
      </c>
      <c r="F2090" t="s">
        <v>95</v>
      </c>
      <c r="G2090">
        <v>6186</v>
      </c>
      <c r="H2090" s="5" t="s">
        <v>103</v>
      </c>
      <c r="I2090" s="15">
        <v>45092</v>
      </c>
      <c r="J2090" s="15" t="s">
        <v>233</v>
      </c>
      <c r="K2090" s="6">
        <v>0.50277777777777777</v>
      </c>
      <c r="L2090" t="s">
        <v>143</v>
      </c>
      <c r="M2090">
        <v>30000</v>
      </c>
      <c r="N2090" t="s">
        <v>221</v>
      </c>
      <c r="O2090" t="s">
        <v>152</v>
      </c>
      <c r="P2090">
        <v>30</v>
      </c>
      <c r="Q2090" t="s">
        <v>157</v>
      </c>
    </row>
    <row r="2091" spans="1:17" x14ac:dyDescent="0.2">
      <c r="A2091">
        <v>1411455</v>
      </c>
      <c r="B2091">
        <v>1416</v>
      </c>
      <c r="C2091" s="1" t="s">
        <v>99</v>
      </c>
      <c r="D2091" s="11">
        <v>45010.982638888891</v>
      </c>
      <c r="E2091" t="s">
        <v>96</v>
      </c>
      <c r="F2091" t="s">
        <v>42</v>
      </c>
      <c r="G2091">
        <v>8932</v>
      </c>
      <c r="H2091" s="5" t="s">
        <v>99</v>
      </c>
      <c r="I2091" s="15">
        <v>45010</v>
      </c>
      <c r="J2091" s="15" t="s">
        <v>232</v>
      </c>
      <c r="K2091" s="6">
        <v>0.4826388888888889</v>
      </c>
      <c r="L2091" t="s">
        <v>144</v>
      </c>
      <c r="M2091">
        <v>100000</v>
      </c>
      <c r="N2091" t="s">
        <v>219</v>
      </c>
      <c r="O2091" t="s">
        <v>152</v>
      </c>
      <c r="P2091">
        <v>84</v>
      </c>
      <c r="Q2091" t="s">
        <v>156</v>
      </c>
    </row>
    <row r="2092" spans="1:17" x14ac:dyDescent="0.2">
      <c r="A2092">
        <v>1412551</v>
      </c>
      <c r="B2092">
        <v>610</v>
      </c>
      <c r="C2092" s="1" t="s">
        <v>100</v>
      </c>
      <c r="D2092" s="11">
        <v>45176.007638888892</v>
      </c>
      <c r="E2092" t="s">
        <v>96</v>
      </c>
      <c r="F2092" t="s">
        <v>43</v>
      </c>
      <c r="G2092">
        <v>425</v>
      </c>
      <c r="H2092" s="5" t="s">
        <v>100</v>
      </c>
      <c r="I2092" s="15">
        <v>45176</v>
      </c>
      <c r="J2092" s="15" t="s">
        <v>234</v>
      </c>
      <c r="K2092" s="6">
        <v>0.50763888888888886</v>
      </c>
      <c r="L2092" t="s">
        <v>145</v>
      </c>
      <c r="M2092">
        <v>1000000</v>
      </c>
      <c r="N2092" t="s">
        <v>203</v>
      </c>
      <c r="O2092" t="s">
        <v>152</v>
      </c>
      <c r="P2092">
        <v>62</v>
      </c>
      <c r="Q2092" t="s">
        <v>155</v>
      </c>
    </row>
    <row r="2093" spans="1:17" x14ac:dyDescent="0.2">
      <c r="A2093">
        <v>1414158</v>
      </c>
      <c r="B2093">
        <v>789</v>
      </c>
      <c r="C2093" s="1" t="s">
        <v>100</v>
      </c>
      <c r="D2093" s="11">
        <v>45005.045138888891</v>
      </c>
      <c r="E2093" t="s">
        <v>97</v>
      </c>
      <c r="F2093" t="s">
        <v>15</v>
      </c>
      <c r="G2093">
        <v>8686</v>
      </c>
      <c r="H2093" s="5" t="s">
        <v>100</v>
      </c>
      <c r="I2093" s="15">
        <v>45005</v>
      </c>
      <c r="J2093" s="15" t="s">
        <v>232</v>
      </c>
      <c r="K2093" s="6">
        <v>4.5138888888888888E-2</v>
      </c>
      <c r="L2093" t="s">
        <v>143</v>
      </c>
      <c r="M2093">
        <v>150000</v>
      </c>
      <c r="N2093" t="s">
        <v>198</v>
      </c>
      <c r="O2093" t="s">
        <v>151</v>
      </c>
      <c r="P2093">
        <v>62</v>
      </c>
      <c r="Q2093" t="s">
        <v>155</v>
      </c>
    </row>
    <row r="2094" spans="1:17" x14ac:dyDescent="0.2">
      <c r="A2094">
        <v>1416529</v>
      </c>
      <c r="B2094">
        <v>1980</v>
      </c>
      <c r="C2094" s="1" t="s">
        <v>110</v>
      </c>
      <c r="D2094" s="11">
        <v>45104.004861111112</v>
      </c>
      <c r="E2094" t="s">
        <v>97</v>
      </c>
      <c r="F2094" t="s">
        <v>12</v>
      </c>
      <c r="G2094">
        <v>576</v>
      </c>
      <c r="H2094" s="5" t="s">
        <v>110</v>
      </c>
      <c r="I2094" s="15">
        <v>45104</v>
      </c>
      <c r="J2094" s="15" t="s">
        <v>233</v>
      </c>
      <c r="K2094" s="6">
        <v>0.50486111111111109</v>
      </c>
      <c r="L2094" t="s">
        <v>143</v>
      </c>
      <c r="M2094">
        <v>150000</v>
      </c>
      <c r="N2094" t="s">
        <v>205</v>
      </c>
      <c r="O2094" t="s">
        <v>151</v>
      </c>
      <c r="P2094">
        <v>57</v>
      </c>
      <c r="Q2094" t="s">
        <v>157</v>
      </c>
    </row>
    <row r="2095" spans="1:17" x14ac:dyDescent="0.2">
      <c r="A2095">
        <v>1417112</v>
      </c>
      <c r="B2095">
        <v>1938</v>
      </c>
      <c r="C2095" s="8" t="s">
        <v>99</v>
      </c>
      <c r="D2095" s="11">
        <v>45064.032638888886</v>
      </c>
      <c r="E2095" t="s">
        <v>191</v>
      </c>
      <c r="F2095" t="s">
        <v>29</v>
      </c>
      <c r="G2095">
        <v>2520</v>
      </c>
      <c r="H2095" s="5" t="s">
        <v>99</v>
      </c>
      <c r="I2095" s="15">
        <v>45064</v>
      </c>
      <c r="J2095" s="15" t="s">
        <v>233</v>
      </c>
      <c r="K2095" s="6">
        <v>0.53263888888888888</v>
      </c>
      <c r="L2095" t="s">
        <v>143</v>
      </c>
      <c r="M2095">
        <v>150000</v>
      </c>
      <c r="N2095" t="s">
        <v>214</v>
      </c>
      <c r="O2095" t="s">
        <v>151</v>
      </c>
      <c r="P2095">
        <v>70</v>
      </c>
      <c r="Q2095" t="s">
        <v>157</v>
      </c>
    </row>
    <row r="2096" spans="1:17" x14ac:dyDescent="0.2">
      <c r="A2096">
        <v>1417673</v>
      </c>
      <c r="B2096">
        <v>1947</v>
      </c>
      <c r="C2096" s="1" t="s">
        <v>105</v>
      </c>
      <c r="D2096" s="11">
        <v>45049.069444444445</v>
      </c>
      <c r="E2096" t="s">
        <v>98</v>
      </c>
      <c r="F2096" t="s">
        <v>27</v>
      </c>
      <c r="G2096">
        <v>8765</v>
      </c>
      <c r="H2096" s="5" t="s">
        <v>105</v>
      </c>
      <c r="I2096" s="15">
        <v>45049</v>
      </c>
      <c r="J2096" s="15" t="s">
        <v>233</v>
      </c>
      <c r="K2096" s="6">
        <v>6.9444444444444448E-2</v>
      </c>
      <c r="L2096" t="s">
        <v>142</v>
      </c>
      <c r="M2096">
        <v>1000000</v>
      </c>
      <c r="N2096" t="s">
        <v>209</v>
      </c>
      <c r="O2096" t="s">
        <v>152</v>
      </c>
      <c r="P2096">
        <v>33</v>
      </c>
      <c r="Q2096" t="s">
        <v>157</v>
      </c>
    </row>
    <row r="2097" spans="1:17" x14ac:dyDescent="0.2">
      <c r="A2097">
        <v>1418125</v>
      </c>
      <c r="B2097">
        <v>1496</v>
      </c>
      <c r="C2097" s="1" t="s">
        <v>99</v>
      </c>
      <c r="D2097" s="11">
        <v>45150.031944444447</v>
      </c>
      <c r="E2097" t="s">
        <v>98</v>
      </c>
      <c r="F2097" t="s">
        <v>45</v>
      </c>
      <c r="G2097">
        <v>8586</v>
      </c>
      <c r="H2097" s="5" t="s">
        <v>99</v>
      </c>
      <c r="I2097" s="15">
        <v>45150</v>
      </c>
      <c r="J2097" s="15" t="s">
        <v>234</v>
      </c>
      <c r="K2097" s="6">
        <v>0.53194444444444444</v>
      </c>
      <c r="L2097" t="s">
        <v>142</v>
      </c>
      <c r="M2097">
        <v>100000</v>
      </c>
      <c r="N2097" t="s">
        <v>197</v>
      </c>
      <c r="O2097" t="s">
        <v>152</v>
      </c>
      <c r="P2097">
        <v>74</v>
      </c>
      <c r="Q2097" t="s">
        <v>156</v>
      </c>
    </row>
    <row r="2098" spans="1:17" x14ac:dyDescent="0.2">
      <c r="A2098">
        <v>1420227</v>
      </c>
      <c r="B2098">
        <v>1540</v>
      </c>
      <c r="C2098" s="1" t="s">
        <v>101</v>
      </c>
      <c r="D2098" s="11">
        <v>45007.022222222222</v>
      </c>
      <c r="E2098" t="s">
        <v>98</v>
      </c>
      <c r="F2098" t="s">
        <v>43</v>
      </c>
      <c r="G2098">
        <v>615</v>
      </c>
      <c r="H2098" s="5" t="s">
        <v>101</v>
      </c>
      <c r="I2098" s="15">
        <v>45007</v>
      </c>
      <c r="J2098" s="15" t="s">
        <v>232</v>
      </c>
      <c r="K2098" s="6">
        <v>0.52222222222222225</v>
      </c>
      <c r="L2098" t="s">
        <v>145</v>
      </c>
      <c r="M2098">
        <v>1000000</v>
      </c>
      <c r="N2098" t="s">
        <v>203</v>
      </c>
      <c r="O2098" t="s">
        <v>151</v>
      </c>
      <c r="P2098">
        <v>58</v>
      </c>
      <c r="Q2098" t="s">
        <v>157</v>
      </c>
    </row>
    <row r="2099" spans="1:17" x14ac:dyDescent="0.2">
      <c r="A2099">
        <v>1420448</v>
      </c>
      <c r="B2099">
        <v>1708</v>
      </c>
      <c r="C2099" s="1" t="s">
        <v>100</v>
      </c>
      <c r="D2099" s="11">
        <v>45025.984027777777</v>
      </c>
      <c r="E2099" t="s">
        <v>98</v>
      </c>
      <c r="F2099" t="s">
        <v>60</v>
      </c>
      <c r="G2099">
        <v>5060</v>
      </c>
      <c r="H2099" s="5" t="s">
        <v>100</v>
      </c>
      <c r="I2099" s="15">
        <v>45025</v>
      </c>
      <c r="J2099" s="15" t="s">
        <v>233</v>
      </c>
      <c r="K2099" s="6">
        <v>0.48402777777777778</v>
      </c>
      <c r="L2099" t="s">
        <v>146</v>
      </c>
      <c r="M2099">
        <v>100000</v>
      </c>
      <c r="N2099" t="s">
        <v>225</v>
      </c>
      <c r="O2099" t="s">
        <v>151</v>
      </c>
      <c r="P2099">
        <v>87</v>
      </c>
      <c r="Q2099" t="s">
        <v>157</v>
      </c>
    </row>
    <row r="2100" spans="1:17" x14ac:dyDescent="0.2">
      <c r="A2100">
        <v>1420854</v>
      </c>
      <c r="B2100">
        <v>1759</v>
      </c>
      <c r="C2100" s="1" t="s">
        <v>105</v>
      </c>
      <c r="D2100" s="11">
        <v>45205.977083333331</v>
      </c>
      <c r="E2100" t="s">
        <v>98</v>
      </c>
      <c r="F2100" t="s">
        <v>90</v>
      </c>
      <c r="G2100">
        <v>1964</v>
      </c>
      <c r="H2100" s="5" t="s">
        <v>105</v>
      </c>
      <c r="I2100" s="15">
        <v>45205</v>
      </c>
      <c r="J2100" s="15" t="s">
        <v>295</v>
      </c>
      <c r="K2100" s="6">
        <v>0.47708333333333336</v>
      </c>
      <c r="L2100" t="s">
        <v>142</v>
      </c>
      <c r="M2100">
        <v>150000</v>
      </c>
      <c r="N2100" t="s">
        <v>208</v>
      </c>
      <c r="O2100" t="s">
        <v>152</v>
      </c>
      <c r="P2100">
        <v>22</v>
      </c>
      <c r="Q2100" t="s">
        <v>157</v>
      </c>
    </row>
    <row r="2101" spans="1:17" x14ac:dyDescent="0.2">
      <c r="A2101">
        <v>1421840</v>
      </c>
      <c r="B2101">
        <v>1128</v>
      </c>
      <c r="C2101" s="1" t="s">
        <v>100</v>
      </c>
      <c r="D2101" s="11">
        <v>45178.984722222223</v>
      </c>
      <c r="E2101" t="s">
        <v>97</v>
      </c>
      <c r="F2101" t="s">
        <v>14</v>
      </c>
      <c r="G2101">
        <v>1084</v>
      </c>
      <c r="H2101" s="5" t="s">
        <v>100</v>
      </c>
      <c r="I2101" s="15">
        <v>45178</v>
      </c>
      <c r="J2101" s="15" t="s">
        <v>234</v>
      </c>
      <c r="K2101" s="6">
        <v>0.48472222222222222</v>
      </c>
      <c r="L2101" t="s">
        <v>142</v>
      </c>
      <c r="M2101">
        <v>250000</v>
      </c>
      <c r="N2101" t="s">
        <v>207</v>
      </c>
      <c r="O2101" t="s">
        <v>152</v>
      </c>
      <c r="P2101">
        <v>18</v>
      </c>
      <c r="Q2101" t="s">
        <v>156</v>
      </c>
    </row>
    <row r="2102" spans="1:17" x14ac:dyDescent="0.2">
      <c r="A2102">
        <v>1422378</v>
      </c>
      <c r="B2102">
        <v>684</v>
      </c>
      <c r="C2102" s="1" t="s">
        <v>102</v>
      </c>
      <c r="D2102" s="11">
        <v>45236.007638888892</v>
      </c>
      <c r="E2102" t="s">
        <v>98</v>
      </c>
      <c r="F2102" t="s">
        <v>27</v>
      </c>
      <c r="G2102">
        <v>3274</v>
      </c>
      <c r="H2102" s="5" t="s">
        <v>102</v>
      </c>
      <c r="I2102" s="15">
        <v>45236</v>
      </c>
      <c r="J2102" s="15" t="s">
        <v>295</v>
      </c>
      <c r="K2102" s="6">
        <v>0.50763888888888886</v>
      </c>
      <c r="L2102" t="s">
        <v>142</v>
      </c>
      <c r="M2102">
        <v>1000000</v>
      </c>
      <c r="N2102" t="s">
        <v>209</v>
      </c>
      <c r="O2102" t="s">
        <v>152</v>
      </c>
      <c r="P2102">
        <v>88</v>
      </c>
      <c r="Q2102" t="s">
        <v>155</v>
      </c>
    </row>
    <row r="2103" spans="1:17" x14ac:dyDescent="0.2">
      <c r="A2103">
        <v>1422755</v>
      </c>
      <c r="B2103">
        <v>830</v>
      </c>
      <c r="C2103" s="1" t="s">
        <v>100</v>
      </c>
      <c r="D2103" s="11">
        <v>45226.00277777778</v>
      </c>
      <c r="E2103" t="s">
        <v>97</v>
      </c>
      <c r="F2103" t="s">
        <v>7</v>
      </c>
      <c r="G2103">
        <v>7502</v>
      </c>
      <c r="H2103" s="5" t="s">
        <v>100</v>
      </c>
      <c r="I2103" s="15">
        <v>45226</v>
      </c>
      <c r="J2103" s="15" t="s">
        <v>295</v>
      </c>
      <c r="K2103" s="6">
        <v>0.50277777777777777</v>
      </c>
      <c r="L2103" t="s">
        <v>144</v>
      </c>
      <c r="M2103">
        <v>150000</v>
      </c>
      <c r="N2103" t="s">
        <v>200</v>
      </c>
      <c r="O2103" t="s">
        <v>151</v>
      </c>
      <c r="P2103">
        <v>75</v>
      </c>
      <c r="Q2103" t="s">
        <v>155</v>
      </c>
    </row>
    <row r="2104" spans="1:17" x14ac:dyDescent="0.2">
      <c r="A2104">
        <v>1423052</v>
      </c>
      <c r="B2104">
        <v>536</v>
      </c>
      <c r="C2104" s="1" t="s">
        <v>109</v>
      </c>
      <c r="D2104" s="11">
        <v>44953.040277777778</v>
      </c>
      <c r="E2104" t="s">
        <v>98</v>
      </c>
      <c r="F2104" t="s">
        <v>9</v>
      </c>
      <c r="G2104">
        <v>8357</v>
      </c>
      <c r="H2104" s="5" t="s">
        <v>109</v>
      </c>
      <c r="I2104" s="15">
        <v>44953</v>
      </c>
      <c r="J2104" s="15" t="s">
        <v>232</v>
      </c>
      <c r="K2104" s="6">
        <v>0.54027777777777775</v>
      </c>
      <c r="L2104" t="s">
        <v>144</v>
      </c>
      <c r="M2104">
        <v>150000</v>
      </c>
      <c r="N2104" t="s">
        <v>202</v>
      </c>
      <c r="O2104" t="s">
        <v>152</v>
      </c>
      <c r="P2104">
        <v>69</v>
      </c>
      <c r="Q2104" t="s">
        <v>155</v>
      </c>
    </row>
    <row r="2105" spans="1:17" x14ac:dyDescent="0.2">
      <c r="A2105">
        <v>1424219</v>
      </c>
      <c r="B2105">
        <v>1706</v>
      </c>
      <c r="C2105" s="1" t="s">
        <v>99</v>
      </c>
      <c r="D2105" s="11">
        <v>45139.006249999999</v>
      </c>
      <c r="E2105" t="s">
        <v>97</v>
      </c>
      <c r="F2105" t="s">
        <v>48</v>
      </c>
      <c r="G2105">
        <v>2522</v>
      </c>
      <c r="H2105" s="5" t="s">
        <v>99</v>
      </c>
      <c r="I2105" s="15">
        <v>45139</v>
      </c>
      <c r="J2105" s="15" t="s">
        <v>234</v>
      </c>
      <c r="K2105" s="6">
        <v>0.50624999999999998</v>
      </c>
      <c r="L2105" t="s">
        <v>142</v>
      </c>
      <c r="M2105">
        <v>100000</v>
      </c>
      <c r="N2105" t="s">
        <v>209</v>
      </c>
      <c r="O2105" t="s">
        <v>152</v>
      </c>
      <c r="P2105">
        <v>47</v>
      </c>
      <c r="Q2105" t="s">
        <v>157</v>
      </c>
    </row>
    <row r="2106" spans="1:17" x14ac:dyDescent="0.2">
      <c r="A2106">
        <v>1424531</v>
      </c>
      <c r="B2106">
        <v>1425</v>
      </c>
      <c r="C2106" s="1" t="s">
        <v>101</v>
      </c>
      <c r="D2106" s="11">
        <v>45024.957638888889</v>
      </c>
      <c r="E2106" t="s">
        <v>97</v>
      </c>
      <c r="F2106" t="s">
        <v>14</v>
      </c>
      <c r="G2106">
        <v>5390</v>
      </c>
      <c r="H2106" s="5" t="s">
        <v>101</v>
      </c>
      <c r="I2106" s="15">
        <v>45024</v>
      </c>
      <c r="J2106" s="15" t="s">
        <v>233</v>
      </c>
      <c r="K2106" s="6">
        <v>0.45763888888888887</v>
      </c>
      <c r="L2106" t="s">
        <v>142</v>
      </c>
      <c r="M2106">
        <v>250000</v>
      </c>
      <c r="N2106" t="s">
        <v>207</v>
      </c>
      <c r="O2106" t="s">
        <v>152</v>
      </c>
      <c r="P2106">
        <v>79</v>
      </c>
      <c r="Q2106" t="s">
        <v>156</v>
      </c>
    </row>
    <row r="2107" spans="1:17" x14ac:dyDescent="0.2">
      <c r="A2107">
        <v>1424927</v>
      </c>
      <c r="B2107">
        <v>176</v>
      </c>
      <c r="C2107" s="1" t="s">
        <v>100</v>
      </c>
      <c r="D2107" s="11">
        <v>45264.003472222219</v>
      </c>
      <c r="E2107" t="s">
        <v>98</v>
      </c>
      <c r="F2107" t="s">
        <v>61</v>
      </c>
      <c r="G2107">
        <v>9104</v>
      </c>
      <c r="H2107" s="5" t="s">
        <v>100</v>
      </c>
      <c r="I2107" s="15">
        <v>45264</v>
      </c>
      <c r="J2107" s="15" t="s">
        <v>295</v>
      </c>
      <c r="K2107" s="6">
        <v>0.50347222222222221</v>
      </c>
      <c r="L2107" t="s">
        <v>142</v>
      </c>
      <c r="M2107">
        <v>80000</v>
      </c>
      <c r="N2107" t="s">
        <v>197</v>
      </c>
      <c r="O2107" t="s">
        <v>151</v>
      </c>
      <c r="P2107">
        <v>46</v>
      </c>
      <c r="Q2107" t="s">
        <v>154</v>
      </c>
    </row>
    <row r="2108" spans="1:17" x14ac:dyDescent="0.2">
      <c r="A2108">
        <v>1425405</v>
      </c>
      <c r="B2108">
        <v>1220</v>
      </c>
      <c r="C2108" s="1" t="s">
        <v>99</v>
      </c>
      <c r="D2108" s="11">
        <v>45070.004861111112</v>
      </c>
      <c r="E2108" t="s">
        <v>191</v>
      </c>
      <c r="F2108" t="s">
        <v>65</v>
      </c>
      <c r="G2108">
        <v>6403</v>
      </c>
      <c r="H2108" s="5" t="s">
        <v>99</v>
      </c>
      <c r="I2108" s="15">
        <v>45070</v>
      </c>
      <c r="J2108" s="15" t="s">
        <v>233</v>
      </c>
      <c r="K2108" s="6">
        <v>0.50486111111111109</v>
      </c>
      <c r="L2108" t="s">
        <v>146</v>
      </c>
      <c r="M2108">
        <v>200000</v>
      </c>
      <c r="N2108" t="s">
        <v>225</v>
      </c>
      <c r="O2108" t="s">
        <v>151</v>
      </c>
      <c r="P2108">
        <v>58</v>
      </c>
      <c r="Q2108" t="s">
        <v>156</v>
      </c>
    </row>
    <row r="2109" spans="1:17" x14ac:dyDescent="0.2">
      <c r="A2109">
        <v>1426596</v>
      </c>
      <c r="B2109">
        <v>1768</v>
      </c>
      <c r="C2109" s="1" t="s">
        <v>99</v>
      </c>
      <c r="D2109" s="11">
        <v>45281.023611111108</v>
      </c>
      <c r="E2109" t="s">
        <v>97</v>
      </c>
      <c r="F2109" t="s">
        <v>17</v>
      </c>
      <c r="G2109">
        <v>3187</v>
      </c>
      <c r="H2109" s="5" t="s">
        <v>99</v>
      </c>
      <c r="I2109" s="15">
        <v>45281</v>
      </c>
      <c r="J2109" s="15" t="s">
        <v>295</v>
      </c>
      <c r="K2109" s="6">
        <v>0.52361111111111114</v>
      </c>
      <c r="L2109" t="s">
        <v>142</v>
      </c>
      <c r="M2109">
        <v>100000</v>
      </c>
      <c r="N2109" t="s">
        <v>209</v>
      </c>
      <c r="O2109" t="s">
        <v>152</v>
      </c>
      <c r="P2109">
        <v>81</v>
      </c>
      <c r="Q2109" t="s">
        <v>157</v>
      </c>
    </row>
    <row r="2110" spans="1:17" x14ac:dyDescent="0.2">
      <c r="A2110">
        <v>1427947</v>
      </c>
      <c r="B2110">
        <v>823</v>
      </c>
      <c r="C2110" s="1" t="s">
        <v>100</v>
      </c>
      <c r="D2110" s="11">
        <v>44951.091666666667</v>
      </c>
      <c r="E2110" t="s">
        <v>98</v>
      </c>
      <c r="F2110" t="s">
        <v>18</v>
      </c>
      <c r="G2110">
        <v>4859</v>
      </c>
      <c r="H2110" s="5" t="s">
        <v>100</v>
      </c>
      <c r="I2110" s="15">
        <v>44951</v>
      </c>
      <c r="J2110" s="15" t="s">
        <v>232</v>
      </c>
      <c r="K2110" s="6">
        <v>9.166666666666666E-2</v>
      </c>
      <c r="L2110" t="s">
        <v>145</v>
      </c>
      <c r="M2110">
        <v>200000</v>
      </c>
      <c r="N2110" t="s">
        <v>210</v>
      </c>
      <c r="O2110" t="s">
        <v>152</v>
      </c>
      <c r="P2110">
        <v>63</v>
      </c>
      <c r="Q2110" t="s">
        <v>155</v>
      </c>
    </row>
    <row r="2111" spans="1:17" x14ac:dyDescent="0.2">
      <c r="A2111">
        <v>1428296</v>
      </c>
      <c r="B2111">
        <v>80</v>
      </c>
      <c r="C2111" s="1" t="s">
        <v>99</v>
      </c>
      <c r="D2111" s="11">
        <v>45066.038194444445</v>
      </c>
      <c r="E2111" t="s">
        <v>97</v>
      </c>
      <c r="F2111" t="s">
        <v>89</v>
      </c>
      <c r="G2111">
        <v>1637</v>
      </c>
      <c r="H2111" s="5" t="s">
        <v>99</v>
      </c>
      <c r="I2111" s="15">
        <v>45066</v>
      </c>
      <c r="J2111" s="15" t="s">
        <v>233</v>
      </c>
      <c r="K2111" s="6">
        <v>0.53819444444444442</v>
      </c>
      <c r="L2111" t="s">
        <v>144</v>
      </c>
      <c r="M2111">
        <v>150000</v>
      </c>
      <c r="N2111" t="s">
        <v>218</v>
      </c>
      <c r="O2111" t="s">
        <v>151</v>
      </c>
      <c r="P2111">
        <v>37</v>
      </c>
      <c r="Q2111" t="s">
        <v>154</v>
      </c>
    </row>
    <row r="2112" spans="1:17" x14ac:dyDescent="0.2">
      <c r="A2112">
        <v>1428328</v>
      </c>
      <c r="B2112">
        <v>1988</v>
      </c>
      <c r="C2112" s="1" t="s">
        <v>99</v>
      </c>
      <c r="D2112" s="11">
        <v>45044.057638888888</v>
      </c>
      <c r="E2112" t="s">
        <v>98</v>
      </c>
      <c r="F2112" t="s">
        <v>79</v>
      </c>
      <c r="G2112">
        <v>2435</v>
      </c>
      <c r="H2112" s="5" t="s">
        <v>99</v>
      </c>
      <c r="I2112" s="15">
        <v>45044</v>
      </c>
      <c r="J2112" s="15" t="s">
        <v>233</v>
      </c>
      <c r="K2112" s="6">
        <v>5.7638888888888892E-2</v>
      </c>
      <c r="L2112" t="s">
        <v>143</v>
      </c>
      <c r="M2112">
        <v>50000</v>
      </c>
      <c r="N2112" t="s">
        <v>204</v>
      </c>
      <c r="O2112" t="s">
        <v>151</v>
      </c>
      <c r="P2112">
        <v>66</v>
      </c>
      <c r="Q2112" t="s">
        <v>157</v>
      </c>
    </row>
    <row r="2113" spans="1:17" x14ac:dyDescent="0.2">
      <c r="A2113">
        <v>1429209</v>
      </c>
      <c r="B2113">
        <v>701</v>
      </c>
      <c r="C2113" s="1" t="s">
        <v>113</v>
      </c>
      <c r="D2113" s="11">
        <v>45264.052777777775</v>
      </c>
      <c r="E2113" t="s">
        <v>191</v>
      </c>
      <c r="F2113" t="s">
        <v>51</v>
      </c>
      <c r="G2113">
        <v>1494</v>
      </c>
      <c r="H2113" s="5" t="s">
        <v>113</v>
      </c>
      <c r="I2113" s="15">
        <v>45264</v>
      </c>
      <c r="J2113" s="15" t="s">
        <v>295</v>
      </c>
      <c r="K2113" s="6">
        <v>5.2777777777777778E-2</v>
      </c>
      <c r="L2113" t="s">
        <v>145</v>
      </c>
      <c r="M2113">
        <v>100000</v>
      </c>
      <c r="N2113" t="s">
        <v>217</v>
      </c>
      <c r="O2113" t="s">
        <v>151</v>
      </c>
      <c r="P2113">
        <v>72</v>
      </c>
      <c r="Q2113" t="s">
        <v>155</v>
      </c>
    </row>
    <row r="2114" spans="1:17" x14ac:dyDescent="0.2">
      <c r="A2114">
        <v>1432252</v>
      </c>
      <c r="B2114">
        <v>286</v>
      </c>
      <c r="C2114" s="1" t="s">
        <v>99</v>
      </c>
      <c r="D2114" s="11">
        <v>44930.030555555553</v>
      </c>
      <c r="E2114" t="s">
        <v>191</v>
      </c>
      <c r="F2114" t="s">
        <v>9</v>
      </c>
      <c r="G2114">
        <v>4443</v>
      </c>
      <c r="H2114" s="5" t="s">
        <v>99</v>
      </c>
      <c r="I2114" s="15">
        <v>44930</v>
      </c>
      <c r="J2114" s="15" t="s">
        <v>232</v>
      </c>
      <c r="K2114" s="6">
        <v>0.53055555555555556</v>
      </c>
      <c r="L2114" t="s">
        <v>144</v>
      </c>
      <c r="M2114">
        <v>150000</v>
      </c>
      <c r="N2114" t="s">
        <v>202</v>
      </c>
      <c r="O2114" t="s">
        <v>151</v>
      </c>
      <c r="P2114">
        <v>79</v>
      </c>
      <c r="Q2114" t="s">
        <v>154</v>
      </c>
    </row>
    <row r="2115" spans="1:17" x14ac:dyDescent="0.2">
      <c r="A2115">
        <v>1433358</v>
      </c>
      <c r="B2115">
        <v>125</v>
      </c>
      <c r="C2115" s="1" t="s">
        <v>105</v>
      </c>
      <c r="D2115" s="11">
        <v>45076.013888888891</v>
      </c>
      <c r="E2115" t="s">
        <v>96</v>
      </c>
      <c r="F2115" t="s">
        <v>90</v>
      </c>
      <c r="G2115">
        <v>7762</v>
      </c>
      <c r="H2115" s="5" t="s">
        <v>105</v>
      </c>
      <c r="I2115" s="15">
        <v>45076</v>
      </c>
      <c r="J2115" s="15" t="s">
        <v>233</v>
      </c>
      <c r="K2115" s="6">
        <v>0.51388888888888884</v>
      </c>
      <c r="L2115" t="s">
        <v>142</v>
      </c>
      <c r="M2115">
        <v>150000</v>
      </c>
      <c r="N2115" t="s">
        <v>208</v>
      </c>
      <c r="O2115" t="s">
        <v>152</v>
      </c>
      <c r="P2115">
        <v>58</v>
      </c>
      <c r="Q2115" t="s">
        <v>154</v>
      </c>
    </row>
    <row r="2116" spans="1:17" x14ac:dyDescent="0.2">
      <c r="A2116">
        <v>1436270</v>
      </c>
      <c r="B2116">
        <v>1052</v>
      </c>
      <c r="C2116" s="1" t="s">
        <v>109</v>
      </c>
      <c r="D2116" s="11">
        <v>45101.070138888892</v>
      </c>
      <c r="E2116" t="s">
        <v>97</v>
      </c>
      <c r="F2116" t="s">
        <v>57</v>
      </c>
      <c r="G2116">
        <v>1360</v>
      </c>
      <c r="H2116" s="5" t="s">
        <v>109</v>
      </c>
      <c r="I2116" s="15">
        <v>45101</v>
      </c>
      <c r="J2116" s="15" t="s">
        <v>233</v>
      </c>
      <c r="K2116" s="6">
        <v>7.013888888888889E-2</v>
      </c>
      <c r="L2116" t="s">
        <v>142</v>
      </c>
      <c r="M2116">
        <v>50000</v>
      </c>
      <c r="N2116" t="s">
        <v>208</v>
      </c>
      <c r="O2116" t="s">
        <v>151</v>
      </c>
      <c r="P2116">
        <v>66</v>
      </c>
      <c r="Q2116" t="s">
        <v>156</v>
      </c>
    </row>
    <row r="2117" spans="1:17" x14ac:dyDescent="0.2">
      <c r="A2117">
        <v>1437527</v>
      </c>
      <c r="B2117">
        <v>1495</v>
      </c>
      <c r="C2117" s="1" t="s">
        <v>108</v>
      </c>
      <c r="D2117" s="11">
        <v>44982.032638888886</v>
      </c>
      <c r="E2117" t="s">
        <v>98</v>
      </c>
      <c r="F2117" t="s">
        <v>92</v>
      </c>
      <c r="G2117">
        <v>2234</v>
      </c>
      <c r="H2117" s="5" t="s">
        <v>108</v>
      </c>
      <c r="I2117" s="15">
        <v>44982</v>
      </c>
      <c r="J2117" s="15" t="s">
        <v>232</v>
      </c>
      <c r="K2117" s="6">
        <v>0.53263888888888888</v>
      </c>
      <c r="L2117" t="s">
        <v>145</v>
      </c>
      <c r="M2117">
        <v>30000</v>
      </c>
      <c r="N2117" t="s">
        <v>226</v>
      </c>
      <c r="O2117" t="s">
        <v>151</v>
      </c>
      <c r="P2117">
        <v>34</v>
      </c>
      <c r="Q2117" t="s">
        <v>156</v>
      </c>
    </row>
    <row r="2118" spans="1:17" x14ac:dyDescent="0.2">
      <c r="A2118">
        <v>1437873</v>
      </c>
      <c r="B2118">
        <v>493</v>
      </c>
      <c r="C2118" s="1" t="s">
        <v>99</v>
      </c>
      <c r="D2118" s="11">
        <v>45052.993750000001</v>
      </c>
      <c r="E2118" t="s">
        <v>98</v>
      </c>
      <c r="F2118" t="s">
        <v>24</v>
      </c>
      <c r="G2118">
        <v>5373</v>
      </c>
      <c r="H2118" s="5" t="s">
        <v>99</v>
      </c>
      <c r="I2118" s="15">
        <v>45052</v>
      </c>
      <c r="J2118" s="15" t="s">
        <v>233</v>
      </c>
      <c r="K2118" s="6">
        <v>0.49375000000000002</v>
      </c>
      <c r="L2118" t="s">
        <v>143</v>
      </c>
      <c r="M2118">
        <v>200000</v>
      </c>
      <c r="N2118" t="s">
        <v>214</v>
      </c>
      <c r="O2118" t="s">
        <v>152</v>
      </c>
      <c r="P2118">
        <v>82</v>
      </c>
      <c r="Q2118" t="s">
        <v>154</v>
      </c>
    </row>
    <row r="2119" spans="1:17" x14ac:dyDescent="0.2">
      <c r="A2119">
        <v>1438232</v>
      </c>
      <c r="B2119">
        <v>1388</v>
      </c>
      <c r="C2119" s="1" t="s">
        <v>106</v>
      </c>
      <c r="D2119" s="11">
        <v>45016.033333333333</v>
      </c>
      <c r="E2119" t="s">
        <v>191</v>
      </c>
      <c r="F2119" t="s">
        <v>18</v>
      </c>
      <c r="G2119">
        <v>8781</v>
      </c>
      <c r="H2119" s="5" t="s">
        <v>106</v>
      </c>
      <c r="I2119" s="15">
        <v>45016</v>
      </c>
      <c r="J2119" s="15" t="s">
        <v>232</v>
      </c>
      <c r="K2119" s="6">
        <v>0.53333333333333333</v>
      </c>
      <c r="L2119" t="s">
        <v>145</v>
      </c>
      <c r="M2119">
        <v>200000</v>
      </c>
      <c r="N2119" t="s">
        <v>210</v>
      </c>
      <c r="O2119" t="s">
        <v>152</v>
      </c>
      <c r="P2119">
        <v>65</v>
      </c>
      <c r="Q2119" t="s">
        <v>156</v>
      </c>
    </row>
    <row r="2120" spans="1:17" x14ac:dyDescent="0.2">
      <c r="A2120">
        <v>1438726</v>
      </c>
      <c r="B2120">
        <v>1037</v>
      </c>
      <c r="C2120" s="1" t="s">
        <v>113</v>
      </c>
      <c r="D2120" s="11">
        <v>45194.001388888886</v>
      </c>
      <c r="E2120" t="s">
        <v>191</v>
      </c>
      <c r="F2120" t="s">
        <v>27</v>
      </c>
      <c r="G2120">
        <v>2991</v>
      </c>
      <c r="H2120" s="5" t="s">
        <v>113</v>
      </c>
      <c r="I2120" s="15">
        <v>45194</v>
      </c>
      <c r="J2120" s="15" t="s">
        <v>234</v>
      </c>
      <c r="K2120" s="6">
        <v>0.50138888888888888</v>
      </c>
      <c r="L2120" t="s">
        <v>142</v>
      </c>
      <c r="M2120">
        <v>1000000</v>
      </c>
      <c r="N2120" t="s">
        <v>209</v>
      </c>
      <c r="O2120" t="s">
        <v>152</v>
      </c>
      <c r="P2120">
        <v>21</v>
      </c>
      <c r="Q2120" t="s">
        <v>156</v>
      </c>
    </row>
    <row r="2121" spans="1:17" x14ac:dyDescent="0.2">
      <c r="A2121">
        <v>1438926</v>
      </c>
      <c r="B2121">
        <v>367</v>
      </c>
      <c r="C2121" s="1" t="s">
        <v>113</v>
      </c>
      <c r="D2121" s="11">
        <v>45042.943749999999</v>
      </c>
      <c r="E2121" t="s">
        <v>97</v>
      </c>
      <c r="F2121" t="s">
        <v>5</v>
      </c>
      <c r="G2121">
        <v>3956</v>
      </c>
      <c r="H2121" s="5" t="s">
        <v>113</v>
      </c>
      <c r="I2121" s="15">
        <v>45042</v>
      </c>
      <c r="J2121" s="15" t="s">
        <v>233</v>
      </c>
      <c r="K2121" s="6">
        <v>0.44374999999999998</v>
      </c>
      <c r="L2121" t="s">
        <v>143</v>
      </c>
      <c r="M2121">
        <v>200000</v>
      </c>
      <c r="N2121" t="s">
        <v>198</v>
      </c>
      <c r="O2121" t="s">
        <v>151</v>
      </c>
      <c r="P2121">
        <v>23</v>
      </c>
      <c r="Q2121" t="s">
        <v>154</v>
      </c>
    </row>
    <row r="2122" spans="1:17" x14ac:dyDescent="0.2">
      <c r="A2122">
        <v>1439951</v>
      </c>
      <c r="B2122">
        <v>1852</v>
      </c>
      <c r="C2122" s="1" t="s">
        <v>107</v>
      </c>
      <c r="D2122" s="11">
        <v>45146.980555555558</v>
      </c>
      <c r="E2122" t="s">
        <v>191</v>
      </c>
      <c r="F2122" t="s">
        <v>16</v>
      </c>
      <c r="G2122">
        <v>1905</v>
      </c>
      <c r="H2122" s="5" t="s">
        <v>107</v>
      </c>
      <c r="I2122" s="15">
        <v>45146</v>
      </c>
      <c r="J2122" s="15" t="s">
        <v>234</v>
      </c>
      <c r="K2122" s="6">
        <v>0.48055555555555557</v>
      </c>
      <c r="L2122" t="s">
        <v>142</v>
      </c>
      <c r="M2122">
        <v>80000</v>
      </c>
      <c r="N2122" t="s">
        <v>208</v>
      </c>
      <c r="O2122" t="s">
        <v>151</v>
      </c>
      <c r="P2122">
        <v>87</v>
      </c>
      <c r="Q2122" t="s">
        <v>157</v>
      </c>
    </row>
    <row r="2123" spans="1:17" x14ac:dyDescent="0.2">
      <c r="A2123">
        <v>1440438</v>
      </c>
      <c r="B2123">
        <v>531</v>
      </c>
      <c r="C2123" s="1" t="s">
        <v>99</v>
      </c>
      <c r="D2123" s="11">
        <v>44931.04791666667</v>
      </c>
      <c r="E2123" t="s">
        <v>98</v>
      </c>
      <c r="F2123" t="s">
        <v>74</v>
      </c>
      <c r="G2123">
        <v>1288</v>
      </c>
      <c r="H2123" s="5" t="s">
        <v>99</v>
      </c>
      <c r="I2123" s="15">
        <v>44931</v>
      </c>
      <c r="J2123" s="15" t="s">
        <v>232</v>
      </c>
      <c r="K2123" s="6">
        <v>4.791666666666667E-2</v>
      </c>
      <c r="L2123" t="s">
        <v>145</v>
      </c>
      <c r="M2123">
        <v>150000</v>
      </c>
      <c r="N2123" t="s">
        <v>226</v>
      </c>
      <c r="O2123" t="s">
        <v>152</v>
      </c>
      <c r="P2123">
        <v>43</v>
      </c>
      <c r="Q2123" t="s">
        <v>155</v>
      </c>
    </row>
    <row r="2124" spans="1:17" x14ac:dyDescent="0.2">
      <c r="A2124">
        <v>1440486</v>
      </c>
      <c r="B2124">
        <v>898</v>
      </c>
      <c r="C2124" s="1" t="s">
        <v>99</v>
      </c>
      <c r="D2124" s="11">
        <v>45253.019444444442</v>
      </c>
      <c r="E2124" t="s">
        <v>98</v>
      </c>
      <c r="F2124" t="s">
        <v>70</v>
      </c>
      <c r="G2124">
        <v>7417</v>
      </c>
      <c r="H2124" s="5" t="s">
        <v>99</v>
      </c>
      <c r="I2124" s="15">
        <v>45253</v>
      </c>
      <c r="J2124" s="15" t="s">
        <v>295</v>
      </c>
      <c r="K2124" s="6">
        <v>0.51944444444444449</v>
      </c>
      <c r="L2124" t="s">
        <v>143</v>
      </c>
      <c r="M2124">
        <v>100000</v>
      </c>
      <c r="N2124" t="s">
        <v>205</v>
      </c>
      <c r="O2124" t="s">
        <v>151</v>
      </c>
      <c r="P2124">
        <v>64</v>
      </c>
      <c r="Q2124" t="s">
        <v>155</v>
      </c>
    </row>
    <row r="2125" spans="1:17" x14ac:dyDescent="0.2">
      <c r="A2125">
        <v>1441153</v>
      </c>
      <c r="B2125">
        <v>1510</v>
      </c>
      <c r="C2125" s="1" t="s">
        <v>103</v>
      </c>
      <c r="D2125" s="11">
        <v>45213.027083333334</v>
      </c>
      <c r="E2125" t="s">
        <v>97</v>
      </c>
      <c r="F2125" t="s">
        <v>71</v>
      </c>
      <c r="G2125">
        <v>3392</v>
      </c>
      <c r="H2125" s="5" t="s">
        <v>103</v>
      </c>
      <c r="I2125" s="15">
        <v>45213</v>
      </c>
      <c r="J2125" s="15" t="s">
        <v>295</v>
      </c>
      <c r="K2125" s="6">
        <v>0.52708333333333335</v>
      </c>
      <c r="L2125" t="s">
        <v>145</v>
      </c>
      <c r="M2125">
        <v>150000</v>
      </c>
      <c r="N2125" t="s">
        <v>226</v>
      </c>
      <c r="O2125" t="s">
        <v>151</v>
      </c>
      <c r="P2125">
        <v>23</v>
      </c>
      <c r="Q2125" t="s">
        <v>157</v>
      </c>
    </row>
    <row r="2126" spans="1:17" x14ac:dyDescent="0.2">
      <c r="A2126">
        <v>1441631</v>
      </c>
      <c r="B2126">
        <v>1359</v>
      </c>
      <c r="C2126" s="1" t="s">
        <v>99</v>
      </c>
      <c r="D2126" s="11">
        <v>45063.035416666666</v>
      </c>
      <c r="E2126" t="s">
        <v>98</v>
      </c>
      <c r="F2126" t="s">
        <v>43</v>
      </c>
      <c r="G2126">
        <v>6438</v>
      </c>
      <c r="H2126" s="5" t="s">
        <v>99</v>
      </c>
      <c r="I2126" s="15">
        <v>45063</v>
      </c>
      <c r="J2126" s="15" t="s">
        <v>233</v>
      </c>
      <c r="K2126" s="6">
        <v>0.53541666666666665</v>
      </c>
      <c r="L2126" t="s">
        <v>145</v>
      </c>
      <c r="M2126">
        <v>1000000</v>
      </c>
      <c r="N2126" t="s">
        <v>203</v>
      </c>
      <c r="O2126" t="s">
        <v>151</v>
      </c>
      <c r="P2126">
        <v>78</v>
      </c>
      <c r="Q2126" t="s">
        <v>156</v>
      </c>
    </row>
    <row r="2127" spans="1:17" x14ac:dyDescent="0.2">
      <c r="A2127">
        <v>1441698</v>
      </c>
      <c r="B2127">
        <v>118</v>
      </c>
      <c r="C2127" s="1" t="s">
        <v>99</v>
      </c>
      <c r="D2127" s="11">
        <v>45052.994444444441</v>
      </c>
      <c r="E2127" t="s">
        <v>98</v>
      </c>
      <c r="F2127" t="s">
        <v>45</v>
      </c>
      <c r="G2127">
        <v>4154</v>
      </c>
      <c r="H2127" s="5" t="s">
        <v>99</v>
      </c>
      <c r="I2127" s="15">
        <v>45052</v>
      </c>
      <c r="J2127" s="15" t="s">
        <v>233</v>
      </c>
      <c r="K2127" s="6">
        <v>0.49444444444444446</v>
      </c>
      <c r="L2127" t="s">
        <v>142</v>
      </c>
      <c r="M2127">
        <v>100000</v>
      </c>
      <c r="N2127" t="s">
        <v>197</v>
      </c>
      <c r="O2127" t="s">
        <v>152</v>
      </c>
      <c r="P2127">
        <v>25</v>
      </c>
      <c r="Q2127" t="s">
        <v>154</v>
      </c>
    </row>
    <row r="2128" spans="1:17" x14ac:dyDescent="0.2">
      <c r="A2128">
        <v>1443406</v>
      </c>
      <c r="B2128">
        <v>1141</v>
      </c>
      <c r="C2128" s="1" t="s">
        <v>100</v>
      </c>
      <c r="D2128" s="11">
        <v>45131.054861111108</v>
      </c>
      <c r="E2128" t="s">
        <v>191</v>
      </c>
      <c r="F2128" t="s">
        <v>8</v>
      </c>
      <c r="G2128">
        <v>8328</v>
      </c>
      <c r="H2128" s="5" t="s">
        <v>100</v>
      </c>
      <c r="I2128" s="15">
        <v>45131</v>
      </c>
      <c r="J2128" s="15" t="s">
        <v>234</v>
      </c>
      <c r="K2128" s="6">
        <v>5.486111111111111E-2</v>
      </c>
      <c r="L2128" t="s">
        <v>142</v>
      </c>
      <c r="M2128">
        <v>200000</v>
      </c>
      <c r="N2128" t="s">
        <v>201</v>
      </c>
      <c r="O2128" t="s">
        <v>151</v>
      </c>
      <c r="P2128">
        <v>60</v>
      </c>
      <c r="Q2128" t="s">
        <v>156</v>
      </c>
    </row>
    <row r="2129" spans="1:17" x14ac:dyDescent="0.2">
      <c r="A2129">
        <v>1443815</v>
      </c>
      <c r="B2129">
        <v>623</v>
      </c>
      <c r="C2129" s="1" t="s">
        <v>113</v>
      </c>
      <c r="D2129" s="11">
        <v>44952.998611111114</v>
      </c>
      <c r="E2129" t="s">
        <v>97</v>
      </c>
      <c r="F2129" t="s">
        <v>46</v>
      </c>
      <c r="G2129">
        <v>9333</v>
      </c>
      <c r="H2129" s="5" t="s">
        <v>113</v>
      </c>
      <c r="I2129" s="15">
        <v>44952</v>
      </c>
      <c r="J2129" s="15" t="s">
        <v>232</v>
      </c>
      <c r="K2129" s="6">
        <v>0.49861111111111112</v>
      </c>
      <c r="L2129" t="s">
        <v>142</v>
      </c>
      <c r="M2129">
        <v>200000</v>
      </c>
      <c r="N2129" t="s">
        <v>211</v>
      </c>
      <c r="O2129" t="s">
        <v>152</v>
      </c>
      <c r="P2129">
        <v>80</v>
      </c>
      <c r="Q2129" t="s">
        <v>155</v>
      </c>
    </row>
    <row r="2130" spans="1:17" x14ac:dyDescent="0.2">
      <c r="A2130">
        <v>1444534</v>
      </c>
      <c r="B2130">
        <v>1217</v>
      </c>
      <c r="C2130" s="1" t="s">
        <v>99</v>
      </c>
      <c r="D2130" s="11">
        <v>45274.027777777781</v>
      </c>
      <c r="E2130" t="s">
        <v>191</v>
      </c>
      <c r="F2130" t="s">
        <v>10</v>
      </c>
      <c r="G2130">
        <v>4597</v>
      </c>
      <c r="H2130" s="5" t="s">
        <v>99</v>
      </c>
      <c r="I2130" s="15">
        <v>45274</v>
      </c>
      <c r="J2130" s="15" t="s">
        <v>295</v>
      </c>
      <c r="K2130" s="6">
        <v>0.52777777777777779</v>
      </c>
      <c r="L2130" t="s">
        <v>145</v>
      </c>
      <c r="M2130">
        <v>150000</v>
      </c>
      <c r="N2130" t="s">
        <v>203</v>
      </c>
      <c r="O2130" t="s">
        <v>152</v>
      </c>
      <c r="P2130">
        <v>68</v>
      </c>
      <c r="Q2130" t="s">
        <v>156</v>
      </c>
    </row>
    <row r="2131" spans="1:17" x14ac:dyDescent="0.2">
      <c r="A2131">
        <v>1444921</v>
      </c>
      <c r="B2131">
        <v>973</v>
      </c>
      <c r="C2131" s="1" t="s">
        <v>99</v>
      </c>
      <c r="D2131" s="11">
        <v>45186.009027777778</v>
      </c>
      <c r="E2131" t="s">
        <v>97</v>
      </c>
      <c r="F2131" t="s">
        <v>72</v>
      </c>
      <c r="G2131">
        <v>7329</v>
      </c>
      <c r="H2131" s="5" t="s">
        <v>99</v>
      </c>
      <c r="I2131" s="15">
        <v>45186</v>
      </c>
      <c r="J2131" s="15" t="s">
        <v>234</v>
      </c>
      <c r="K2131" s="6">
        <v>0.50902777777777775</v>
      </c>
      <c r="L2131" t="s">
        <v>143</v>
      </c>
      <c r="M2131">
        <v>150000</v>
      </c>
      <c r="N2131" t="s">
        <v>223</v>
      </c>
      <c r="O2131" t="s">
        <v>151</v>
      </c>
      <c r="P2131">
        <v>50</v>
      </c>
      <c r="Q2131" t="s">
        <v>155</v>
      </c>
    </row>
    <row r="2132" spans="1:17" x14ac:dyDescent="0.2">
      <c r="A2132">
        <v>1445405</v>
      </c>
      <c r="B2132">
        <v>226</v>
      </c>
      <c r="C2132" s="1" t="s">
        <v>99</v>
      </c>
      <c r="D2132" s="11">
        <v>45042.047222222223</v>
      </c>
      <c r="E2132" t="s">
        <v>98</v>
      </c>
      <c r="F2132" t="s">
        <v>13</v>
      </c>
      <c r="G2132">
        <v>4037</v>
      </c>
      <c r="H2132" s="5" t="s">
        <v>99</v>
      </c>
      <c r="I2132" s="15">
        <v>45042</v>
      </c>
      <c r="J2132" s="15" t="s">
        <v>233</v>
      </c>
      <c r="K2132" s="6">
        <v>4.7222222222222221E-2</v>
      </c>
      <c r="L2132" t="s">
        <v>143</v>
      </c>
      <c r="M2132">
        <v>150000</v>
      </c>
      <c r="N2132" t="s">
        <v>206</v>
      </c>
      <c r="O2132" t="s">
        <v>151</v>
      </c>
      <c r="P2132">
        <v>31</v>
      </c>
      <c r="Q2132" t="s">
        <v>154</v>
      </c>
    </row>
    <row r="2133" spans="1:17" x14ac:dyDescent="0.2">
      <c r="A2133">
        <v>1445568</v>
      </c>
      <c r="B2133">
        <v>550</v>
      </c>
      <c r="C2133" s="1" t="s">
        <v>99</v>
      </c>
      <c r="D2133" s="11">
        <v>45130.094444444447</v>
      </c>
      <c r="E2133" t="s">
        <v>97</v>
      </c>
      <c r="F2133" t="s">
        <v>73</v>
      </c>
      <c r="G2133">
        <v>3612</v>
      </c>
      <c r="H2133" s="5" t="s">
        <v>99</v>
      </c>
      <c r="I2133" s="15">
        <v>45130</v>
      </c>
      <c r="J2133" s="15" t="s">
        <v>234</v>
      </c>
      <c r="K2133" s="6">
        <v>9.4444444444444442E-2</v>
      </c>
      <c r="L2133" t="s">
        <v>146</v>
      </c>
      <c r="M2133">
        <v>150000</v>
      </c>
      <c r="N2133" t="s">
        <v>222</v>
      </c>
      <c r="O2133" t="s">
        <v>151</v>
      </c>
      <c r="P2133">
        <v>31</v>
      </c>
      <c r="Q2133" t="s">
        <v>155</v>
      </c>
    </row>
    <row r="2134" spans="1:17" x14ac:dyDescent="0.2">
      <c r="A2134">
        <v>1446428</v>
      </c>
      <c r="B2134">
        <v>1271</v>
      </c>
      <c r="C2134" s="1" t="s">
        <v>100</v>
      </c>
      <c r="D2134" s="11">
        <v>45291.981944444444</v>
      </c>
      <c r="E2134" t="s">
        <v>96</v>
      </c>
      <c r="F2134" t="s">
        <v>52</v>
      </c>
      <c r="G2134">
        <v>4354</v>
      </c>
      <c r="H2134" s="5" t="s">
        <v>100</v>
      </c>
      <c r="I2134" s="15">
        <v>45291</v>
      </c>
      <c r="J2134" s="15" t="s">
        <v>295</v>
      </c>
      <c r="K2134" s="6">
        <v>0.48194444444444445</v>
      </c>
      <c r="L2134" t="s">
        <v>143</v>
      </c>
      <c r="M2134">
        <v>100000</v>
      </c>
      <c r="N2134" t="s">
        <v>206</v>
      </c>
      <c r="O2134" t="s">
        <v>152</v>
      </c>
      <c r="P2134">
        <v>43</v>
      </c>
      <c r="Q2134" t="s">
        <v>156</v>
      </c>
    </row>
    <row r="2135" spans="1:17" x14ac:dyDescent="0.2">
      <c r="A2135">
        <v>1448149</v>
      </c>
      <c r="B2135">
        <v>340</v>
      </c>
      <c r="C2135" s="1" t="s">
        <v>100</v>
      </c>
      <c r="D2135" s="11">
        <v>45058.990972222222</v>
      </c>
      <c r="E2135" t="s">
        <v>191</v>
      </c>
      <c r="F2135" t="s">
        <v>13</v>
      </c>
      <c r="G2135">
        <v>8948</v>
      </c>
      <c r="H2135" s="5" t="s">
        <v>100</v>
      </c>
      <c r="I2135" s="15">
        <v>45058</v>
      </c>
      <c r="J2135" s="15" t="s">
        <v>233</v>
      </c>
      <c r="K2135" s="6">
        <v>0.4909722222222222</v>
      </c>
      <c r="L2135" t="s">
        <v>143</v>
      </c>
      <c r="M2135">
        <v>150000</v>
      </c>
      <c r="N2135" t="s">
        <v>206</v>
      </c>
      <c r="O2135" t="s">
        <v>151</v>
      </c>
      <c r="P2135">
        <v>68</v>
      </c>
      <c r="Q2135" t="s">
        <v>154</v>
      </c>
    </row>
    <row r="2136" spans="1:17" x14ac:dyDescent="0.2">
      <c r="A2136">
        <v>1448694</v>
      </c>
      <c r="B2136">
        <v>75</v>
      </c>
      <c r="C2136" s="1" t="s">
        <v>101</v>
      </c>
      <c r="D2136" s="11">
        <v>45068.98541666667</v>
      </c>
      <c r="E2136" t="s">
        <v>97</v>
      </c>
      <c r="F2136" t="s">
        <v>62</v>
      </c>
      <c r="G2136">
        <v>1873</v>
      </c>
      <c r="H2136" s="5" t="s">
        <v>101</v>
      </c>
      <c r="I2136" s="15">
        <v>45068</v>
      </c>
      <c r="J2136" s="15" t="s">
        <v>233</v>
      </c>
      <c r="K2136" s="6">
        <v>0.48541666666666666</v>
      </c>
      <c r="L2136" t="s">
        <v>145</v>
      </c>
      <c r="M2136">
        <v>100000</v>
      </c>
      <c r="N2136" t="s">
        <v>217</v>
      </c>
      <c r="O2136" t="s">
        <v>152</v>
      </c>
      <c r="P2136">
        <v>36</v>
      </c>
      <c r="Q2136" t="s">
        <v>154</v>
      </c>
    </row>
    <row r="2137" spans="1:17" x14ac:dyDescent="0.2">
      <c r="A2137">
        <v>1448727</v>
      </c>
      <c r="B2137">
        <v>1583</v>
      </c>
      <c r="C2137" s="1" t="s">
        <v>106</v>
      </c>
      <c r="D2137" s="11">
        <v>44951.078472222223</v>
      </c>
      <c r="E2137" t="s">
        <v>191</v>
      </c>
      <c r="F2137" t="s">
        <v>75</v>
      </c>
      <c r="G2137">
        <v>8355</v>
      </c>
      <c r="H2137" s="5" t="s">
        <v>106</v>
      </c>
      <c r="I2137" s="15">
        <v>44951</v>
      </c>
      <c r="J2137" s="15" t="s">
        <v>232</v>
      </c>
      <c r="K2137" s="6">
        <v>7.8472222222222221E-2</v>
      </c>
      <c r="L2137" t="s">
        <v>143</v>
      </c>
      <c r="M2137">
        <v>50000</v>
      </c>
      <c r="N2137" t="s">
        <v>205</v>
      </c>
      <c r="O2137" t="s">
        <v>152</v>
      </c>
      <c r="P2137">
        <v>73</v>
      </c>
      <c r="Q2137" t="s">
        <v>157</v>
      </c>
    </row>
    <row r="2138" spans="1:17" x14ac:dyDescent="0.2">
      <c r="A2138">
        <v>1449298</v>
      </c>
      <c r="B2138">
        <v>1511</v>
      </c>
      <c r="C2138" s="1" t="s">
        <v>99</v>
      </c>
      <c r="D2138" s="11">
        <v>45103.061805555553</v>
      </c>
      <c r="E2138" t="s">
        <v>98</v>
      </c>
      <c r="F2138" t="s">
        <v>73</v>
      </c>
      <c r="G2138">
        <v>837</v>
      </c>
      <c r="H2138" s="5" t="s">
        <v>99</v>
      </c>
      <c r="I2138" s="15">
        <v>45103</v>
      </c>
      <c r="J2138" s="15" t="s">
        <v>233</v>
      </c>
      <c r="K2138" s="6">
        <v>6.1805555555555558E-2</v>
      </c>
      <c r="L2138" t="s">
        <v>146</v>
      </c>
      <c r="M2138">
        <v>150000</v>
      </c>
      <c r="N2138" t="s">
        <v>222</v>
      </c>
      <c r="O2138" t="s">
        <v>151</v>
      </c>
      <c r="P2138">
        <v>19</v>
      </c>
      <c r="Q2138" t="s">
        <v>157</v>
      </c>
    </row>
    <row r="2139" spans="1:17" x14ac:dyDescent="0.2">
      <c r="A2139">
        <v>1449763</v>
      </c>
      <c r="B2139">
        <v>465</v>
      </c>
      <c r="C2139" s="1" t="s">
        <v>99</v>
      </c>
      <c r="D2139" s="11">
        <v>44997.046527777777</v>
      </c>
      <c r="E2139" t="s">
        <v>97</v>
      </c>
      <c r="F2139" t="s">
        <v>20</v>
      </c>
      <c r="G2139">
        <v>425</v>
      </c>
      <c r="H2139" s="5" t="s">
        <v>99</v>
      </c>
      <c r="I2139" s="15">
        <v>44997</v>
      </c>
      <c r="J2139" s="15" t="s">
        <v>232</v>
      </c>
      <c r="K2139" s="6">
        <v>4.6527777777777779E-2</v>
      </c>
      <c r="L2139" t="s">
        <v>146</v>
      </c>
      <c r="M2139">
        <v>150000</v>
      </c>
      <c r="N2139" t="s">
        <v>212</v>
      </c>
      <c r="O2139" t="s">
        <v>151</v>
      </c>
      <c r="P2139">
        <v>49</v>
      </c>
      <c r="Q2139" t="s">
        <v>154</v>
      </c>
    </row>
    <row r="2140" spans="1:17" x14ac:dyDescent="0.2">
      <c r="A2140">
        <v>1449820</v>
      </c>
      <c r="B2140">
        <v>1828</v>
      </c>
      <c r="C2140" s="1" t="s">
        <v>102</v>
      </c>
      <c r="D2140" s="11">
        <v>45259.986111111109</v>
      </c>
      <c r="E2140" t="s">
        <v>96</v>
      </c>
      <c r="F2140" t="s">
        <v>72</v>
      </c>
      <c r="G2140">
        <v>1844</v>
      </c>
      <c r="H2140" s="5" t="s">
        <v>102</v>
      </c>
      <c r="I2140" s="15">
        <v>45259</v>
      </c>
      <c r="J2140" s="15" t="s">
        <v>295</v>
      </c>
      <c r="K2140" s="6">
        <v>0.4861111111111111</v>
      </c>
      <c r="L2140" t="s">
        <v>143</v>
      </c>
      <c r="M2140">
        <v>150000</v>
      </c>
      <c r="N2140" t="s">
        <v>223</v>
      </c>
      <c r="O2140" t="s">
        <v>152</v>
      </c>
      <c r="P2140">
        <v>51</v>
      </c>
      <c r="Q2140" t="s">
        <v>157</v>
      </c>
    </row>
    <row r="2141" spans="1:17" x14ac:dyDescent="0.2">
      <c r="A2141">
        <v>1449918</v>
      </c>
      <c r="B2141">
        <v>1881</v>
      </c>
      <c r="C2141" s="1" t="s">
        <v>100</v>
      </c>
      <c r="D2141" s="11">
        <v>45007.07708333333</v>
      </c>
      <c r="E2141" t="s">
        <v>98</v>
      </c>
      <c r="F2141" t="s">
        <v>83</v>
      </c>
      <c r="G2141">
        <v>8835</v>
      </c>
      <c r="H2141" s="5" t="s">
        <v>100</v>
      </c>
      <c r="I2141" s="15">
        <v>45007</v>
      </c>
      <c r="J2141" s="15" t="s">
        <v>232</v>
      </c>
      <c r="K2141" s="6">
        <v>7.7083333333333337E-2</v>
      </c>
      <c r="L2141" t="s">
        <v>143</v>
      </c>
      <c r="M2141">
        <v>200000</v>
      </c>
      <c r="N2141" t="s">
        <v>206</v>
      </c>
      <c r="O2141" t="s">
        <v>152</v>
      </c>
      <c r="P2141">
        <v>83</v>
      </c>
      <c r="Q2141" t="s">
        <v>157</v>
      </c>
    </row>
    <row r="2142" spans="1:17" x14ac:dyDescent="0.2">
      <c r="A2142">
        <v>1452068</v>
      </c>
      <c r="B2142">
        <v>658</v>
      </c>
      <c r="C2142" s="1" t="s">
        <v>113</v>
      </c>
      <c r="D2142" s="11">
        <v>45199.05972222222</v>
      </c>
      <c r="E2142" t="s">
        <v>98</v>
      </c>
      <c r="F2142" t="s">
        <v>49</v>
      </c>
      <c r="G2142">
        <v>1299</v>
      </c>
      <c r="H2142" s="5" t="s">
        <v>113</v>
      </c>
      <c r="I2142" s="15">
        <v>45199</v>
      </c>
      <c r="J2142" s="15" t="s">
        <v>234</v>
      </c>
      <c r="K2142" s="6">
        <v>5.9722222222222225E-2</v>
      </c>
      <c r="L2142" t="s">
        <v>146</v>
      </c>
      <c r="M2142">
        <v>100000</v>
      </c>
      <c r="N2142" t="s">
        <v>222</v>
      </c>
      <c r="O2142" t="s">
        <v>151</v>
      </c>
      <c r="P2142">
        <v>42</v>
      </c>
      <c r="Q2142" t="s">
        <v>155</v>
      </c>
    </row>
    <row r="2143" spans="1:17" x14ac:dyDescent="0.2">
      <c r="A2143">
        <v>1452251</v>
      </c>
      <c r="B2143">
        <v>1276</v>
      </c>
      <c r="C2143" s="1" t="s">
        <v>100</v>
      </c>
      <c r="D2143" s="11">
        <v>45009.95416666667</v>
      </c>
      <c r="E2143" t="s">
        <v>96</v>
      </c>
      <c r="F2143" t="s">
        <v>5</v>
      </c>
      <c r="G2143">
        <v>9140</v>
      </c>
      <c r="H2143" s="5" t="s">
        <v>100</v>
      </c>
      <c r="I2143" s="15">
        <v>45009</v>
      </c>
      <c r="J2143" s="15" t="s">
        <v>232</v>
      </c>
      <c r="K2143" s="6">
        <v>0.45416666666666666</v>
      </c>
      <c r="L2143" t="s">
        <v>143</v>
      </c>
      <c r="M2143">
        <v>200000</v>
      </c>
      <c r="N2143" t="s">
        <v>198</v>
      </c>
      <c r="O2143" t="s">
        <v>151</v>
      </c>
      <c r="P2143">
        <v>88</v>
      </c>
      <c r="Q2143" t="s">
        <v>156</v>
      </c>
    </row>
    <row r="2144" spans="1:17" x14ac:dyDescent="0.2">
      <c r="A2144">
        <v>1453632</v>
      </c>
      <c r="B2144">
        <v>26</v>
      </c>
      <c r="C2144" s="1" t="s">
        <v>100</v>
      </c>
      <c r="D2144" s="11">
        <v>45071.03402777778</v>
      </c>
      <c r="E2144" t="s">
        <v>97</v>
      </c>
      <c r="F2144" t="s">
        <v>27</v>
      </c>
      <c r="G2144">
        <v>1681</v>
      </c>
      <c r="H2144" s="5" t="s">
        <v>100</v>
      </c>
      <c r="I2144" s="15">
        <v>45071</v>
      </c>
      <c r="J2144" s="15" t="s">
        <v>233</v>
      </c>
      <c r="K2144" s="6">
        <v>0.53402777777777777</v>
      </c>
      <c r="L2144" t="s">
        <v>142</v>
      </c>
      <c r="M2144">
        <v>1000000</v>
      </c>
      <c r="N2144" t="s">
        <v>209</v>
      </c>
      <c r="O2144" t="s">
        <v>151</v>
      </c>
      <c r="P2144">
        <v>27</v>
      </c>
      <c r="Q2144" t="s">
        <v>154</v>
      </c>
    </row>
    <row r="2145" spans="1:17" x14ac:dyDescent="0.2">
      <c r="A2145">
        <v>1453804</v>
      </c>
      <c r="B2145">
        <v>727</v>
      </c>
      <c r="C2145" s="1" t="s">
        <v>100</v>
      </c>
      <c r="D2145" s="11">
        <v>44941.941666666666</v>
      </c>
      <c r="E2145" t="s">
        <v>97</v>
      </c>
      <c r="F2145" t="s">
        <v>77</v>
      </c>
      <c r="G2145">
        <v>9801</v>
      </c>
      <c r="H2145" s="5" t="s">
        <v>100</v>
      </c>
      <c r="I2145" s="15">
        <v>44941</v>
      </c>
      <c r="J2145" s="15" t="s">
        <v>232</v>
      </c>
      <c r="K2145" s="6">
        <v>0.44166666666666665</v>
      </c>
      <c r="L2145" t="s">
        <v>146</v>
      </c>
      <c r="M2145">
        <v>100000</v>
      </c>
      <c r="N2145" t="s">
        <v>222</v>
      </c>
      <c r="O2145" t="s">
        <v>151</v>
      </c>
      <c r="P2145">
        <v>64</v>
      </c>
      <c r="Q2145" t="s">
        <v>155</v>
      </c>
    </row>
    <row r="2146" spans="1:17" x14ac:dyDescent="0.2">
      <c r="A2146">
        <v>1454237</v>
      </c>
      <c r="B2146">
        <v>604</v>
      </c>
      <c r="C2146" s="1" t="s">
        <v>104</v>
      </c>
      <c r="D2146" s="11">
        <v>45250.027777777781</v>
      </c>
      <c r="E2146" t="s">
        <v>97</v>
      </c>
      <c r="F2146" t="s">
        <v>27</v>
      </c>
      <c r="G2146">
        <v>8617</v>
      </c>
      <c r="H2146" s="5" t="s">
        <v>104</v>
      </c>
      <c r="I2146" s="15">
        <v>45250</v>
      </c>
      <c r="J2146" s="15" t="s">
        <v>295</v>
      </c>
      <c r="K2146" s="6">
        <v>0.52777777777777779</v>
      </c>
      <c r="L2146" t="s">
        <v>142</v>
      </c>
      <c r="M2146">
        <v>1000000</v>
      </c>
      <c r="N2146" t="s">
        <v>209</v>
      </c>
      <c r="O2146" t="s">
        <v>152</v>
      </c>
      <c r="P2146">
        <v>85</v>
      </c>
      <c r="Q2146" t="s">
        <v>155</v>
      </c>
    </row>
    <row r="2147" spans="1:17" x14ac:dyDescent="0.2">
      <c r="A2147">
        <v>1454722</v>
      </c>
      <c r="B2147">
        <v>557</v>
      </c>
      <c r="C2147" s="1" t="s">
        <v>109</v>
      </c>
      <c r="D2147" s="11">
        <v>45091.035416666666</v>
      </c>
      <c r="E2147" t="s">
        <v>96</v>
      </c>
      <c r="F2147" t="s">
        <v>43</v>
      </c>
      <c r="G2147">
        <v>7460</v>
      </c>
      <c r="H2147" s="5" t="s">
        <v>109</v>
      </c>
      <c r="I2147" s="15">
        <v>45091</v>
      </c>
      <c r="J2147" s="15" t="s">
        <v>233</v>
      </c>
      <c r="K2147" s="6">
        <v>0.53541666666666665</v>
      </c>
      <c r="L2147" t="s">
        <v>145</v>
      </c>
      <c r="M2147">
        <v>1000000</v>
      </c>
      <c r="N2147" t="s">
        <v>203</v>
      </c>
      <c r="O2147" t="s">
        <v>151</v>
      </c>
      <c r="P2147">
        <v>84</v>
      </c>
      <c r="Q2147" t="s">
        <v>155</v>
      </c>
    </row>
    <row r="2148" spans="1:17" x14ac:dyDescent="0.2">
      <c r="A2148">
        <v>1454915</v>
      </c>
      <c r="B2148">
        <v>1109</v>
      </c>
      <c r="C2148" s="1" t="s">
        <v>113</v>
      </c>
      <c r="D2148" s="11">
        <v>45195.986111111109</v>
      </c>
      <c r="E2148" t="s">
        <v>191</v>
      </c>
      <c r="F2148" t="s">
        <v>21</v>
      </c>
      <c r="G2148">
        <v>5760</v>
      </c>
      <c r="H2148" s="5" t="s">
        <v>113</v>
      </c>
      <c r="I2148" s="15">
        <v>45195</v>
      </c>
      <c r="J2148" s="15" t="s">
        <v>234</v>
      </c>
      <c r="K2148" s="6">
        <v>0.4861111111111111</v>
      </c>
      <c r="L2148" t="s">
        <v>142</v>
      </c>
      <c r="M2148">
        <v>150000</v>
      </c>
      <c r="N2148" t="s">
        <v>211</v>
      </c>
      <c r="O2148" t="s">
        <v>152</v>
      </c>
      <c r="P2148">
        <v>86</v>
      </c>
      <c r="Q2148" t="s">
        <v>156</v>
      </c>
    </row>
    <row r="2149" spans="1:17" x14ac:dyDescent="0.2">
      <c r="A2149">
        <v>1455334</v>
      </c>
      <c r="B2149">
        <v>1735</v>
      </c>
      <c r="C2149" s="1" t="s">
        <v>102</v>
      </c>
      <c r="D2149" s="11">
        <v>45266.006944444445</v>
      </c>
      <c r="E2149" t="s">
        <v>191</v>
      </c>
      <c r="F2149" t="s">
        <v>66</v>
      </c>
      <c r="G2149">
        <v>8911</v>
      </c>
      <c r="H2149" s="5" t="s">
        <v>102</v>
      </c>
      <c r="I2149" s="15">
        <v>45266</v>
      </c>
      <c r="J2149" s="15" t="s">
        <v>295</v>
      </c>
      <c r="K2149" s="6">
        <v>0.50694444444444442</v>
      </c>
      <c r="L2149" t="s">
        <v>144</v>
      </c>
      <c r="M2149">
        <v>150000</v>
      </c>
      <c r="N2149" t="s">
        <v>224</v>
      </c>
      <c r="O2149" t="s">
        <v>151</v>
      </c>
      <c r="P2149">
        <v>76</v>
      </c>
      <c r="Q2149" t="s">
        <v>157</v>
      </c>
    </row>
    <row r="2150" spans="1:17" x14ac:dyDescent="0.2">
      <c r="A2150">
        <v>1456673</v>
      </c>
      <c r="B2150">
        <v>275</v>
      </c>
      <c r="C2150" s="1" t="s">
        <v>107</v>
      </c>
      <c r="D2150" s="11">
        <v>45113.006944444445</v>
      </c>
      <c r="E2150" t="s">
        <v>96</v>
      </c>
      <c r="F2150" t="s">
        <v>29</v>
      </c>
      <c r="G2150">
        <v>4862</v>
      </c>
      <c r="H2150" s="5" t="s">
        <v>107</v>
      </c>
      <c r="I2150" s="15">
        <v>45113</v>
      </c>
      <c r="J2150" s="15" t="s">
        <v>234</v>
      </c>
      <c r="K2150" s="6">
        <v>0.50694444444444442</v>
      </c>
      <c r="L2150" t="s">
        <v>143</v>
      </c>
      <c r="M2150">
        <v>150000</v>
      </c>
      <c r="N2150" t="s">
        <v>214</v>
      </c>
      <c r="O2150" t="s">
        <v>152</v>
      </c>
      <c r="P2150">
        <v>42</v>
      </c>
      <c r="Q2150" t="s">
        <v>154</v>
      </c>
    </row>
    <row r="2151" spans="1:17" x14ac:dyDescent="0.2">
      <c r="A2151">
        <v>1457155</v>
      </c>
      <c r="B2151">
        <v>418</v>
      </c>
      <c r="C2151" s="1" t="s">
        <v>106</v>
      </c>
      <c r="D2151" s="11">
        <v>45182.009027777778</v>
      </c>
      <c r="E2151" t="s">
        <v>98</v>
      </c>
      <c r="F2151" t="s">
        <v>9</v>
      </c>
      <c r="G2151">
        <v>2807</v>
      </c>
      <c r="H2151" s="5" t="s">
        <v>106</v>
      </c>
      <c r="I2151" s="15">
        <v>45182</v>
      </c>
      <c r="J2151" s="15" t="s">
        <v>234</v>
      </c>
      <c r="K2151" s="6">
        <v>0.50902777777777775</v>
      </c>
      <c r="L2151" t="s">
        <v>144</v>
      </c>
      <c r="M2151">
        <v>150000</v>
      </c>
      <c r="N2151" t="s">
        <v>202</v>
      </c>
      <c r="O2151" t="s">
        <v>152</v>
      </c>
      <c r="P2151">
        <v>22</v>
      </c>
      <c r="Q2151" t="s">
        <v>154</v>
      </c>
    </row>
    <row r="2152" spans="1:17" x14ac:dyDescent="0.2">
      <c r="A2152">
        <v>1459990</v>
      </c>
      <c r="B2152">
        <v>85</v>
      </c>
      <c r="C2152" s="1" t="s">
        <v>107</v>
      </c>
      <c r="D2152" s="11">
        <v>45098.979861111111</v>
      </c>
      <c r="E2152" t="s">
        <v>98</v>
      </c>
      <c r="F2152" t="s">
        <v>64</v>
      </c>
      <c r="G2152">
        <v>1384</v>
      </c>
      <c r="H2152" s="5" t="s">
        <v>107</v>
      </c>
      <c r="I2152" s="15">
        <v>45098</v>
      </c>
      <c r="J2152" s="15" t="s">
        <v>233</v>
      </c>
      <c r="K2152" s="6">
        <v>0.47986111111111113</v>
      </c>
      <c r="L2152" t="s">
        <v>143</v>
      </c>
      <c r="M2152">
        <v>100000</v>
      </c>
      <c r="N2152" t="s">
        <v>223</v>
      </c>
      <c r="O2152" t="s">
        <v>151</v>
      </c>
      <c r="P2152">
        <v>20</v>
      </c>
      <c r="Q2152" t="s">
        <v>154</v>
      </c>
    </row>
    <row r="2153" spans="1:17" x14ac:dyDescent="0.2">
      <c r="A2153">
        <v>1460179</v>
      </c>
      <c r="B2153">
        <v>331</v>
      </c>
      <c r="C2153" s="1" t="s">
        <v>106</v>
      </c>
      <c r="D2153" s="11">
        <v>45110.05</v>
      </c>
      <c r="E2153" t="s">
        <v>97</v>
      </c>
      <c r="F2153" t="s">
        <v>67</v>
      </c>
      <c r="G2153">
        <v>7781</v>
      </c>
      <c r="H2153" s="5" t="s">
        <v>106</v>
      </c>
      <c r="I2153" s="15">
        <v>45110</v>
      </c>
      <c r="J2153" s="15" t="s">
        <v>234</v>
      </c>
      <c r="K2153" s="6">
        <v>0.05</v>
      </c>
      <c r="L2153" t="s">
        <v>142</v>
      </c>
      <c r="M2153">
        <v>100000</v>
      </c>
      <c r="N2153" t="s">
        <v>213</v>
      </c>
      <c r="O2153" t="s">
        <v>151</v>
      </c>
      <c r="P2153">
        <v>24</v>
      </c>
      <c r="Q2153" t="s">
        <v>154</v>
      </c>
    </row>
    <row r="2154" spans="1:17" x14ac:dyDescent="0.2">
      <c r="A2154">
        <v>1460925</v>
      </c>
      <c r="B2154">
        <v>1141</v>
      </c>
      <c r="C2154" s="1" t="s">
        <v>100</v>
      </c>
      <c r="D2154" s="11">
        <v>44963.018750000003</v>
      </c>
      <c r="E2154" t="s">
        <v>97</v>
      </c>
      <c r="F2154" t="s">
        <v>53</v>
      </c>
      <c r="G2154">
        <v>2472</v>
      </c>
      <c r="H2154" s="5" t="s">
        <v>100</v>
      </c>
      <c r="I2154" s="15">
        <v>44963</v>
      </c>
      <c r="J2154" s="15" t="s">
        <v>232</v>
      </c>
      <c r="K2154" s="6">
        <v>0.51875000000000004</v>
      </c>
      <c r="L2154" t="s">
        <v>142</v>
      </c>
      <c r="M2154">
        <v>100000</v>
      </c>
      <c r="N2154" t="s">
        <v>207</v>
      </c>
      <c r="O2154" t="s">
        <v>151</v>
      </c>
      <c r="P2154">
        <v>60</v>
      </c>
      <c r="Q2154" t="s">
        <v>156</v>
      </c>
    </row>
    <row r="2155" spans="1:17" x14ac:dyDescent="0.2">
      <c r="A2155">
        <v>1461194</v>
      </c>
      <c r="B2155">
        <v>1262</v>
      </c>
      <c r="C2155" s="1" t="s">
        <v>99</v>
      </c>
      <c r="D2155" s="11">
        <v>45045.067361111112</v>
      </c>
      <c r="E2155" t="s">
        <v>97</v>
      </c>
      <c r="F2155" t="s">
        <v>85</v>
      </c>
      <c r="G2155">
        <v>9700</v>
      </c>
      <c r="H2155" s="5" t="s">
        <v>99</v>
      </c>
      <c r="I2155" s="15">
        <v>45045</v>
      </c>
      <c r="J2155" s="15" t="s">
        <v>233</v>
      </c>
      <c r="K2155" s="6">
        <v>6.7361111111111108E-2</v>
      </c>
      <c r="L2155" t="s">
        <v>146</v>
      </c>
      <c r="M2155">
        <v>100000</v>
      </c>
      <c r="N2155" t="s">
        <v>212</v>
      </c>
      <c r="O2155" t="s">
        <v>151</v>
      </c>
      <c r="P2155">
        <v>41</v>
      </c>
      <c r="Q2155" t="s">
        <v>156</v>
      </c>
    </row>
    <row r="2156" spans="1:17" x14ac:dyDescent="0.2">
      <c r="A2156">
        <v>1461613</v>
      </c>
      <c r="B2156">
        <v>1086</v>
      </c>
      <c r="C2156" s="1" t="s">
        <v>100</v>
      </c>
      <c r="D2156" s="11">
        <v>45226.97152777778</v>
      </c>
      <c r="E2156" t="s">
        <v>96</v>
      </c>
      <c r="F2156" t="s">
        <v>34</v>
      </c>
      <c r="G2156">
        <v>8282</v>
      </c>
      <c r="H2156" s="5" t="s">
        <v>100</v>
      </c>
      <c r="I2156" s="15">
        <v>45226</v>
      </c>
      <c r="J2156" s="15" t="s">
        <v>295</v>
      </c>
      <c r="K2156" s="6">
        <v>0.47152777777777777</v>
      </c>
      <c r="L2156" t="s">
        <v>144</v>
      </c>
      <c r="M2156">
        <v>150000</v>
      </c>
      <c r="N2156" t="s">
        <v>218</v>
      </c>
      <c r="O2156" t="s">
        <v>151</v>
      </c>
      <c r="P2156">
        <v>63</v>
      </c>
      <c r="Q2156" t="s">
        <v>156</v>
      </c>
    </row>
    <row r="2157" spans="1:17" x14ac:dyDescent="0.2">
      <c r="A2157">
        <v>1461756</v>
      </c>
      <c r="B2157">
        <v>1743</v>
      </c>
      <c r="C2157" s="1" t="s">
        <v>99</v>
      </c>
      <c r="D2157" s="11">
        <v>45098.015972222223</v>
      </c>
      <c r="E2157" t="s">
        <v>98</v>
      </c>
      <c r="F2157" t="s">
        <v>68</v>
      </c>
      <c r="G2157">
        <v>3339</v>
      </c>
      <c r="H2157" s="5" t="s">
        <v>99</v>
      </c>
      <c r="I2157" s="15">
        <v>45098</v>
      </c>
      <c r="J2157" s="15" t="s">
        <v>233</v>
      </c>
      <c r="K2157" s="6">
        <v>0.51597222222222228</v>
      </c>
      <c r="L2157" t="s">
        <v>144</v>
      </c>
      <c r="M2157">
        <v>100000</v>
      </c>
      <c r="N2157" t="s">
        <v>200</v>
      </c>
      <c r="O2157" t="s">
        <v>152</v>
      </c>
      <c r="P2157">
        <v>30</v>
      </c>
      <c r="Q2157" t="s">
        <v>157</v>
      </c>
    </row>
    <row r="2158" spans="1:17" x14ac:dyDescent="0.2">
      <c r="A2158">
        <v>1461908</v>
      </c>
      <c r="B2158">
        <v>311</v>
      </c>
      <c r="C2158" s="1" t="s">
        <v>101</v>
      </c>
      <c r="D2158" s="11">
        <v>45113.956250000003</v>
      </c>
      <c r="E2158" t="s">
        <v>96</v>
      </c>
      <c r="F2158" t="s">
        <v>69</v>
      </c>
      <c r="G2158">
        <v>6698</v>
      </c>
      <c r="H2158" s="5" t="s">
        <v>101</v>
      </c>
      <c r="I2158" s="15">
        <v>45113</v>
      </c>
      <c r="J2158" s="15" t="s">
        <v>234</v>
      </c>
      <c r="K2158" s="6">
        <v>0.45624999999999999</v>
      </c>
      <c r="L2158" t="s">
        <v>146</v>
      </c>
      <c r="M2158">
        <v>250000</v>
      </c>
      <c r="N2158" t="s">
        <v>225</v>
      </c>
      <c r="O2158" t="s">
        <v>151</v>
      </c>
      <c r="P2158">
        <v>45</v>
      </c>
      <c r="Q2158" t="s">
        <v>154</v>
      </c>
    </row>
    <row r="2159" spans="1:17" x14ac:dyDescent="0.2">
      <c r="A2159">
        <v>1462009</v>
      </c>
      <c r="B2159">
        <v>1803</v>
      </c>
      <c r="C2159" s="1" t="s">
        <v>105</v>
      </c>
      <c r="D2159" s="11">
        <v>44928.024305555555</v>
      </c>
      <c r="E2159" t="s">
        <v>191</v>
      </c>
      <c r="F2159" t="s">
        <v>43</v>
      </c>
      <c r="G2159">
        <v>5184</v>
      </c>
      <c r="H2159" s="5" t="s">
        <v>105</v>
      </c>
      <c r="I2159" s="15">
        <v>44928</v>
      </c>
      <c r="J2159" s="15" t="s">
        <v>232</v>
      </c>
      <c r="K2159" s="6">
        <v>0.52430555555555558</v>
      </c>
      <c r="L2159" t="s">
        <v>145</v>
      </c>
      <c r="M2159">
        <v>1000000</v>
      </c>
      <c r="N2159" t="s">
        <v>203</v>
      </c>
      <c r="O2159" t="s">
        <v>152</v>
      </c>
      <c r="P2159">
        <v>57</v>
      </c>
      <c r="Q2159" t="s">
        <v>157</v>
      </c>
    </row>
    <row r="2160" spans="1:17" x14ac:dyDescent="0.2">
      <c r="A2160">
        <v>1462495</v>
      </c>
      <c r="B2160">
        <v>243</v>
      </c>
      <c r="C2160" s="1" t="s">
        <v>99</v>
      </c>
      <c r="D2160" s="11">
        <v>45227.03125</v>
      </c>
      <c r="E2160" t="s">
        <v>98</v>
      </c>
      <c r="F2160" t="s">
        <v>38</v>
      </c>
      <c r="G2160">
        <v>2850</v>
      </c>
      <c r="H2160" s="5" t="s">
        <v>99</v>
      </c>
      <c r="I2160" s="15">
        <v>45227</v>
      </c>
      <c r="J2160" s="15" t="s">
        <v>295</v>
      </c>
      <c r="K2160" s="6">
        <v>0.53125</v>
      </c>
      <c r="L2160" t="s">
        <v>143</v>
      </c>
      <c r="M2160">
        <v>100000</v>
      </c>
      <c r="N2160" t="s">
        <v>221</v>
      </c>
      <c r="O2160" t="s">
        <v>151</v>
      </c>
      <c r="P2160">
        <v>18</v>
      </c>
      <c r="Q2160" t="s">
        <v>154</v>
      </c>
    </row>
    <row r="2161" spans="1:17" x14ac:dyDescent="0.2">
      <c r="A2161">
        <v>1465193</v>
      </c>
      <c r="B2161">
        <v>87</v>
      </c>
      <c r="C2161" s="1" t="s">
        <v>113</v>
      </c>
      <c r="D2161" s="11">
        <v>45041.020833333336</v>
      </c>
      <c r="E2161" t="s">
        <v>98</v>
      </c>
      <c r="F2161" t="s">
        <v>69</v>
      </c>
      <c r="G2161">
        <v>7107</v>
      </c>
      <c r="H2161" s="5" t="s">
        <v>113</v>
      </c>
      <c r="I2161" s="15">
        <v>45041</v>
      </c>
      <c r="J2161" s="15" t="s">
        <v>233</v>
      </c>
      <c r="K2161" s="6">
        <v>0.52083333333333337</v>
      </c>
      <c r="L2161" t="s">
        <v>146</v>
      </c>
      <c r="M2161">
        <v>250000</v>
      </c>
      <c r="N2161" t="s">
        <v>225</v>
      </c>
      <c r="O2161" t="s">
        <v>151</v>
      </c>
      <c r="P2161">
        <v>62</v>
      </c>
      <c r="Q2161" t="s">
        <v>154</v>
      </c>
    </row>
    <row r="2162" spans="1:17" x14ac:dyDescent="0.2">
      <c r="A2162">
        <v>1465254</v>
      </c>
      <c r="B2162">
        <v>1992</v>
      </c>
      <c r="C2162" s="1" t="s">
        <v>108</v>
      </c>
      <c r="D2162" s="11">
        <v>45170.029861111114</v>
      </c>
      <c r="E2162" t="s">
        <v>98</v>
      </c>
      <c r="F2162" t="s">
        <v>24</v>
      </c>
      <c r="G2162">
        <v>5514</v>
      </c>
      <c r="H2162" s="5" t="s">
        <v>108</v>
      </c>
      <c r="I2162" s="15">
        <v>45170</v>
      </c>
      <c r="J2162" s="15" t="s">
        <v>234</v>
      </c>
      <c r="K2162" s="6">
        <v>0.52986111111111112</v>
      </c>
      <c r="L2162" t="s">
        <v>143</v>
      </c>
      <c r="M2162">
        <v>200000</v>
      </c>
      <c r="N2162" t="s">
        <v>214</v>
      </c>
      <c r="O2162" t="s">
        <v>152</v>
      </c>
      <c r="P2162">
        <v>66</v>
      </c>
      <c r="Q2162" t="s">
        <v>157</v>
      </c>
    </row>
    <row r="2163" spans="1:17" x14ac:dyDescent="0.2">
      <c r="A2163">
        <v>1466316</v>
      </c>
      <c r="B2163">
        <v>122</v>
      </c>
      <c r="C2163" s="1" t="s">
        <v>105</v>
      </c>
      <c r="D2163" s="11">
        <v>44933.07708333333</v>
      </c>
      <c r="E2163" t="s">
        <v>191</v>
      </c>
      <c r="F2163" t="s">
        <v>22</v>
      </c>
      <c r="G2163">
        <v>1672</v>
      </c>
      <c r="H2163" s="5" t="s">
        <v>105</v>
      </c>
      <c r="I2163" s="15">
        <v>44933</v>
      </c>
      <c r="J2163" s="15" t="s">
        <v>232</v>
      </c>
      <c r="K2163" s="6">
        <v>7.7083333333333337E-2</v>
      </c>
      <c r="L2163" t="s">
        <v>144</v>
      </c>
      <c r="M2163">
        <v>100000</v>
      </c>
      <c r="N2163" t="s">
        <v>202</v>
      </c>
      <c r="O2163" t="s">
        <v>151</v>
      </c>
      <c r="P2163">
        <v>41</v>
      </c>
      <c r="Q2163" t="s">
        <v>154</v>
      </c>
    </row>
    <row r="2164" spans="1:17" x14ac:dyDescent="0.2">
      <c r="A2164">
        <v>1466372</v>
      </c>
      <c r="B2164">
        <v>1073</v>
      </c>
      <c r="C2164" s="1" t="s">
        <v>105</v>
      </c>
      <c r="D2164" s="11">
        <v>45246.957638888889</v>
      </c>
      <c r="E2164" t="s">
        <v>98</v>
      </c>
      <c r="F2164" t="s">
        <v>41</v>
      </c>
      <c r="G2164">
        <v>8940</v>
      </c>
      <c r="H2164" s="5" t="s">
        <v>105</v>
      </c>
      <c r="I2164" s="15">
        <v>45246</v>
      </c>
      <c r="J2164" s="15" t="s">
        <v>295</v>
      </c>
      <c r="K2164" s="6">
        <v>0.45763888888888887</v>
      </c>
      <c r="L2164" t="s">
        <v>145</v>
      </c>
      <c r="M2164">
        <v>150000</v>
      </c>
      <c r="N2164" t="s">
        <v>203</v>
      </c>
      <c r="O2164" t="s">
        <v>152</v>
      </c>
      <c r="P2164">
        <v>60</v>
      </c>
      <c r="Q2164" t="s">
        <v>156</v>
      </c>
    </row>
    <row r="2165" spans="1:17" x14ac:dyDescent="0.2">
      <c r="A2165">
        <v>1466718</v>
      </c>
      <c r="B2165">
        <v>453</v>
      </c>
      <c r="C2165" s="1" t="s">
        <v>100</v>
      </c>
      <c r="D2165" s="11">
        <v>45072.000694444447</v>
      </c>
      <c r="E2165" t="s">
        <v>98</v>
      </c>
      <c r="F2165" t="s">
        <v>19</v>
      </c>
      <c r="G2165">
        <v>9174</v>
      </c>
      <c r="H2165" s="5" t="s">
        <v>100</v>
      </c>
      <c r="I2165" s="15">
        <v>45072</v>
      </c>
      <c r="J2165" s="15" t="s">
        <v>233</v>
      </c>
      <c r="K2165" s="6">
        <v>0.50069444444444444</v>
      </c>
      <c r="L2165" t="s">
        <v>142</v>
      </c>
      <c r="M2165">
        <v>150000</v>
      </c>
      <c r="N2165" t="s">
        <v>211</v>
      </c>
      <c r="O2165" t="s">
        <v>151</v>
      </c>
      <c r="P2165">
        <v>52</v>
      </c>
      <c r="Q2165" t="s">
        <v>154</v>
      </c>
    </row>
    <row r="2166" spans="1:17" x14ac:dyDescent="0.2">
      <c r="A2166">
        <v>1467283</v>
      </c>
      <c r="B2166">
        <v>113</v>
      </c>
      <c r="C2166" s="1" t="s">
        <v>99</v>
      </c>
      <c r="D2166" s="11">
        <v>45142.101388888892</v>
      </c>
      <c r="E2166" t="s">
        <v>98</v>
      </c>
      <c r="F2166" t="s">
        <v>35</v>
      </c>
      <c r="G2166">
        <v>722</v>
      </c>
      <c r="H2166" s="5" t="s">
        <v>99</v>
      </c>
      <c r="I2166" s="15">
        <v>45142</v>
      </c>
      <c r="J2166" s="15" t="s">
        <v>234</v>
      </c>
      <c r="K2166" s="6">
        <v>0.10138888888888889</v>
      </c>
      <c r="L2166" t="s">
        <v>144</v>
      </c>
      <c r="M2166">
        <v>100000</v>
      </c>
      <c r="N2166" t="s">
        <v>219</v>
      </c>
      <c r="O2166" t="s">
        <v>152</v>
      </c>
      <c r="P2166">
        <v>72</v>
      </c>
      <c r="Q2166" t="s">
        <v>154</v>
      </c>
    </row>
    <row r="2167" spans="1:17" x14ac:dyDescent="0.2">
      <c r="A2167">
        <v>1469052</v>
      </c>
      <c r="B2167">
        <v>376</v>
      </c>
      <c r="C2167" s="1" t="s">
        <v>113</v>
      </c>
      <c r="D2167" s="11">
        <v>45092.978472222225</v>
      </c>
      <c r="E2167" t="s">
        <v>97</v>
      </c>
      <c r="F2167" t="s">
        <v>15</v>
      </c>
      <c r="G2167">
        <v>4580</v>
      </c>
      <c r="H2167" s="5" t="s">
        <v>113</v>
      </c>
      <c r="I2167" s="15">
        <v>45092</v>
      </c>
      <c r="J2167" s="15" t="s">
        <v>233</v>
      </c>
      <c r="K2167" s="6">
        <v>0.47847222222222224</v>
      </c>
      <c r="L2167" t="s">
        <v>143</v>
      </c>
      <c r="M2167">
        <v>150000</v>
      </c>
      <c r="N2167" t="s">
        <v>198</v>
      </c>
      <c r="O2167" t="s">
        <v>152</v>
      </c>
      <c r="P2167">
        <v>89</v>
      </c>
      <c r="Q2167" t="s">
        <v>154</v>
      </c>
    </row>
    <row r="2168" spans="1:17" x14ac:dyDescent="0.2">
      <c r="A2168">
        <v>1469471</v>
      </c>
      <c r="B2168">
        <v>736</v>
      </c>
      <c r="C2168" s="1" t="s">
        <v>99</v>
      </c>
      <c r="D2168" s="11">
        <v>45043.006944444445</v>
      </c>
      <c r="E2168" t="s">
        <v>97</v>
      </c>
      <c r="F2168" t="s">
        <v>43</v>
      </c>
      <c r="G2168">
        <v>4917</v>
      </c>
      <c r="H2168" s="5" t="s">
        <v>99</v>
      </c>
      <c r="I2168" s="15">
        <v>45043</v>
      </c>
      <c r="J2168" s="15" t="s">
        <v>233</v>
      </c>
      <c r="K2168" s="6">
        <v>0.50694444444444442</v>
      </c>
      <c r="L2168" t="s">
        <v>145</v>
      </c>
      <c r="M2168">
        <v>1000000</v>
      </c>
      <c r="N2168" t="s">
        <v>203</v>
      </c>
      <c r="O2168" t="s">
        <v>151</v>
      </c>
      <c r="P2168">
        <v>50</v>
      </c>
      <c r="Q2168" t="s">
        <v>155</v>
      </c>
    </row>
    <row r="2169" spans="1:17" x14ac:dyDescent="0.2">
      <c r="A2169">
        <v>1470933</v>
      </c>
      <c r="B2169">
        <v>1285</v>
      </c>
      <c r="C2169" s="1" t="s">
        <v>105</v>
      </c>
      <c r="D2169" s="11">
        <v>45140.038194444445</v>
      </c>
      <c r="E2169" t="s">
        <v>96</v>
      </c>
      <c r="F2169" t="s">
        <v>29</v>
      </c>
      <c r="G2169">
        <v>5249</v>
      </c>
      <c r="H2169" s="5" t="s">
        <v>105</v>
      </c>
      <c r="I2169" s="15">
        <v>45140</v>
      </c>
      <c r="J2169" s="15" t="s">
        <v>234</v>
      </c>
      <c r="K2169" s="6">
        <v>0.53819444444444442</v>
      </c>
      <c r="L2169" t="s">
        <v>143</v>
      </c>
      <c r="M2169">
        <v>150000</v>
      </c>
      <c r="N2169" t="s">
        <v>214</v>
      </c>
      <c r="O2169" t="s">
        <v>152</v>
      </c>
      <c r="P2169">
        <v>56</v>
      </c>
      <c r="Q2169" t="s">
        <v>156</v>
      </c>
    </row>
    <row r="2170" spans="1:17" x14ac:dyDescent="0.2">
      <c r="A2170">
        <v>1471380</v>
      </c>
      <c r="B2170">
        <v>139</v>
      </c>
      <c r="C2170" s="1" t="s">
        <v>99</v>
      </c>
      <c r="D2170" s="11">
        <v>45166.959722222222</v>
      </c>
      <c r="E2170" t="s">
        <v>96</v>
      </c>
      <c r="F2170" t="s">
        <v>27</v>
      </c>
      <c r="G2170">
        <v>2139</v>
      </c>
      <c r="H2170" s="5" t="s">
        <v>99</v>
      </c>
      <c r="I2170" s="15">
        <v>45166</v>
      </c>
      <c r="J2170" s="15" t="s">
        <v>234</v>
      </c>
      <c r="K2170" s="6">
        <v>0.4597222222222222</v>
      </c>
      <c r="L2170" t="s">
        <v>142</v>
      </c>
      <c r="M2170">
        <v>1000000</v>
      </c>
      <c r="N2170" t="s">
        <v>209</v>
      </c>
      <c r="O2170" t="s">
        <v>152</v>
      </c>
      <c r="P2170">
        <v>75</v>
      </c>
      <c r="Q2170" t="s">
        <v>154</v>
      </c>
    </row>
    <row r="2171" spans="1:17" x14ac:dyDescent="0.2">
      <c r="A2171">
        <v>1471535</v>
      </c>
      <c r="B2171">
        <v>668</v>
      </c>
      <c r="C2171" s="1" t="s">
        <v>100</v>
      </c>
      <c r="D2171" s="11">
        <v>45284.963194444441</v>
      </c>
      <c r="E2171" t="s">
        <v>97</v>
      </c>
      <c r="F2171" t="s">
        <v>43</v>
      </c>
      <c r="G2171">
        <v>6311</v>
      </c>
      <c r="H2171" s="5" t="s">
        <v>100</v>
      </c>
      <c r="I2171" s="15">
        <v>45284</v>
      </c>
      <c r="J2171" s="15" t="s">
        <v>295</v>
      </c>
      <c r="K2171" s="6">
        <v>0.46319444444444446</v>
      </c>
      <c r="L2171" t="s">
        <v>145</v>
      </c>
      <c r="M2171">
        <v>1000000</v>
      </c>
      <c r="N2171" t="s">
        <v>203</v>
      </c>
      <c r="O2171" t="s">
        <v>152</v>
      </c>
      <c r="P2171">
        <v>90</v>
      </c>
      <c r="Q2171" t="s">
        <v>155</v>
      </c>
    </row>
    <row r="2172" spans="1:17" x14ac:dyDescent="0.2">
      <c r="A2172">
        <v>1472021</v>
      </c>
      <c r="B2172">
        <v>1564</v>
      </c>
      <c r="C2172" s="1" t="s">
        <v>106</v>
      </c>
      <c r="D2172" s="11">
        <v>45282.01666666667</v>
      </c>
      <c r="E2172" t="s">
        <v>97</v>
      </c>
      <c r="F2172" t="s">
        <v>43</v>
      </c>
      <c r="G2172">
        <v>7609</v>
      </c>
      <c r="H2172" s="5" t="s">
        <v>106</v>
      </c>
      <c r="I2172" s="15">
        <v>45282</v>
      </c>
      <c r="J2172" s="15" t="s">
        <v>295</v>
      </c>
      <c r="K2172" s="6">
        <v>0.51666666666666672</v>
      </c>
      <c r="L2172" t="s">
        <v>145</v>
      </c>
      <c r="M2172">
        <v>1000000</v>
      </c>
      <c r="N2172" t="s">
        <v>203</v>
      </c>
      <c r="O2172" t="s">
        <v>151</v>
      </c>
      <c r="P2172">
        <v>89</v>
      </c>
      <c r="Q2172" t="s">
        <v>157</v>
      </c>
    </row>
    <row r="2173" spans="1:17" x14ac:dyDescent="0.2">
      <c r="A2173">
        <v>1472256</v>
      </c>
      <c r="B2173">
        <v>196</v>
      </c>
      <c r="C2173" s="1" t="s">
        <v>99</v>
      </c>
      <c r="D2173" s="11">
        <v>45274.006249999999</v>
      </c>
      <c r="E2173" t="s">
        <v>97</v>
      </c>
      <c r="F2173" t="s">
        <v>47</v>
      </c>
      <c r="G2173">
        <v>2311</v>
      </c>
      <c r="H2173" s="5" t="s">
        <v>99</v>
      </c>
      <c r="I2173" s="15">
        <v>45274</v>
      </c>
      <c r="J2173" s="15" t="s">
        <v>295</v>
      </c>
      <c r="K2173" s="6">
        <v>0.50624999999999998</v>
      </c>
      <c r="L2173" t="s">
        <v>144</v>
      </c>
      <c r="M2173">
        <v>100000</v>
      </c>
      <c r="N2173" t="s">
        <v>218</v>
      </c>
      <c r="O2173" t="s">
        <v>151</v>
      </c>
      <c r="P2173">
        <v>77</v>
      </c>
      <c r="Q2173" t="s">
        <v>154</v>
      </c>
    </row>
    <row r="2174" spans="1:17" x14ac:dyDescent="0.2">
      <c r="A2174">
        <v>1472426</v>
      </c>
      <c r="B2174">
        <v>338</v>
      </c>
      <c r="C2174" s="1" t="s">
        <v>113</v>
      </c>
      <c r="D2174" s="11">
        <v>45185.997916666667</v>
      </c>
      <c r="E2174" t="s">
        <v>96</v>
      </c>
      <c r="F2174" t="s">
        <v>18</v>
      </c>
      <c r="G2174">
        <v>2068</v>
      </c>
      <c r="H2174" s="5" t="s">
        <v>113</v>
      </c>
      <c r="I2174" s="15">
        <v>45185</v>
      </c>
      <c r="J2174" s="15" t="s">
        <v>234</v>
      </c>
      <c r="K2174" s="6">
        <v>0.49791666666666667</v>
      </c>
      <c r="L2174" t="s">
        <v>145</v>
      </c>
      <c r="M2174">
        <v>200000</v>
      </c>
      <c r="N2174" t="s">
        <v>210</v>
      </c>
      <c r="O2174" t="s">
        <v>152</v>
      </c>
      <c r="P2174">
        <v>51</v>
      </c>
      <c r="Q2174" t="s">
        <v>154</v>
      </c>
    </row>
    <row r="2175" spans="1:17" x14ac:dyDescent="0.2">
      <c r="A2175">
        <v>1472446</v>
      </c>
      <c r="B2175">
        <v>1614</v>
      </c>
      <c r="C2175" s="1" t="s">
        <v>99</v>
      </c>
      <c r="D2175" s="11">
        <v>45233.074999999997</v>
      </c>
      <c r="E2175" t="s">
        <v>191</v>
      </c>
      <c r="F2175" t="s">
        <v>4</v>
      </c>
      <c r="G2175">
        <v>7570</v>
      </c>
      <c r="H2175" s="5" t="s">
        <v>99</v>
      </c>
      <c r="I2175" s="15">
        <v>45233</v>
      </c>
      <c r="J2175" s="15" t="s">
        <v>295</v>
      </c>
      <c r="K2175" s="6">
        <v>7.4999999999999997E-2</v>
      </c>
      <c r="L2175" t="s">
        <v>142</v>
      </c>
      <c r="M2175">
        <v>200000</v>
      </c>
      <c r="N2175" t="s">
        <v>197</v>
      </c>
      <c r="O2175" t="s">
        <v>151</v>
      </c>
      <c r="P2175">
        <v>37</v>
      </c>
      <c r="Q2175" t="s">
        <v>157</v>
      </c>
    </row>
    <row r="2176" spans="1:17" x14ac:dyDescent="0.2">
      <c r="A2176">
        <v>1473392</v>
      </c>
      <c r="B2176">
        <v>1230</v>
      </c>
      <c r="C2176" s="1" t="s">
        <v>105</v>
      </c>
      <c r="D2176" s="11">
        <v>45183.070833333331</v>
      </c>
      <c r="E2176" t="s">
        <v>191</v>
      </c>
      <c r="F2176" t="s">
        <v>14</v>
      </c>
      <c r="G2176">
        <v>4758</v>
      </c>
      <c r="H2176" s="5" t="s">
        <v>105</v>
      </c>
      <c r="I2176" s="15">
        <v>45183</v>
      </c>
      <c r="J2176" s="15" t="s">
        <v>234</v>
      </c>
      <c r="K2176" s="6">
        <v>7.0833333333333331E-2</v>
      </c>
      <c r="L2176" t="s">
        <v>142</v>
      </c>
      <c r="M2176">
        <v>250000</v>
      </c>
      <c r="N2176" t="s">
        <v>207</v>
      </c>
      <c r="O2176" t="s">
        <v>152</v>
      </c>
      <c r="P2176">
        <v>80</v>
      </c>
      <c r="Q2176" t="s">
        <v>156</v>
      </c>
    </row>
    <row r="2177" spans="1:17" x14ac:dyDescent="0.2">
      <c r="A2177">
        <v>1474092</v>
      </c>
      <c r="B2177">
        <v>1710</v>
      </c>
      <c r="C2177" s="1" t="s">
        <v>105</v>
      </c>
      <c r="D2177" s="11">
        <v>45079.993750000001</v>
      </c>
      <c r="E2177" t="s">
        <v>98</v>
      </c>
      <c r="F2177" t="s">
        <v>27</v>
      </c>
      <c r="G2177">
        <v>7733</v>
      </c>
      <c r="H2177" s="5" t="s">
        <v>105</v>
      </c>
      <c r="I2177" s="15">
        <v>45079</v>
      </c>
      <c r="J2177" s="15" t="s">
        <v>233</v>
      </c>
      <c r="K2177" s="6">
        <v>0.49375000000000002</v>
      </c>
      <c r="L2177" t="s">
        <v>142</v>
      </c>
      <c r="M2177">
        <v>1000000</v>
      </c>
      <c r="N2177" t="s">
        <v>209</v>
      </c>
      <c r="O2177" t="s">
        <v>152</v>
      </c>
      <c r="P2177">
        <v>84</v>
      </c>
      <c r="Q2177" t="s">
        <v>157</v>
      </c>
    </row>
    <row r="2178" spans="1:17" x14ac:dyDescent="0.2">
      <c r="A2178">
        <v>1474156</v>
      </c>
      <c r="B2178">
        <v>1822</v>
      </c>
      <c r="C2178" s="1" t="s">
        <v>99</v>
      </c>
      <c r="D2178" s="11">
        <v>45076.994444444441</v>
      </c>
      <c r="E2178" t="s">
        <v>96</v>
      </c>
      <c r="F2178" t="s">
        <v>7</v>
      </c>
      <c r="G2178">
        <v>597</v>
      </c>
      <c r="H2178" s="5" t="s">
        <v>99</v>
      </c>
      <c r="I2178" s="15">
        <v>45076</v>
      </c>
      <c r="J2178" s="15" t="s">
        <v>233</v>
      </c>
      <c r="K2178" s="6">
        <v>0.49444444444444446</v>
      </c>
      <c r="L2178" t="s">
        <v>144</v>
      </c>
      <c r="M2178">
        <v>150000</v>
      </c>
      <c r="N2178" t="s">
        <v>200</v>
      </c>
      <c r="O2178" t="s">
        <v>151</v>
      </c>
      <c r="P2178">
        <v>56</v>
      </c>
      <c r="Q2178" t="s">
        <v>157</v>
      </c>
    </row>
    <row r="2179" spans="1:17" x14ac:dyDescent="0.2">
      <c r="A2179">
        <v>1474744</v>
      </c>
      <c r="B2179">
        <v>1900</v>
      </c>
      <c r="C2179" s="1" t="s">
        <v>106</v>
      </c>
      <c r="D2179" s="11">
        <v>45038.040277777778</v>
      </c>
      <c r="E2179" t="s">
        <v>98</v>
      </c>
      <c r="F2179" t="s">
        <v>9</v>
      </c>
      <c r="G2179">
        <v>9529</v>
      </c>
      <c r="H2179" s="5" t="s">
        <v>106</v>
      </c>
      <c r="I2179" s="15">
        <v>45038</v>
      </c>
      <c r="J2179" s="15" t="s">
        <v>233</v>
      </c>
      <c r="K2179" s="6">
        <v>0.54027777777777775</v>
      </c>
      <c r="L2179" t="s">
        <v>144</v>
      </c>
      <c r="M2179">
        <v>150000</v>
      </c>
      <c r="N2179" t="s">
        <v>202</v>
      </c>
      <c r="O2179" t="s">
        <v>152</v>
      </c>
      <c r="P2179">
        <v>28</v>
      </c>
      <c r="Q2179" t="s">
        <v>157</v>
      </c>
    </row>
    <row r="2180" spans="1:17" x14ac:dyDescent="0.2">
      <c r="A2180">
        <v>1474867</v>
      </c>
      <c r="B2180">
        <v>1837</v>
      </c>
      <c r="C2180" s="1" t="s">
        <v>110</v>
      </c>
      <c r="D2180" s="11">
        <v>45268.007638888892</v>
      </c>
      <c r="E2180" t="s">
        <v>96</v>
      </c>
      <c r="F2180" t="s">
        <v>11</v>
      </c>
      <c r="G2180">
        <v>6262</v>
      </c>
      <c r="H2180" s="5" t="s">
        <v>110</v>
      </c>
      <c r="I2180" s="15">
        <v>45268</v>
      </c>
      <c r="J2180" s="15" t="s">
        <v>295</v>
      </c>
      <c r="K2180" s="6">
        <v>0.50763888888888886</v>
      </c>
      <c r="L2180" t="s">
        <v>143</v>
      </c>
      <c r="M2180">
        <v>150000</v>
      </c>
      <c r="N2180" t="s">
        <v>204</v>
      </c>
      <c r="O2180" t="s">
        <v>152</v>
      </c>
      <c r="P2180">
        <v>87</v>
      </c>
      <c r="Q2180" t="s">
        <v>157</v>
      </c>
    </row>
    <row r="2181" spans="1:17" x14ac:dyDescent="0.2">
      <c r="A2181">
        <v>1475178</v>
      </c>
      <c r="B2181">
        <v>466</v>
      </c>
      <c r="C2181" s="1" t="s">
        <v>107</v>
      </c>
      <c r="D2181" s="11">
        <v>45028.006944444445</v>
      </c>
      <c r="E2181" t="s">
        <v>191</v>
      </c>
      <c r="F2181" t="s">
        <v>48</v>
      </c>
      <c r="G2181">
        <v>1408</v>
      </c>
      <c r="H2181" s="5" t="s">
        <v>107</v>
      </c>
      <c r="I2181" s="15">
        <v>45028</v>
      </c>
      <c r="J2181" s="15" t="s">
        <v>233</v>
      </c>
      <c r="K2181" s="6">
        <v>0.50694444444444442</v>
      </c>
      <c r="L2181" t="s">
        <v>142</v>
      </c>
      <c r="M2181">
        <v>100000</v>
      </c>
      <c r="N2181" t="s">
        <v>209</v>
      </c>
      <c r="O2181" t="s">
        <v>152</v>
      </c>
      <c r="P2181">
        <v>32</v>
      </c>
      <c r="Q2181" t="s">
        <v>154</v>
      </c>
    </row>
    <row r="2182" spans="1:17" x14ac:dyDescent="0.2">
      <c r="A2182">
        <v>1475354</v>
      </c>
      <c r="B2182">
        <v>1633</v>
      </c>
      <c r="C2182" s="1" t="s">
        <v>101</v>
      </c>
      <c r="D2182" s="11">
        <v>45208.018750000003</v>
      </c>
      <c r="E2182" t="s">
        <v>96</v>
      </c>
      <c r="F2182" t="s">
        <v>14</v>
      </c>
      <c r="G2182">
        <v>7693</v>
      </c>
      <c r="H2182" s="5" t="s">
        <v>101</v>
      </c>
      <c r="I2182" s="15">
        <v>45208</v>
      </c>
      <c r="J2182" s="15" t="s">
        <v>295</v>
      </c>
      <c r="K2182" s="6">
        <v>0.51875000000000004</v>
      </c>
      <c r="L2182" t="s">
        <v>142</v>
      </c>
      <c r="M2182">
        <v>250000</v>
      </c>
      <c r="N2182" t="s">
        <v>207</v>
      </c>
      <c r="O2182" t="s">
        <v>151</v>
      </c>
      <c r="P2182">
        <v>64</v>
      </c>
      <c r="Q2182" t="s">
        <v>157</v>
      </c>
    </row>
    <row r="2183" spans="1:17" x14ac:dyDescent="0.2">
      <c r="A2183">
        <v>1477405</v>
      </c>
      <c r="B2183">
        <v>1342</v>
      </c>
      <c r="C2183" s="1" t="s">
        <v>99</v>
      </c>
      <c r="D2183" s="11">
        <v>45203.063888888886</v>
      </c>
      <c r="E2183" t="s">
        <v>191</v>
      </c>
      <c r="F2183" t="s">
        <v>61</v>
      </c>
      <c r="G2183">
        <v>6068</v>
      </c>
      <c r="H2183" s="5" t="s">
        <v>99</v>
      </c>
      <c r="I2183" s="15">
        <v>45203</v>
      </c>
      <c r="J2183" s="15" t="s">
        <v>295</v>
      </c>
      <c r="K2183" s="6">
        <v>6.3888888888888884E-2</v>
      </c>
      <c r="L2183" t="s">
        <v>142</v>
      </c>
      <c r="M2183">
        <v>80000</v>
      </c>
      <c r="N2183" t="s">
        <v>197</v>
      </c>
      <c r="O2183" t="s">
        <v>151</v>
      </c>
      <c r="P2183">
        <v>24</v>
      </c>
      <c r="Q2183" t="s">
        <v>156</v>
      </c>
    </row>
    <row r="2184" spans="1:17" x14ac:dyDescent="0.2">
      <c r="A2184">
        <v>1477894</v>
      </c>
      <c r="B2184">
        <v>1834</v>
      </c>
      <c r="C2184" s="1" t="s">
        <v>101</v>
      </c>
      <c r="D2184" s="11">
        <v>44948.981249999997</v>
      </c>
      <c r="E2184" t="s">
        <v>98</v>
      </c>
      <c r="F2184" t="s">
        <v>65</v>
      </c>
      <c r="G2184">
        <v>9471</v>
      </c>
      <c r="H2184" s="5" t="s">
        <v>101</v>
      </c>
      <c r="I2184" s="15">
        <v>44948</v>
      </c>
      <c r="J2184" s="15" t="s">
        <v>232</v>
      </c>
      <c r="K2184" s="6">
        <v>0.48125000000000001</v>
      </c>
      <c r="L2184" t="s">
        <v>146</v>
      </c>
      <c r="M2184">
        <v>200000</v>
      </c>
      <c r="N2184" t="s">
        <v>225</v>
      </c>
      <c r="O2184" t="s">
        <v>151</v>
      </c>
      <c r="P2184">
        <v>60</v>
      </c>
      <c r="Q2184" t="s">
        <v>157</v>
      </c>
    </row>
    <row r="2185" spans="1:17" x14ac:dyDescent="0.2">
      <c r="A2185">
        <v>1478839</v>
      </c>
      <c r="B2185">
        <v>896</v>
      </c>
      <c r="C2185" s="1" t="s">
        <v>101</v>
      </c>
      <c r="D2185" s="11">
        <v>44964.071527777778</v>
      </c>
      <c r="E2185" t="s">
        <v>98</v>
      </c>
      <c r="F2185" t="s">
        <v>17</v>
      </c>
      <c r="G2185">
        <v>6444</v>
      </c>
      <c r="H2185" s="5" t="s">
        <v>101</v>
      </c>
      <c r="I2185" s="15">
        <v>44964</v>
      </c>
      <c r="J2185" s="15" t="s">
        <v>232</v>
      </c>
      <c r="K2185" s="6">
        <v>7.1527777777777773E-2</v>
      </c>
      <c r="L2185" t="s">
        <v>142</v>
      </c>
      <c r="M2185">
        <v>100000</v>
      </c>
      <c r="N2185" t="s">
        <v>209</v>
      </c>
      <c r="O2185" t="s">
        <v>152</v>
      </c>
      <c r="P2185">
        <v>79</v>
      </c>
      <c r="Q2185" t="s">
        <v>155</v>
      </c>
    </row>
    <row r="2186" spans="1:17" x14ac:dyDescent="0.2">
      <c r="A2186">
        <v>1479085</v>
      </c>
      <c r="B2186">
        <v>510</v>
      </c>
      <c r="C2186" s="1" t="s">
        <v>99</v>
      </c>
      <c r="D2186" s="11">
        <v>45251.945138888892</v>
      </c>
      <c r="E2186" t="s">
        <v>96</v>
      </c>
      <c r="F2186" t="s">
        <v>18</v>
      </c>
      <c r="G2186">
        <v>6503</v>
      </c>
      <c r="H2186" s="5" t="s">
        <v>99</v>
      </c>
      <c r="I2186" s="15">
        <v>45251</v>
      </c>
      <c r="J2186" s="15" t="s">
        <v>295</v>
      </c>
      <c r="K2186" s="6">
        <v>0.44513888888888886</v>
      </c>
      <c r="L2186" t="s">
        <v>145</v>
      </c>
      <c r="M2186">
        <v>200000</v>
      </c>
      <c r="N2186" t="s">
        <v>210</v>
      </c>
      <c r="O2186" t="s">
        <v>152</v>
      </c>
      <c r="P2186">
        <v>39</v>
      </c>
      <c r="Q2186" t="s">
        <v>155</v>
      </c>
    </row>
    <row r="2187" spans="1:17" x14ac:dyDescent="0.2">
      <c r="A2187">
        <v>1479736</v>
      </c>
      <c r="B2187">
        <v>1363</v>
      </c>
      <c r="C2187" s="1" t="s">
        <v>100</v>
      </c>
      <c r="D2187" s="11">
        <v>45206.030555555553</v>
      </c>
      <c r="E2187" t="s">
        <v>96</v>
      </c>
      <c r="F2187" t="s">
        <v>19</v>
      </c>
      <c r="G2187">
        <v>2193</v>
      </c>
      <c r="H2187" s="5" t="s">
        <v>100</v>
      </c>
      <c r="I2187" s="15">
        <v>45206</v>
      </c>
      <c r="J2187" s="15" t="s">
        <v>295</v>
      </c>
      <c r="K2187" s="6">
        <v>0.53055555555555556</v>
      </c>
      <c r="L2187" t="s">
        <v>142</v>
      </c>
      <c r="M2187">
        <v>150000</v>
      </c>
      <c r="N2187" t="s">
        <v>211</v>
      </c>
      <c r="O2187" t="s">
        <v>152</v>
      </c>
      <c r="P2187">
        <v>81</v>
      </c>
      <c r="Q2187" t="s">
        <v>156</v>
      </c>
    </row>
    <row r="2188" spans="1:17" x14ac:dyDescent="0.2">
      <c r="A2188">
        <v>1479812</v>
      </c>
      <c r="B2188">
        <v>340</v>
      </c>
      <c r="C2188" s="1" t="s">
        <v>100</v>
      </c>
      <c r="D2188" s="11">
        <v>45090.036805555559</v>
      </c>
      <c r="E2188" t="s">
        <v>191</v>
      </c>
      <c r="F2188" t="s">
        <v>79</v>
      </c>
      <c r="G2188">
        <v>7134</v>
      </c>
      <c r="H2188" s="5" t="s">
        <v>100</v>
      </c>
      <c r="I2188" s="15">
        <v>45090</v>
      </c>
      <c r="J2188" s="15" t="s">
        <v>233</v>
      </c>
      <c r="K2188" s="6">
        <v>0.53680555555555554</v>
      </c>
      <c r="L2188" t="s">
        <v>143</v>
      </c>
      <c r="M2188">
        <v>50000</v>
      </c>
      <c r="N2188" t="s">
        <v>204</v>
      </c>
      <c r="O2188" t="s">
        <v>151</v>
      </c>
      <c r="P2188">
        <v>68</v>
      </c>
      <c r="Q2188" t="s">
        <v>154</v>
      </c>
    </row>
    <row r="2189" spans="1:17" x14ac:dyDescent="0.2">
      <c r="A2189">
        <v>1480087</v>
      </c>
      <c r="B2189">
        <v>26</v>
      </c>
      <c r="C2189" s="1" t="s">
        <v>100</v>
      </c>
      <c r="D2189" s="11">
        <v>45115.997916666667</v>
      </c>
      <c r="E2189" t="s">
        <v>98</v>
      </c>
      <c r="F2189" t="s">
        <v>51</v>
      </c>
      <c r="G2189">
        <v>9335</v>
      </c>
      <c r="H2189" s="5" t="s">
        <v>100</v>
      </c>
      <c r="I2189" s="15">
        <v>45115</v>
      </c>
      <c r="J2189" s="15" t="s">
        <v>234</v>
      </c>
      <c r="K2189" s="6">
        <v>0.49791666666666667</v>
      </c>
      <c r="L2189" t="s">
        <v>145</v>
      </c>
      <c r="M2189">
        <v>100000</v>
      </c>
      <c r="N2189" t="s">
        <v>217</v>
      </c>
      <c r="O2189" t="s">
        <v>151</v>
      </c>
      <c r="P2189">
        <v>27</v>
      </c>
      <c r="Q2189" t="s">
        <v>154</v>
      </c>
    </row>
    <row r="2190" spans="1:17" x14ac:dyDescent="0.2">
      <c r="A2190">
        <v>1480394</v>
      </c>
      <c r="B2190">
        <v>1003</v>
      </c>
      <c r="C2190" s="1" t="s">
        <v>99</v>
      </c>
      <c r="D2190" s="11">
        <v>45081.025000000001</v>
      </c>
      <c r="E2190" t="s">
        <v>98</v>
      </c>
      <c r="F2190" t="s">
        <v>22</v>
      </c>
      <c r="G2190">
        <v>2616</v>
      </c>
      <c r="H2190" s="5" t="s">
        <v>99</v>
      </c>
      <c r="I2190" s="15">
        <v>45081</v>
      </c>
      <c r="J2190" s="15" t="s">
        <v>233</v>
      </c>
      <c r="K2190" s="6">
        <v>0.52500000000000002</v>
      </c>
      <c r="L2190" t="s">
        <v>144</v>
      </c>
      <c r="M2190">
        <v>100000</v>
      </c>
      <c r="N2190" t="s">
        <v>202</v>
      </c>
      <c r="O2190" t="s">
        <v>152</v>
      </c>
      <c r="P2190">
        <v>64</v>
      </c>
      <c r="Q2190" t="s">
        <v>156</v>
      </c>
    </row>
    <row r="2191" spans="1:17" x14ac:dyDescent="0.2">
      <c r="A2191">
        <v>1480900</v>
      </c>
      <c r="B2191">
        <v>866</v>
      </c>
      <c r="C2191" s="1" t="s">
        <v>106</v>
      </c>
      <c r="D2191" s="11">
        <v>44928.008333333331</v>
      </c>
      <c r="E2191" t="s">
        <v>97</v>
      </c>
      <c r="F2191" t="s">
        <v>4</v>
      </c>
      <c r="G2191">
        <v>2284</v>
      </c>
      <c r="H2191" s="5" t="s">
        <v>106</v>
      </c>
      <c r="I2191" s="15">
        <v>44928</v>
      </c>
      <c r="J2191" s="15" t="s">
        <v>232</v>
      </c>
      <c r="K2191" s="6">
        <v>0.5083333333333333</v>
      </c>
      <c r="L2191" t="s">
        <v>142</v>
      </c>
      <c r="M2191">
        <v>200000</v>
      </c>
      <c r="N2191" t="s">
        <v>197</v>
      </c>
      <c r="O2191" t="s">
        <v>152</v>
      </c>
      <c r="P2191">
        <v>66</v>
      </c>
      <c r="Q2191" t="s">
        <v>155</v>
      </c>
    </row>
    <row r="2192" spans="1:17" x14ac:dyDescent="0.2">
      <c r="A2192">
        <v>1480961</v>
      </c>
      <c r="B2192">
        <v>550</v>
      </c>
      <c r="C2192" s="1" t="s">
        <v>99</v>
      </c>
      <c r="D2192" s="11">
        <v>44942.044444444444</v>
      </c>
      <c r="E2192" t="s">
        <v>98</v>
      </c>
      <c r="F2192" t="s">
        <v>57</v>
      </c>
      <c r="G2192">
        <v>8407</v>
      </c>
      <c r="H2192" s="5" t="s">
        <v>99</v>
      </c>
      <c r="I2192" s="15">
        <v>44942</v>
      </c>
      <c r="J2192" s="15" t="s">
        <v>232</v>
      </c>
      <c r="K2192" s="6">
        <v>4.4444444444444446E-2</v>
      </c>
      <c r="L2192" t="s">
        <v>142</v>
      </c>
      <c r="M2192">
        <v>50000</v>
      </c>
      <c r="N2192" t="s">
        <v>208</v>
      </c>
      <c r="O2192" t="s">
        <v>151</v>
      </c>
      <c r="P2192">
        <v>31</v>
      </c>
      <c r="Q2192" t="s">
        <v>155</v>
      </c>
    </row>
    <row r="2193" spans="1:17" x14ac:dyDescent="0.2">
      <c r="A2193">
        <v>1481396</v>
      </c>
      <c r="B2193">
        <v>619</v>
      </c>
      <c r="C2193" s="1" t="s">
        <v>99</v>
      </c>
      <c r="D2193" s="11">
        <v>45253.049305555556</v>
      </c>
      <c r="E2193" t="s">
        <v>97</v>
      </c>
      <c r="F2193" t="s">
        <v>92</v>
      </c>
      <c r="G2193">
        <v>3557</v>
      </c>
      <c r="H2193" s="5" t="s">
        <v>99</v>
      </c>
      <c r="I2193" s="15">
        <v>45253</v>
      </c>
      <c r="J2193" s="15" t="s">
        <v>295</v>
      </c>
      <c r="K2193" s="6">
        <v>4.9305555555555554E-2</v>
      </c>
      <c r="L2193" t="s">
        <v>145</v>
      </c>
      <c r="M2193">
        <v>30000</v>
      </c>
      <c r="N2193" t="s">
        <v>226</v>
      </c>
      <c r="O2193" t="s">
        <v>152</v>
      </c>
      <c r="P2193">
        <v>38</v>
      </c>
      <c r="Q2193" t="s">
        <v>155</v>
      </c>
    </row>
    <row r="2194" spans="1:17" x14ac:dyDescent="0.2">
      <c r="A2194">
        <v>1482389</v>
      </c>
      <c r="B2194">
        <v>1928</v>
      </c>
      <c r="C2194" s="1" t="s">
        <v>101</v>
      </c>
      <c r="D2194" s="11">
        <v>45216.010416666664</v>
      </c>
      <c r="E2194" t="s">
        <v>191</v>
      </c>
      <c r="F2194" t="s">
        <v>77</v>
      </c>
      <c r="G2194">
        <v>32</v>
      </c>
      <c r="H2194" s="5" t="s">
        <v>101</v>
      </c>
      <c r="I2194" s="15">
        <v>45216</v>
      </c>
      <c r="J2194" s="15" t="s">
        <v>295</v>
      </c>
      <c r="K2194" s="6">
        <v>0.51041666666666663</v>
      </c>
      <c r="L2194" t="s">
        <v>146</v>
      </c>
      <c r="M2194">
        <v>100000</v>
      </c>
      <c r="N2194" t="s">
        <v>222</v>
      </c>
      <c r="O2194" t="s">
        <v>151</v>
      </c>
      <c r="P2194">
        <v>62</v>
      </c>
      <c r="Q2194" t="s">
        <v>157</v>
      </c>
    </row>
    <row r="2195" spans="1:17" x14ac:dyDescent="0.2">
      <c r="A2195">
        <v>1483729</v>
      </c>
      <c r="B2195">
        <v>1668</v>
      </c>
      <c r="C2195" s="1" t="s">
        <v>99</v>
      </c>
      <c r="D2195" s="11">
        <v>45183.990972222222</v>
      </c>
      <c r="E2195" t="s">
        <v>191</v>
      </c>
      <c r="F2195" t="s">
        <v>18</v>
      </c>
      <c r="G2195">
        <v>1625</v>
      </c>
      <c r="H2195" s="5" t="s">
        <v>99</v>
      </c>
      <c r="I2195" s="15">
        <v>45183</v>
      </c>
      <c r="J2195" s="15" t="s">
        <v>234</v>
      </c>
      <c r="K2195" s="6">
        <v>0.4909722222222222</v>
      </c>
      <c r="L2195" t="s">
        <v>145</v>
      </c>
      <c r="M2195">
        <v>200000</v>
      </c>
      <c r="N2195" t="s">
        <v>210</v>
      </c>
      <c r="O2195" t="s">
        <v>152</v>
      </c>
      <c r="P2195">
        <v>68</v>
      </c>
      <c r="Q2195" t="s">
        <v>157</v>
      </c>
    </row>
    <row r="2196" spans="1:17" x14ac:dyDescent="0.2">
      <c r="A2196">
        <v>1483901</v>
      </c>
      <c r="B2196">
        <v>1708</v>
      </c>
      <c r="C2196" s="1" t="s">
        <v>100</v>
      </c>
      <c r="D2196" s="11">
        <v>45115.034722222219</v>
      </c>
      <c r="E2196" t="s">
        <v>191</v>
      </c>
      <c r="F2196" t="s">
        <v>30</v>
      </c>
      <c r="G2196">
        <v>9214</v>
      </c>
      <c r="H2196" s="5" t="s">
        <v>100</v>
      </c>
      <c r="I2196" s="15">
        <v>45115</v>
      </c>
      <c r="J2196" s="15" t="s">
        <v>234</v>
      </c>
      <c r="K2196" s="6">
        <v>0.53472222222222221</v>
      </c>
      <c r="L2196" t="s">
        <v>144</v>
      </c>
      <c r="M2196">
        <v>200000</v>
      </c>
      <c r="N2196" t="s">
        <v>216</v>
      </c>
      <c r="O2196" t="s">
        <v>151</v>
      </c>
      <c r="P2196">
        <v>87</v>
      </c>
      <c r="Q2196" t="s">
        <v>157</v>
      </c>
    </row>
    <row r="2197" spans="1:17" x14ac:dyDescent="0.2">
      <c r="A2197">
        <v>1483931</v>
      </c>
      <c r="B2197">
        <v>1980</v>
      </c>
      <c r="C2197" s="1" t="s">
        <v>110</v>
      </c>
      <c r="D2197" s="11">
        <v>45031.058333333334</v>
      </c>
      <c r="E2197" t="s">
        <v>98</v>
      </c>
      <c r="F2197" t="s">
        <v>16</v>
      </c>
      <c r="G2197">
        <v>4382</v>
      </c>
      <c r="H2197" s="5" t="s">
        <v>110</v>
      </c>
      <c r="I2197" s="15">
        <v>45031</v>
      </c>
      <c r="J2197" s="15" t="s">
        <v>233</v>
      </c>
      <c r="K2197" s="6">
        <v>5.8333333333333334E-2</v>
      </c>
      <c r="L2197" t="s">
        <v>142</v>
      </c>
      <c r="M2197">
        <v>80000</v>
      </c>
      <c r="N2197" t="s">
        <v>208</v>
      </c>
      <c r="O2197" t="s">
        <v>151</v>
      </c>
      <c r="P2197">
        <v>57</v>
      </c>
      <c r="Q2197" t="s">
        <v>157</v>
      </c>
    </row>
    <row r="2198" spans="1:17" x14ac:dyDescent="0.2">
      <c r="A2198">
        <v>1485067</v>
      </c>
      <c r="B2198">
        <v>1608</v>
      </c>
      <c r="C2198" s="1" t="s">
        <v>99</v>
      </c>
      <c r="D2198" s="11">
        <v>44963.006249999999</v>
      </c>
      <c r="E2198" t="s">
        <v>191</v>
      </c>
      <c r="F2198" t="s">
        <v>74</v>
      </c>
      <c r="G2198">
        <v>3382</v>
      </c>
      <c r="H2198" s="5" t="s">
        <v>99</v>
      </c>
      <c r="I2198" s="15">
        <v>44963</v>
      </c>
      <c r="J2198" s="15" t="s">
        <v>232</v>
      </c>
      <c r="K2198" s="6">
        <v>0.50624999999999998</v>
      </c>
      <c r="L2198" t="s">
        <v>145</v>
      </c>
      <c r="M2198">
        <v>150000</v>
      </c>
      <c r="N2198" t="s">
        <v>226</v>
      </c>
      <c r="O2198" t="s">
        <v>151</v>
      </c>
      <c r="P2198">
        <v>43</v>
      </c>
      <c r="Q2198" t="s">
        <v>157</v>
      </c>
    </row>
    <row r="2199" spans="1:17" x14ac:dyDescent="0.2">
      <c r="A2199">
        <v>1485425</v>
      </c>
      <c r="B2199">
        <v>980</v>
      </c>
      <c r="C2199" s="1" t="s">
        <v>99</v>
      </c>
      <c r="D2199" s="11">
        <v>45125.954861111109</v>
      </c>
      <c r="E2199" t="s">
        <v>97</v>
      </c>
      <c r="F2199" t="s">
        <v>70</v>
      </c>
      <c r="G2199">
        <v>9648</v>
      </c>
      <c r="H2199" s="5" t="s">
        <v>99</v>
      </c>
      <c r="I2199" s="15">
        <v>45125</v>
      </c>
      <c r="J2199" s="15" t="s">
        <v>234</v>
      </c>
      <c r="K2199" s="6">
        <v>0.4548611111111111</v>
      </c>
      <c r="L2199" t="s">
        <v>143</v>
      </c>
      <c r="M2199">
        <v>100000</v>
      </c>
      <c r="N2199" t="s">
        <v>205</v>
      </c>
      <c r="O2199" t="s">
        <v>152</v>
      </c>
      <c r="P2199">
        <v>31</v>
      </c>
      <c r="Q2199" t="s">
        <v>155</v>
      </c>
    </row>
    <row r="2200" spans="1:17" x14ac:dyDescent="0.2">
      <c r="A2200">
        <v>1485939</v>
      </c>
      <c r="B2200">
        <v>899</v>
      </c>
      <c r="C2200" s="1" t="s">
        <v>99</v>
      </c>
      <c r="D2200" s="11">
        <v>44980</v>
      </c>
      <c r="E2200" t="s">
        <v>191</v>
      </c>
      <c r="F2200" t="s">
        <v>71</v>
      </c>
      <c r="G2200">
        <v>902</v>
      </c>
      <c r="H2200" s="5" t="s">
        <v>99</v>
      </c>
      <c r="I2200" s="15">
        <v>44980</v>
      </c>
      <c r="J2200" s="15" t="s">
        <v>232</v>
      </c>
      <c r="K2200" s="6">
        <v>0.5</v>
      </c>
      <c r="L2200" t="s">
        <v>145</v>
      </c>
      <c r="M2200">
        <v>150000</v>
      </c>
      <c r="N2200" t="s">
        <v>226</v>
      </c>
      <c r="O2200" t="s">
        <v>152</v>
      </c>
      <c r="P2200">
        <v>75</v>
      </c>
      <c r="Q2200" t="s">
        <v>155</v>
      </c>
    </row>
    <row r="2201" spans="1:17" x14ac:dyDescent="0.2">
      <c r="A2201">
        <v>1486000</v>
      </c>
      <c r="B2201">
        <v>545</v>
      </c>
      <c r="C2201" s="1" t="s">
        <v>99</v>
      </c>
      <c r="D2201" s="11">
        <v>45283.048611111109</v>
      </c>
      <c r="E2201" t="s">
        <v>98</v>
      </c>
      <c r="F2201" t="s">
        <v>43</v>
      </c>
      <c r="G2201">
        <v>2377</v>
      </c>
      <c r="H2201" s="5" t="s">
        <v>99</v>
      </c>
      <c r="I2201" s="15">
        <v>45283</v>
      </c>
      <c r="J2201" s="15" t="s">
        <v>295</v>
      </c>
      <c r="K2201" s="6">
        <v>4.8611111111111112E-2</v>
      </c>
      <c r="L2201" t="s">
        <v>145</v>
      </c>
      <c r="M2201">
        <v>1000000</v>
      </c>
      <c r="N2201" t="s">
        <v>203</v>
      </c>
      <c r="O2201" t="s">
        <v>151</v>
      </c>
      <c r="P2201">
        <v>76</v>
      </c>
      <c r="Q2201" t="s">
        <v>155</v>
      </c>
    </row>
    <row r="2202" spans="1:17" x14ac:dyDescent="0.2">
      <c r="A2202">
        <v>1486426</v>
      </c>
      <c r="B2202">
        <v>1244</v>
      </c>
      <c r="C2202" s="1" t="s">
        <v>105</v>
      </c>
      <c r="D2202" s="11">
        <v>45229.984722222223</v>
      </c>
      <c r="E2202" t="s">
        <v>97</v>
      </c>
      <c r="F2202" t="s">
        <v>7</v>
      </c>
      <c r="G2202">
        <v>8227</v>
      </c>
      <c r="H2202" s="5" t="s">
        <v>105</v>
      </c>
      <c r="I2202" s="15">
        <v>45229</v>
      </c>
      <c r="J2202" s="15" t="s">
        <v>295</v>
      </c>
      <c r="K2202" s="6">
        <v>0.48472222222222222</v>
      </c>
      <c r="L2202" t="s">
        <v>144</v>
      </c>
      <c r="M2202">
        <v>150000</v>
      </c>
      <c r="N2202" t="s">
        <v>200</v>
      </c>
      <c r="O2202" t="s">
        <v>152</v>
      </c>
      <c r="P2202">
        <v>20</v>
      </c>
      <c r="Q2202" t="s">
        <v>156</v>
      </c>
    </row>
    <row r="2203" spans="1:17" x14ac:dyDescent="0.2">
      <c r="A2203">
        <v>1487293</v>
      </c>
      <c r="B2203">
        <v>1157</v>
      </c>
      <c r="C2203" s="1" t="s">
        <v>106</v>
      </c>
      <c r="D2203" s="11">
        <v>44952.052083333336</v>
      </c>
      <c r="E2203" t="s">
        <v>191</v>
      </c>
      <c r="F2203" t="s">
        <v>8</v>
      </c>
      <c r="G2203">
        <v>2092</v>
      </c>
      <c r="H2203" s="5" t="s">
        <v>106</v>
      </c>
      <c r="I2203" s="15">
        <v>44952</v>
      </c>
      <c r="J2203" s="15" t="s">
        <v>232</v>
      </c>
      <c r="K2203" s="6">
        <v>5.2083333333333336E-2</v>
      </c>
      <c r="L2203" t="s">
        <v>142</v>
      </c>
      <c r="M2203">
        <v>200000</v>
      </c>
      <c r="N2203" t="s">
        <v>201</v>
      </c>
      <c r="O2203" t="s">
        <v>152</v>
      </c>
      <c r="P2203">
        <v>70</v>
      </c>
      <c r="Q2203" t="s">
        <v>156</v>
      </c>
    </row>
    <row r="2204" spans="1:17" x14ac:dyDescent="0.2">
      <c r="A2204">
        <v>1487429</v>
      </c>
      <c r="B2204">
        <v>1983</v>
      </c>
      <c r="C2204" s="1" t="s">
        <v>105</v>
      </c>
      <c r="D2204" s="11">
        <v>44990.979861111111</v>
      </c>
      <c r="E2204" t="s">
        <v>191</v>
      </c>
      <c r="F2204" t="s">
        <v>46</v>
      </c>
      <c r="G2204">
        <v>5465</v>
      </c>
      <c r="H2204" s="5" t="s">
        <v>105</v>
      </c>
      <c r="I2204" s="15">
        <v>44990</v>
      </c>
      <c r="J2204" s="15" t="s">
        <v>232</v>
      </c>
      <c r="K2204" s="6">
        <v>0.47986111111111113</v>
      </c>
      <c r="L2204" t="s">
        <v>142</v>
      </c>
      <c r="M2204">
        <v>200000</v>
      </c>
      <c r="N2204" t="s">
        <v>211</v>
      </c>
      <c r="O2204" t="s">
        <v>152</v>
      </c>
      <c r="P2204">
        <v>35</v>
      </c>
      <c r="Q2204" t="s">
        <v>157</v>
      </c>
    </row>
    <row r="2205" spans="1:17" x14ac:dyDescent="0.2">
      <c r="A2205">
        <v>1488818</v>
      </c>
      <c r="B2205">
        <v>827</v>
      </c>
      <c r="C2205" s="1" t="s">
        <v>106</v>
      </c>
      <c r="D2205" s="11">
        <v>45052.03402777778</v>
      </c>
      <c r="E2205" t="s">
        <v>96</v>
      </c>
      <c r="F2205" t="s">
        <v>10</v>
      </c>
      <c r="G2205">
        <v>8763</v>
      </c>
      <c r="H2205" s="5" t="s">
        <v>106</v>
      </c>
      <c r="I2205" s="15">
        <v>45052</v>
      </c>
      <c r="J2205" s="15" t="s">
        <v>233</v>
      </c>
      <c r="K2205" s="6">
        <v>0.53402777777777777</v>
      </c>
      <c r="L2205" t="s">
        <v>145</v>
      </c>
      <c r="M2205">
        <v>150000</v>
      </c>
      <c r="N2205" t="s">
        <v>203</v>
      </c>
      <c r="O2205" t="s">
        <v>151</v>
      </c>
      <c r="P2205">
        <v>40</v>
      </c>
      <c r="Q2205" t="s">
        <v>155</v>
      </c>
    </row>
    <row r="2206" spans="1:17" x14ac:dyDescent="0.2">
      <c r="A2206">
        <v>1488979</v>
      </c>
      <c r="B2206">
        <v>1787</v>
      </c>
      <c r="C2206" s="1" t="s">
        <v>100</v>
      </c>
      <c r="D2206" s="11">
        <v>45156.056250000001</v>
      </c>
      <c r="E2206" t="s">
        <v>97</v>
      </c>
      <c r="F2206" t="s">
        <v>27</v>
      </c>
      <c r="G2206">
        <v>8980</v>
      </c>
      <c r="H2206" s="5" t="s">
        <v>100</v>
      </c>
      <c r="I2206" s="15">
        <v>45156</v>
      </c>
      <c r="J2206" s="15" t="s">
        <v>234</v>
      </c>
      <c r="K2206" s="6">
        <v>5.6250000000000001E-2</v>
      </c>
      <c r="L2206" t="s">
        <v>142</v>
      </c>
      <c r="M2206">
        <v>1000000</v>
      </c>
      <c r="N2206" t="s">
        <v>209</v>
      </c>
      <c r="O2206" t="s">
        <v>152</v>
      </c>
      <c r="P2206">
        <v>48</v>
      </c>
      <c r="Q2206" t="s">
        <v>157</v>
      </c>
    </row>
    <row r="2207" spans="1:17" x14ac:dyDescent="0.2">
      <c r="A2207">
        <v>1489446</v>
      </c>
      <c r="B2207">
        <v>1158</v>
      </c>
      <c r="C2207" s="1" t="s">
        <v>103</v>
      </c>
      <c r="D2207" s="11">
        <v>45225.083333333336</v>
      </c>
      <c r="E2207" t="s">
        <v>98</v>
      </c>
      <c r="F2207" t="s">
        <v>13</v>
      </c>
      <c r="G2207">
        <v>4889</v>
      </c>
      <c r="H2207" s="5" t="s">
        <v>103</v>
      </c>
      <c r="I2207" s="15">
        <v>45225</v>
      </c>
      <c r="J2207" s="15" t="s">
        <v>295</v>
      </c>
      <c r="K2207" s="6">
        <v>8.3333333333333329E-2</v>
      </c>
      <c r="L2207" t="s">
        <v>143</v>
      </c>
      <c r="M2207">
        <v>150000</v>
      </c>
      <c r="N2207" t="s">
        <v>206</v>
      </c>
      <c r="O2207" t="s">
        <v>151</v>
      </c>
      <c r="P2207">
        <v>59</v>
      </c>
      <c r="Q2207" t="s">
        <v>156</v>
      </c>
    </row>
    <row r="2208" spans="1:17" x14ac:dyDescent="0.2">
      <c r="A2208">
        <v>1489846</v>
      </c>
      <c r="B2208">
        <v>1501</v>
      </c>
      <c r="C2208" s="1" t="s">
        <v>99</v>
      </c>
      <c r="D2208" s="11">
        <v>45077.073611111111</v>
      </c>
      <c r="E2208" t="s">
        <v>97</v>
      </c>
      <c r="F2208" t="s">
        <v>10</v>
      </c>
      <c r="G2208">
        <v>1094</v>
      </c>
      <c r="H2208" s="5" t="s">
        <v>99</v>
      </c>
      <c r="I2208" s="15">
        <v>45077</v>
      </c>
      <c r="J2208" s="15" t="s">
        <v>233</v>
      </c>
      <c r="K2208" s="6">
        <v>7.3611111111111113E-2</v>
      </c>
      <c r="L2208" t="s">
        <v>145</v>
      </c>
      <c r="M2208">
        <v>150000</v>
      </c>
      <c r="N2208" t="s">
        <v>203</v>
      </c>
      <c r="O2208" t="s">
        <v>151</v>
      </c>
      <c r="P2208">
        <v>51</v>
      </c>
      <c r="Q2208" t="s">
        <v>157</v>
      </c>
    </row>
    <row r="2209" spans="1:17" x14ac:dyDescent="0.2">
      <c r="A2209">
        <v>1490112</v>
      </c>
      <c r="B2209">
        <v>348</v>
      </c>
      <c r="C2209" s="1" t="s">
        <v>100</v>
      </c>
      <c r="D2209" s="11">
        <v>45164.043749999997</v>
      </c>
      <c r="E2209" t="s">
        <v>96</v>
      </c>
      <c r="F2209" t="s">
        <v>15</v>
      </c>
      <c r="G2209">
        <v>7429</v>
      </c>
      <c r="H2209" s="5" t="s">
        <v>100</v>
      </c>
      <c r="I2209" s="15">
        <v>45164</v>
      </c>
      <c r="J2209" s="15" t="s">
        <v>234</v>
      </c>
      <c r="K2209" s="6">
        <v>4.3749999999999997E-2</v>
      </c>
      <c r="L2209" t="s">
        <v>143</v>
      </c>
      <c r="M2209">
        <v>150000</v>
      </c>
      <c r="N2209" t="s">
        <v>198</v>
      </c>
      <c r="O2209" t="s">
        <v>151</v>
      </c>
      <c r="P2209">
        <v>61</v>
      </c>
      <c r="Q2209" t="s">
        <v>154</v>
      </c>
    </row>
    <row r="2210" spans="1:17" x14ac:dyDescent="0.2">
      <c r="A2210">
        <v>1490458</v>
      </c>
      <c r="B2210">
        <v>1820</v>
      </c>
      <c r="C2210" s="8" t="s">
        <v>99</v>
      </c>
      <c r="D2210" s="11">
        <v>45020.054861111108</v>
      </c>
      <c r="E2210" t="s">
        <v>191</v>
      </c>
      <c r="F2210" t="s">
        <v>13</v>
      </c>
      <c r="G2210">
        <v>3873</v>
      </c>
      <c r="H2210" s="5" t="s">
        <v>99</v>
      </c>
      <c r="I2210" s="15">
        <v>45020</v>
      </c>
      <c r="J2210" s="15" t="s">
        <v>233</v>
      </c>
      <c r="K2210" s="6">
        <v>5.486111111111111E-2</v>
      </c>
      <c r="L2210" t="s">
        <v>143</v>
      </c>
      <c r="M2210">
        <v>150000</v>
      </c>
      <c r="N2210" t="s">
        <v>206</v>
      </c>
      <c r="O2210" t="s">
        <v>151</v>
      </c>
      <c r="P2210">
        <v>71</v>
      </c>
      <c r="Q2210" t="s">
        <v>157</v>
      </c>
    </row>
    <row r="2211" spans="1:17" x14ac:dyDescent="0.2">
      <c r="A2211">
        <v>1490598</v>
      </c>
      <c r="B2211">
        <v>1613</v>
      </c>
      <c r="C2211" s="1" t="s">
        <v>99</v>
      </c>
      <c r="D2211" s="11">
        <v>45184.009027777778</v>
      </c>
      <c r="E2211" t="s">
        <v>98</v>
      </c>
      <c r="F2211" t="s">
        <v>62</v>
      </c>
      <c r="G2211">
        <v>2270</v>
      </c>
      <c r="H2211" s="5" t="s">
        <v>99</v>
      </c>
      <c r="I2211" s="15">
        <v>45184</v>
      </c>
      <c r="J2211" s="15" t="s">
        <v>234</v>
      </c>
      <c r="K2211" s="6">
        <v>0.50902777777777775</v>
      </c>
      <c r="L2211" t="s">
        <v>145</v>
      </c>
      <c r="M2211">
        <v>100000</v>
      </c>
      <c r="N2211" t="s">
        <v>217</v>
      </c>
      <c r="O2211" t="s">
        <v>151</v>
      </c>
      <c r="P2211">
        <v>71</v>
      </c>
      <c r="Q2211" t="s">
        <v>157</v>
      </c>
    </row>
    <row r="2212" spans="1:17" x14ac:dyDescent="0.2">
      <c r="A2212">
        <v>1491354</v>
      </c>
      <c r="B2212">
        <v>1812</v>
      </c>
      <c r="C2212" s="1" t="s">
        <v>105</v>
      </c>
      <c r="D2212" s="11">
        <v>45225.088194444441</v>
      </c>
      <c r="E2212" t="s">
        <v>97</v>
      </c>
      <c r="F2212" t="s">
        <v>75</v>
      </c>
      <c r="G2212">
        <v>86</v>
      </c>
      <c r="H2212" s="5" t="s">
        <v>105</v>
      </c>
      <c r="I2212" s="15">
        <v>45225</v>
      </c>
      <c r="J2212" s="15" t="s">
        <v>295</v>
      </c>
      <c r="K2212" s="6">
        <v>8.819444444444445E-2</v>
      </c>
      <c r="L2212" t="s">
        <v>143</v>
      </c>
      <c r="M2212">
        <v>50000</v>
      </c>
      <c r="N2212" t="s">
        <v>205</v>
      </c>
      <c r="O2212" t="s">
        <v>151</v>
      </c>
      <c r="P2212">
        <v>49</v>
      </c>
      <c r="Q2212" t="s">
        <v>157</v>
      </c>
    </row>
    <row r="2213" spans="1:17" x14ac:dyDescent="0.2">
      <c r="A2213">
        <v>1491897</v>
      </c>
      <c r="B2213">
        <v>1955</v>
      </c>
      <c r="C2213" s="1" t="s">
        <v>105</v>
      </c>
      <c r="D2213" s="11">
        <v>45205.073611111111</v>
      </c>
      <c r="E2213" t="s">
        <v>191</v>
      </c>
      <c r="F2213" t="s">
        <v>19</v>
      </c>
      <c r="G2213">
        <v>9703</v>
      </c>
      <c r="H2213" s="5" t="s">
        <v>105</v>
      </c>
      <c r="I2213" s="15">
        <v>45205</v>
      </c>
      <c r="J2213" s="15" t="s">
        <v>295</v>
      </c>
      <c r="K2213" s="6">
        <v>7.3611111111111113E-2</v>
      </c>
      <c r="L2213" t="s">
        <v>142</v>
      </c>
      <c r="M2213">
        <v>150000</v>
      </c>
      <c r="N2213" t="s">
        <v>211</v>
      </c>
      <c r="O2213" t="s">
        <v>152</v>
      </c>
      <c r="P2213">
        <v>68</v>
      </c>
      <c r="Q2213" t="s">
        <v>157</v>
      </c>
    </row>
    <row r="2214" spans="1:17" x14ac:dyDescent="0.2">
      <c r="A2214">
        <v>1492578</v>
      </c>
      <c r="B2214">
        <v>1234</v>
      </c>
      <c r="C2214" s="1" t="s">
        <v>99</v>
      </c>
      <c r="D2214" s="11">
        <v>45164.015277777777</v>
      </c>
      <c r="E2214" t="s">
        <v>191</v>
      </c>
      <c r="F2214" t="s">
        <v>20</v>
      </c>
      <c r="G2214">
        <v>3400</v>
      </c>
      <c r="H2214" s="5" t="s">
        <v>99</v>
      </c>
      <c r="I2214" s="15">
        <v>45164</v>
      </c>
      <c r="J2214" s="15" t="s">
        <v>234</v>
      </c>
      <c r="K2214" s="6">
        <v>0.51527777777777772</v>
      </c>
      <c r="L2214" t="s">
        <v>146</v>
      </c>
      <c r="M2214">
        <v>150000</v>
      </c>
      <c r="N2214" t="s">
        <v>212</v>
      </c>
      <c r="O2214" t="s">
        <v>151</v>
      </c>
      <c r="P2214">
        <v>89</v>
      </c>
      <c r="Q2214" t="s">
        <v>156</v>
      </c>
    </row>
    <row r="2215" spans="1:17" x14ac:dyDescent="0.2">
      <c r="A2215">
        <v>1493135</v>
      </c>
      <c r="B2215">
        <v>378</v>
      </c>
      <c r="C2215" s="1" t="s">
        <v>110</v>
      </c>
      <c r="D2215" s="11">
        <v>45146.972222222219</v>
      </c>
      <c r="E2215" t="s">
        <v>191</v>
      </c>
      <c r="F2215" t="s">
        <v>72</v>
      </c>
      <c r="G2215">
        <v>8000</v>
      </c>
      <c r="H2215" s="5" t="s">
        <v>110</v>
      </c>
      <c r="I2215" s="15">
        <v>45146</v>
      </c>
      <c r="J2215" s="15" t="s">
        <v>234</v>
      </c>
      <c r="K2215" s="6">
        <v>0.47222222222222221</v>
      </c>
      <c r="L2215" t="s">
        <v>143</v>
      </c>
      <c r="M2215">
        <v>150000</v>
      </c>
      <c r="N2215" t="s">
        <v>223</v>
      </c>
      <c r="O2215" t="s">
        <v>151</v>
      </c>
      <c r="P2215">
        <v>69</v>
      </c>
      <c r="Q2215" t="s">
        <v>154</v>
      </c>
    </row>
    <row r="2216" spans="1:17" x14ac:dyDescent="0.2">
      <c r="A2216">
        <v>1494087</v>
      </c>
      <c r="B2216">
        <v>118</v>
      </c>
      <c r="C2216" s="1" t="s">
        <v>99</v>
      </c>
      <c r="D2216" s="11">
        <v>45039.067361111112</v>
      </c>
      <c r="E2216" t="s">
        <v>98</v>
      </c>
      <c r="F2216" t="s">
        <v>83</v>
      </c>
      <c r="G2216">
        <v>6162</v>
      </c>
      <c r="H2216" s="5" t="s">
        <v>99</v>
      </c>
      <c r="I2216" s="15">
        <v>45039</v>
      </c>
      <c r="J2216" s="15" t="s">
        <v>233</v>
      </c>
      <c r="K2216" s="6">
        <v>6.7361111111111108E-2</v>
      </c>
      <c r="L2216" t="s">
        <v>143</v>
      </c>
      <c r="M2216">
        <v>200000</v>
      </c>
      <c r="N2216" t="s">
        <v>206</v>
      </c>
      <c r="O2216" t="s">
        <v>152</v>
      </c>
      <c r="P2216">
        <v>25</v>
      </c>
      <c r="Q2216" t="s">
        <v>154</v>
      </c>
    </row>
    <row r="2217" spans="1:17" x14ac:dyDescent="0.2">
      <c r="A2217">
        <v>1494182</v>
      </c>
      <c r="B2217">
        <v>1512</v>
      </c>
      <c r="C2217" s="1" t="s">
        <v>108</v>
      </c>
      <c r="D2217" s="11">
        <v>45254.98541666667</v>
      </c>
      <c r="E2217" t="s">
        <v>97</v>
      </c>
      <c r="F2217" t="s">
        <v>49</v>
      </c>
      <c r="G2217">
        <v>775</v>
      </c>
      <c r="H2217" s="5" t="s">
        <v>108</v>
      </c>
      <c r="I2217" s="15">
        <v>45254</v>
      </c>
      <c r="J2217" s="15" t="s">
        <v>295</v>
      </c>
      <c r="K2217" s="6">
        <v>0.48541666666666666</v>
      </c>
      <c r="L2217" t="s">
        <v>146</v>
      </c>
      <c r="M2217">
        <v>100000</v>
      </c>
      <c r="N2217" t="s">
        <v>222</v>
      </c>
      <c r="O2217" t="s">
        <v>152</v>
      </c>
      <c r="P2217">
        <v>28</v>
      </c>
      <c r="Q2217" t="s">
        <v>157</v>
      </c>
    </row>
    <row r="2218" spans="1:17" x14ac:dyDescent="0.2">
      <c r="A2218">
        <v>1494501</v>
      </c>
      <c r="B2218">
        <v>1519</v>
      </c>
      <c r="C2218" s="1" t="s">
        <v>105</v>
      </c>
      <c r="D2218" s="11">
        <v>45198.978472222225</v>
      </c>
      <c r="E2218" t="s">
        <v>96</v>
      </c>
      <c r="F2218" t="s">
        <v>5</v>
      </c>
      <c r="G2218">
        <v>5248</v>
      </c>
      <c r="H2218" s="5" t="s">
        <v>105</v>
      </c>
      <c r="I2218" s="15">
        <v>45198</v>
      </c>
      <c r="J2218" s="15" t="s">
        <v>234</v>
      </c>
      <c r="K2218" s="6">
        <v>0.47847222222222224</v>
      </c>
      <c r="L2218" t="s">
        <v>143</v>
      </c>
      <c r="M2218">
        <v>200000</v>
      </c>
      <c r="N2218" t="s">
        <v>198</v>
      </c>
      <c r="O2218" t="s">
        <v>151</v>
      </c>
      <c r="P2218">
        <v>20</v>
      </c>
      <c r="Q2218" t="s">
        <v>157</v>
      </c>
    </row>
    <row r="2219" spans="1:17" x14ac:dyDescent="0.2">
      <c r="A2219">
        <v>1494544</v>
      </c>
      <c r="B2219">
        <v>651</v>
      </c>
      <c r="C2219" s="1" t="s">
        <v>99</v>
      </c>
      <c r="D2219" s="11">
        <v>45097.082638888889</v>
      </c>
      <c r="E2219" t="s">
        <v>97</v>
      </c>
      <c r="F2219" t="s">
        <v>27</v>
      </c>
      <c r="G2219">
        <v>1370</v>
      </c>
      <c r="H2219" s="5" t="s">
        <v>99</v>
      </c>
      <c r="I2219" s="15">
        <v>45097</v>
      </c>
      <c r="J2219" s="15" t="s">
        <v>233</v>
      </c>
      <c r="K2219" s="6">
        <v>8.2638888888888887E-2</v>
      </c>
      <c r="L2219" t="s">
        <v>142</v>
      </c>
      <c r="M2219">
        <v>1000000</v>
      </c>
      <c r="N2219" t="s">
        <v>209</v>
      </c>
      <c r="O2219" t="s">
        <v>152</v>
      </c>
      <c r="P2219">
        <v>61</v>
      </c>
      <c r="Q2219" t="s">
        <v>155</v>
      </c>
    </row>
    <row r="2220" spans="1:17" x14ac:dyDescent="0.2">
      <c r="A2220">
        <v>1495611</v>
      </c>
      <c r="B2220">
        <v>1863</v>
      </c>
      <c r="C2220" s="1" t="s">
        <v>105</v>
      </c>
      <c r="D2220" s="11">
        <v>45218.974999999999</v>
      </c>
      <c r="E2220" t="s">
        <v>97</v>
      </c>
      <c r="F2220" t="s">
        <v>71</v>
      </c>
      <c r="G2220">
        <v>3590</v>
      </c>
      <c r="H2220" s="5" t="s">
        <v>105</v>
      </c>
      <c r="I2220" s="15">
        <v>45218</v>
      </c>
      <c r="J2220" s="15" t="s">
        <v>295</v>
      </c>
      <c r="K2220" s="6">
        <v>0.47499999999999998</v>
      </c>
      <c r="L2220" t="s">
        <v>145</v>
      </c>
      <c r="M2220">
        <v>150000</v>
      </c>
      <c r="N2220" t="s">
        <v>226</v>
      </c>
      <c r="O2220" t="s">
        <v>152</v>
      </c>
      <c r="P2220">
        <v>21</v>
      </c>
      <c r="Q2220" t="s">
        <v>157</v>
      </c>
    </row>
    <row r="2221" spans="1:17" x14ac:dyDescent="0.2">
      <c r="A2221">
        <v>1496982</v>
      </c>
      <c r="B2221">
        <v>616</v>
      </c>
      <c r="C2221" s="1" t="s">
        <v>100</v>
      </c>
      <c r="D2221" s="11">
        <v>45109.043749999997</v>
      </c>
      <c r="E2221" t="s">
        <v>98</v>
      </c>
      <c r="F2221" t="s">
        <v>27</v>
      </c>
      <c r="G2221">
        <v>4824</v>
      </c>
      <c r="H2221" s="5" t="s">
        <v>100</v>
      </c>
      <c r="I2221" s="15">
        <v>45109</v>
      </c>
      <c r="J2221" s="15" t="s">
        <v>234</v>
      </c>
      <c r="K2221" s="6">
        <v>4.3749999999999997E-2</v>
      </c>
      <c r="L2221" t="s">
        <v>142</v>
      </c>
      <c r="M2221">
        <v>1000000</v>
      </c>
      <c r="N2221" t="s">
        <v>209</v>
      </c>
      <c r="O2221" t="s">
        <v>151</v>
      </c>
      <c r="P2221">
        <v>40</v>
      </c>
      <c r="Q2221" t="s">
        <v>155</v>
      </c>
    </row>
    <row r="2222" spans="1:17" x14ac:dyDescent="0.2">
      <c r="A2222">
        <v>1497326</v>
      </c>
      <c r="B2222">
        <v>1050</v>
      </c>
      <c r="C2222" s="1" t="s">
        <v>100</v>
      </c>
      <c r="D2222" s="11">
        <v>45259.061805555553</v>
      </c>
      <c r="E2222" t="s">
        <v>98</v>
      </c>
      <c r="F2222" t="s">
        <v>43</v>
      </c>
      <c r="G2222">
        <v>1670</v>
      </c>
      <c r="H2222" s="5" t="s">
        <v>100</v>
      </c>
      <c r="I2222" s="15">
        <v>45259</v>
      </c>
      <c r="J2222" s="15" t="s">
        <v>295</v>
      </c>
      <c r="K2222" s="6">
        <v>6.1805555555555558E-2</v>
      </c>
      <c r="L2222" t="s">
        <v>145</v>
      </c>
      <c r="M2222">
        <v>1000000</v>
      </c>
      <c r="N2222" t="s">
        <v>203</v>
      </c>
      <c r="O2222" t="s">
        <v>152</v>
      </c>
      <c r="P2222">
        <v>31</v>
      </c>
      <c r="Q2222" t="s">
        <v>156</v>
      </c>
    </row>
    <row r="2223" spans="1:17" x14ac:dyDescent="0.2">
      <c r="A2223">
        <v>1498622</v>
      </c>
      <c r="B2223">
        <v>1094</v>
      </c>
      <c r="C2223" s="1" t="s">
        <v>113</v>
      </c>
      <c r="D2223" s="11">
        <v>45191.007638888892</v>
      </c>
      <c r="E2223" t="s">
        <v>97</v>
      </c>
      <c r="F2223" t="s">
        <v>26</v>
      </c>
      <c r="G2223">
        <v>6659</v>
      </c>
      <c r="H2223" s="5" t="s">
        <v>113</v>
      </c>
      <c r="I2223" s="15">
        <v>45191</v>
      </c>
      <c r="J2223" s="15" t="s">
        <v>234</v>
      </c>
      <c r="K2223" s="6">
        <v>0.50763888888888886</v>
      </c>
      <c r="L2223" t="s">
        <v>145</v>
      </c>
      <c r="M2223">
        <v>100000</v>
      </c>
      <c r="N2223" t="s">
        <v>210</v>
      </c>
      <c r="O2223" t="s">
        <v>151</v>
      </c>
      <c r="P2223">
        <v>66</v>
      </c>
      <c r="Q2223" t="s">
        <v>156</v>
      </c>
    </row>
    <row r="2224" spans="1:17" x14ac:dyDescent="0.2">
      <c r="A2224">
        <v>1499914</v>
      </c>
      <c r="B2224">
        <v>684</v>
      </c>
      <c r="C2224" s="1" t="s">
        <v>102</v>
      </c>
      <c r="D2224" s="11">
        <v>44964.945138888892</v>
      </c>
      <c r="E2224" t="s">
        <v>191</v>
      </c>
      <c r="F2224" t="s">
        <v>27</v>
      </c>
      <c r="G2224">
        <v>7716</v>
      </c>
      <c r="H2224" s="5" t="s">
        <v>102</v>
      </c>
      <c r="I2224" s="15">
        <v>44964</v>
      </c>
      <c r="J2224" s="15" t="s">
        <v>232</v>
      </c>
      <c r="K2224" s="6">
        <v>0.44513888888888886</v>
      </c>
      <c r="L2224" t="s">
        <v>142</v>
      </c>
      <c r="M2224">
        <v>1000000</v>
      </c>
      <c r="N2224" t="s">
        <v>209</v>
      </c>
      <c r="O2224" t="s">
        <v>152</v>
      </c>
      <c r="P2224">
        <v>88</v>
      </c>
      <c r="Q2224" t="s">
        <v>155</v>
      </c>
    </row>
    <row r="2225" spans="1:17" x14ac:dyDescent="0.2">
      <c r="A2225">
        <v>1500165</v>
      </c>
      <c r="B2225">
        <v>979</v>
      </c>
      <c r="C2225" s="1" t="s">
        <v>101</v>
      </c>
      <c r="D2225" s="11">
        <v>45061.972916666666</v>
      </c>
      <c r="E2225" t="s">
        <v>191</v>
      </c>
      <c r="F2225" t="s">
        <v>66</v>
      </c>
      <c r="G2225">
        <v>3867</v>
      </c>
      <c r="H2225" s="5" t="s">
        <v>101</v>
      </c>
      <c r="I2225" s="15">
        <v>45061</v>
      </c>
      <c r="J2225" s="15" t="s">
        <v>233</v>
      </c>
      <c r="K2225" s="6">
        <v>0.47291666666666665</v>
      </c>
      <c r="L2225" t="s">
        <v>144</v>
      </c>
      <c r="M2225">
        <v>150000</v>
      </c>
      <c r="N2225" t="s">
        <v>224</v>
      </c>
      <c r="O2225" t="s">
        <v>152</v>
      </c>
      <c r="P2225">
        <v>47</v>
      </c>
      <c r="Q2225" t="s">
        <v>155</v>
      </c>
    </row>
    <row r="2226" spans="1:17" x14ac:dyDescent="0.2">
      <c r="A2226">
        <v>1500373</v>
      </c>
      <c r="B2226">
        <v>746</v>
      </c>
      <c r="C2226" s="1" t="s">
        <v>99</v>
      </c>
      <c r="D2226" s="11">
        <v>45035.951388888891</v>
      </c>
      <c r="E2226" t="s">
        <v>191</v>
      </c>
      <c r="F2226" t="s">
        <v>78</v>
      </c>
      <c r="G2226">
        <v>1017</v>
      </c>
      <c r="H2226" s="5" t="s">
        <v>99</v>
      </c>
      <c r="I2226" s="15">
        <v>45035</v>
      </c>
      <c r="J2226" s="15" t="s">
        <v>233</v>
      </c>
      <c r="K2226" s="6">
        <v>0.4513888888888889</v>
      </c>
      <c r="L2226" t="s">
        <v>143</v>
      </c>
      <c r="M2226">
        <v>200000</v>
      </c>
      <c r="N2226" t="s">
        <v>215</v>
      </c>
      <c r="O2226" t="s">
        <v>152</v>
      </c>
      <c r="P2226">
        <v>75</v>
      </c>
      <c r="Q2226" t="s">
        <v>155</v>
      </c>
    </row>
    <row r="2227" spans="1:17" x14ac:dyDescent="0.2">
      <c r="A2227">
        <v>1500639</v>
      </c>
      <c r="B2227">
        <v>298</v>
      </c>
      <c r="C2227" s="1" t="s">
        <v>105</v>
      </c>
      <c r="D2227" s="11">
        <v>45099.038194444445</v>
      </c>
      <c r="E2227" t="s">
        <v>98</v>
      </c>
      <c r="F2227" t="s">
        <v>77</v>
      </c>
      <c r="G2227">
        <v>611</v>
      </c>
      <c r="H2227" s="5" t="s">
        <v>105</v>
      </c>
      <c r="I2227" s="15">
        <v>45099</v>
      </c>
      <c r="J2227" s="15" t="s">
        <v>233</v>
      </c>
      <c r="K2227" s="6">
        <v>0.53819444444444442</v>
      </c>
      <c r="L2227" t="s">
        <v>146</v>
      </c>
      <c r="M2227">
        <v>100000</v>
      </c>
      <c r="N2227" t="s">
        <v>222</v>
      </c>
      <c r="O2227" t="s">
        <v>151</v>
      </c>
      <c r="P2227">
        <v>34</v>
      </c>
      <c r="Q2227" t="s">
        <v>154</v>
      </c>
    </row>
    <row r="2228" spans="1:17" x14ac:dyDescent="0.2">
      <c r="A2228">
        <v>1501027</v>
      </c>
      <c r="B2228">
        <v>1645</v>
      </c>
      <c r="C2228" s="1" t="s">
        <v>101</v>
      </c>
      <c r="D2228" s="11">
        <v>45113.018750000003</v>
      </c>
      <c r="E2228" t="s">
        <v>191</v>
      </c>
      <c r="F2228" t="s">
        <v>64</v>
      </c>
      <c r="G2228">
        <v>7105</v>
      </c>
      <c r="H2228" s="5" t="s">
        <v>101</v>
      </c>
      <c r="I2228" s="15">
        <v>45113</v>
      </c>
      <c r="J2228" s="15" t="s">
        <v>234</v>
      </c>
      <c r="K2228" s="6">
        <v>0.51875000000000004</v>
      </c>
      <c r="L2228" t="s">
        <v>143</v>
      </c>
      <c r="M2228">
        <v>100000</v>
      </c>
      <c r="N2228" t="s">
        <v>223</v>
      </c>
      <c r="O2228" t="s">
        <v>151</v>
      </c>
      <c r="P2228">
        <v>86</v>
      </c>
      <c r="Q2228" t="s">
        <v>157</v>
      </c>
    </row>
    <row r="2229" spans="1:17" x14ac:dyDescent="0.2">
      <c r="A2229">
        <v>1502119</v>
      </c>
      <c r="B2229">
        <v>214</v>
      </c>
      <c r="C2229" s="1" t="s">
        <v>99</v>
      </c>
      <c r="D2229" s="11">
        <v>45192.977777777778</v>
      </c>
      <c r="E2229" t="s">
        <v>97</v>
      </c>
      <c r="F2229" t="s">
        <v>30</v>
      </c>
      <c r="G2229">
        <v>8968</v>
      </c>
      <c r="H2229" s="5" t="s">
        <v>99</v>
      </c>
      <c r="I2229" s="15">
        <v>45192</v>
      </c>
      <c r="J2229" s="15" t="s">
        <v>234</v>
      </c>
      <c r="K2229" s="6">
        <v>0.4777777777777778</v>
      </c>
      <c r="L2229" t="s">
        <v>144</v>
      </c>
      <c r="M2229">
        <v>200000</v>
      </c>
      <c r="N2229" t="s">
        <v>216</v>
      </c>
      <c r="O2229" t="s">
        <v>152</v>
      </c>
      <c r="P2229">
        <v>18</v>
      </c>
      <c r="Q2229" t="s">
        <v>154</v>
      </c>
    </row>
    <row r="2230" spans="1:17" x14ac:dyDescent="0.2">
      <c r="A2230">
        <v>1502209</v>
      </c>
      <c r="B2230">
        <v>1512</v>
      </c>
      <c r="C2230" s="1" t="s">
        <v>108</v>
      </c>
      <c r="D2230" s="11">
        <v>44984.98333333333</v>
      </c>
      <c r="E2230" t="s">
        <v>98</v>
      </c>
      <c r="F2230" t="s">
        <v>53</v>
      </c>
      <c r="G2230">
        <v>9349</v>
      </c>
      <c r="H2230" s="5" t="s">
        <v>108</v>
      </c>
      <c r="I2230" s="15">
        <v>44984</v>
      </c>
      <c r="J2230" s="15" t="s">
        <v>232</v>
      </c>
      <c r="K2230" s="6">
        <v>0.48333333333333334</v>
      </c>
      <c r="L2230" t="s">
        <v>142</v>
      </c>
      <c r="M2230">
        <v>100000</v>
      </c>
      <c r="N2230" t="s">
        <v>207</v>
      </c>
      <c r="O2230" t="s">
        <v>152</v>
      </c>
      <c r="P2230">
        <v>28</v>
      </c>
      <c r="Q2230" t="s">
        <v>157</v>
      </c>
    </row>
    <row r="2231" spans="1:17" x14ac:dyDescent="0.2">
      <c r="A2231">
        <v>1503185</v>
      </c>
      <c r="B2231">
        <v>738</v>
      </c>
      <c r="C2231" s="1" t="s">
        <v>100</v>
      </c>
      <c r="D2231" s="11">
        <v>45140.023611111108</v>
      </c>
      <c r="E2231" t="s">
        <v>191</v>
      </c>
      <c r="F2231" t="s">
        <v>85</v>
      </c>
      <c r="G2231">
        <v>7706</v>
      </c>
      <c r="H2231" s="5" t="s">
        <v>100</v>
      </c>
      <c r="I2231" s="15">
        <v>45140</v>
      </c>
      <c r="J2231" s="15" t="s">
        <v>234</v>
      </c>
      <c r="K2231" s="6">
        <v>0.52361111111111114</v>
      </c>
      <c r="L2231" t="s">
        <v>146</v>
      </c>
      <c r="M2231">
        <v>100000</v>
      </c>
      <c r="N2231" t="s">
        <v>212</v>
      </c>
      <c r="O2231" t="s">
        <v>151</v>
      </c>
      <c r="P2231">
        <v>25</v>
      </c>
      <c r="Q2231" t="s">
        <v>155</v>
      </c>
    </row>
    <row r="2232" spans="1:17" x14ac:dyDescent="0.2">
      <c r="A2232">
        <v>1503619</v>
      </c>
      <c r="B2232">
        <v>621</v>
      </c>
      <c r="C2232" s="1" t="s">
        <v>99</v>
      </c>
      <c r="D2232" s="11">
        <v>44943.037499999999</v>
      </c>
      <c r="E2232" t="s">
        <v>96</v>
      </c>
      <c r="F2232" t="s">
        <v>51</v>
      </c>
      <c r="G2232">
        <v>4436</v>
      </c>
      <c r="H2232" s="5" t="s">
        <v>99</v>
      </c>
      <c r="I2232" s="15">
        <v>44943</v>
      </c>
      <c r="J2232" s="15" t="s">
        <v>232</v>
      </c>
      <c r="K2232" s="6">
        <v>0.53749999999999998</v>
      </c>
      <c r="L2232" t="s">
        <v>145</v>
      </c>
      <c r="M2232">
        <v>100000</v>
      </c>
      <c r="N2232" t="s">
        <v>217</v>
      </c>
      <c r="O2232" t="s">
        <v>152</v>
      </c>
      <c r="P2232">
        <v>50</v>
      </c>
      <c r="Q2232" t="s">
        <v>155</v>
      </c>
    </row>
    <row r="2233" spans="1:17" x14ac:dyDescent="0.2">
      <c r="A2233">
        <v>1503941</v>
      </c>
      <c r="B2233">
        <v>1910</v>
      </c>
      <c r="C2233" s="1" t="s">
        <v>100</v>
      </c>
      <c r="D2233" s="11">
        <v>45244.083333333336</v>
      </c>
      <c r="E2233" t="s">
        <v>191</v>
      </c>
      <c r="F2233" t="s">
        <v>68</v>
      </c>
      <c r="G2233">
        <v>4898</v>
      </c>
      <c r="H2233" s="5" t="s">
        <v>100</v>
      </c>
      <c r="I2233" s="15">
        <v>45244</v>
      </c>
      <c r="J2233" s="15" t="s">
        <v>295</v>
      </c>
      <c r="K2233" s="6">
        <v>8.3333333333333329E-2</v>
      </c>
      <c r="L2233" t="s">
        <v>144</v>
      </c>
      <c r="M2233">
        <v>100000</v>
      </c>
      <c r="N2233" t="s">
        <v>200</v>
      </c>
      <c r="O2233" t="s">
        <v>151</v>
      </c>
      <c r="P2233">
        <v>51</v>
      </c>
      <c r="Q2233" t="s">
        <v>157</v>
      </c>
    </row>
    <row r="2234" spans="1:17" x14ac:dyDescent="0.2">
      <c r="A2234">
        <v>1506022</v>
      </c>
      <c r="B2234">
        <v>949</v>
      </c>
      <c r="C2234" s="1" t="s">
        <v>103</v>
      </c>
      <c r="D2234" s="11">
        <v>44932.020138888889</v>
      </c>
      <c r="E2234" t="s">
        <v>191</v>
      </c>
      <c r="F2234" t="s">
        <v>86</v>
      </c>
      <c r="G2234">
        <v>8624</v>
      </c>
      <c r="H2234" s="5" t="s">
        <v>103</v>
      </c>
      <c r="I2234" s="15">
        <v>44932</v>
      </c>
      <c r="J2234" s="15" t="s">
        <v>232</v>
      </c>
      <c r="K2234" s="6">
        <v>0.52013888888888893</v>
      </c>
      <c r="L2234" t="s">
        <v>144</v>
      </c>
      <c r="M2234">
        <v>100000</v>
      </c>
      <c r="N2234" t="s">
        <v>216</v>
      </c>
      <c r="O2234" t="s">
        <v>151</v>
      </c>
      <c r="P2234">
        <v>71</v>
      </c>
      <c r="Q2234" t="s">
        <v>155</v>
      </c>
    </row>
    <row r="2235" spans="1:17" x14ac:dyDescent="0.2">
      <c r="A2235">
        <v>1506385</v>
      </c>
      <c r="B2235">
        <v>294</v>
      </c>
      <c r="C2235" s="1" t="s">
        <v>100</v>
      </c>
      <c r="D2235" s="11">
        <v>45268.96875</v>
      </c>
      <c r="E2235" t="s">
        <v>96</v>
      </c>
      <c r="F2235" t="s">
        <v>43</v>
      </c>
      <c r="G2235">
        <v>5490</v>
      </c>
      <c r="H2235" s="5" t="s">
        <v>100</v>
      </c>
      <c r="I2235" s="15">
        <v>45268</v>
      </c>
      <c r="J2235" s="15" t="s">
        <v>295</v>
      </c>
      <c r="K2235" s="6">
        <v>0.46875</v>
      </c>
      <c r="L2235" t="s">
        <v>145</v>
      </c>
      <c r="M2235">
        <v>1000000</v>
      </c>
      <c r="N2235" t="s">
        <v>203</v>
      </c>
      <c r="O2235" t="s">
        <v>152</v>
      </c>
      <c r="P2235">
        <v>30</v>
      </c>
      <c r="Q2235" t="s">
        <v>154</v>
      </c>
    </row>
    <row r="2236" spans="1:17" x14ac:dyDescent="0.2">
      <c r="A2236">
        <v>1507608</v>
      </c>
      <c r="B2236">
        <v>1886</v>
      </c>
      <c r="C2236" s="1" t="s">
        <v>101</v>
      </c>
      <c r="D2236" s="11">
        <v>45077.044444444444</v>
      </c>
      <c r="E2236" t="s">
        <v>191</v>
      </c>
      <c r="F2236" t="s">
        <v>27</v>
      </c>
      <c r="G2236">
        <v>8078</v>
      </c>
      <c r="H2236" s="5" t="s">
        <v>101</v>
      </c>
      <c r="I2236" s="15">
        <v>45077</v>
      </c>
      <c r="J2236" s="15" t="s">
        <v>233</v>
      </c>
      <c r="K2236" s="6">
        <v>4.4444444444444446E-2</v>
      </c>
      <c r="L2236" t="s">
        <v>142</v>
      </c>
      <c r="M2236">
        <v>1000000</v>
      </c>
      <c r="N2236" t="s">
        <v>209</v>
      </c>
      <c r="O2236" t="s">
        <v>152</v>
      </c>
      <c r="P2236">
        <v>28</v>
      </c>
      <c r="Q2236" t="s">
        <v>157</v>
      </c>
    </row>
    <row r="2237" spans="1:17" x14ac:dyDescent="0.2">
      <c r="A2237">
        <v>1508121</v>
      </c>
      <c r="B2237">
        <v>1786</v>
      </c>
      <c r="C2237" s="1" t="s">
        <v>106</v>
      </c>
      <c r="D2237" s="11">
        <v>45038.040277777778</v>
      </c>
      <c r="E2237" t="s">
        <v>191</v>
      </c>
      <c r="F2237" t="s">
        <v>69</v>
      </c>
      <c r="G2237">
        <v>4650</v>
      </c>
      <c r="H2237" s="5" t="s">
        <v>106</v>
      </c>
      <c r="I2237" s="15">
        <v>45038</v>
      </c>
      <c r="J2237" s="15" t="s">
        <v>233</v>
      </c>
      <c r="K2237" s="6">
        <v>0.54027777777777775</v>
      </c>
      <c r="L2237" t="s">
        <v>146</v>
      </c>
      <c r="M2237">
        <v>250000</v>
      </c>
      <c r="N2237" t="s">
        <v>225</v>
      </c>
      <c r="O2237" t="s">
        <v>152</v>
      </c>
      <c r="P2237">
        <v>78</v>
      </c>
      <c r="Q2237" t="s">
        <v>157</v>
      </c>
    </row>
    <row r="2238" spans="1:17" x14ac:dyDescent="0.2">
      <c r="A2238">
        <v>1508428</v>
      </c>
      <c r="B2238">
        <v>1815</v>
      </c>
      <c r="C2238" s="1" t="s">
        <v>104</v>
      </c>
      <c r="D2238" s="11">
        <v>45015.033333333333</v>
      </c>
      <c r="E2238" t="s">
        <v>96</v>
      </c>
      <c r="F2238" t="s">
        <v>43</v>
      </c>
      <c r="G2238">
        <v>5995</v>
      </c>
      <c r="H2238" s="5" t="s">
        <v>104</v>
      </c>
      <c r="I2238" s="15">
        <v>45015</v>
      </c>
      <c r="J2238" s="15" t="s">
        <v>232</v>
      </c>
      <c r="K2238" s="6">
        <v>0.53333333333333333</v>
      </c>
      <c r="L2238" t="s">
        <v>145</v>
      </c>
      <c r="M2238">
        <v>1000000</v>
      </c>
      <c r="N2238" t="s">
        <v>203</v>
      </c>
      <c r="O2238" t="s">
        <v>151</v>
      </c>
      <c r="P2238">
        <v>43</v>
      </c>
      <c r="Q2238" t="s">
        <v>157</v>
      </c>
    </row>
    <row r="2239" spans="1:17" x14ac:dyDescent="0.2">
      <c r="A2239">
        <v>1508568</v>
      </c>
      <c r="B2239">
        <v>979</v>
      </c>
      <c r="C2239" s="1" t="s">
        <v>101</v>
      </c>
      <c r="D2239" s="11">
        <v>45284.03402777778</v>
      </c>
      <c r="E2239" t="s">
        <v>96</v>
      </c>
      <c r="F2239" t="s">
        <v>22</v>
      </c>
      <c r="G2239">
        <v>3218</v>
      </c>
      <c r="H2239" s="5" t="s">
        <v>101</v>
      </c>
      <c r="I2239" s="15">
        <v>45284</v>
      </c>
      <c r="J2239" s="15" t="s">
        <v>295</v>
      </c>
      <c r="K2239" s="6">
        <v>0.53402777777777777</v>
      </c>
      <c r="L2239" t="s">
        <v>144</v>
      </c>
      <c r="M2239">
        <v>100000</v>
      </c>
      <c r="N2239" t="s">
        <v>202</v>
      </c>
      <c r="O2239" t="s">
        <v>152</v>
      </c>
      <c r="P2239">
        <v>47</v>
      </c>
      <c r="Q2239" t="s">
        <v>155</v>
      </c>
    </row>
    <row r="2240" spans="1:17" x14ac:dyDescent="0.2">
      <c r="A2240">
        <v>1508707</v>
      </c>
      <c r="B2240">
        <v>376</v>
      </c>
      <c r="C2240" s="1" t="s">
        <v>113</v>
      </c>
      <c r="D2240" s="11">
        <v>44964.973611111112</v>
      </c>
      <c r="E2240" t="s">
        <v>97</v>
      </c>
      <c r="F2240" t="s">
        <v>4</v>
      </c>
      <c r="G2240">
        <v>8491</v>
      </c>
      <c r="H2240" s="5" t="s">
        <v>113</v>
      </c>
      <c r="I2240" s="15">
        <v>44964</v>
      </c>
      <c r="J2240" s="15" t="s">
        <v>232</v>
      </c>
      <c r="K2240" s="6">
        <v>0.47361111111111109</v>
      </c>
      <c r="L2240" t="s">
        <v>142</v>
      </c>
      <c r="M2240">
        <v>200000</v>
      </c>
      <c r="N2240" t="s">
        <v>197</v>
      </c>
      <c r="O2240" t="s">
        <v>152</v>
      </c>
      <c r="P2240">
        <v>89</v>
      </c>
      <c r="Q2240" t="s">
        <v>154</v>
      </c>
    </row>
    <row r="2241" spans="1:17" x14ac:dyDescent="0.2">
      <c r="A2241">
        <v>1508738</v>
      </c>
      <c r="B2241">
        <v>1408</v>
      </c>
      <c r="C2241" s="1" t="s">
        <v>99</v>
      </c>
      <c r="D2241" s="11">
        <v>45164.034722222219</v>
      </c>
      <c r="E2241" t="s">
        <v>96</v>
      </c>
      <c r="F2241" t="s">
        <v>19</v>
      </c>
      <c r="G2241">
        <v>8503</v>
      </c>
      <c r="H2241" s="5" t="s">
        <v>99</v>
      </c>
      <c r="I2241" s="15">
        <v>45164</v>
      </c>
      <c r="J2241" s="15" t="s">
        <v>234</v>
      </c>
      <c r="K2241" s="6">
        <v>0.53472222222222221</v>
      </c>
      <c r="L2241" t="s">
        <v>142</v>
      </c>
      <c r="M2241">
        <v>150000</v>
      </c>
      <c r="N2241" t="s">
        <v>211</v>
      </c>
      <c r="O2241" t="s">
        <v>152</v>
      </c>
      <c r="P2241">
        <v>68</v>
      </c>
      <c r="Q2241" t="s">
        <v>156</v>
      </c>
    </row>
    <row r="2242" spans="1:17" x14ac:dyDescent="0.2">
      <c r="A2242">
        <v>1509554</v>
      </c>
      <c r="B2242">
        <v>610</v>
      </c>
      <c r="C2242" s="1" t="s">
        <v>100</v>
      </c>
      <c r="D2242" s="11">
        <v>45032.023611111108</v>
      </c>
      <c r="E2242" t="s">
        <v>97</v>
      </c>
      <c r="F2242" t="s">
        <v>35</v>
      </c>
      <c r="G2242">
        <v>4098</v>
      </c>
      <c r="H2242" s="5" t="s">
        <v>100</v>
      </c>
      <c r="I2242" s="15">
        <v>45032</v>
      </c>
      <c r="J2242" s="15" t="s">
        <v>233</v>
      </c>
      <c r="K2242" s="6">
        <v>0.52361111111111114</v>
      </c>
      <c r="L2242" t="s">
        <v>144</v>
      </c>
      <c r="M2242">
        <v>100000</v>
      </c>
      <c r="N2242" t="s">
        <v>219</v>
      </c>
      <c r="O2242" t="s">
        <v>152</v>
      </c>
      <c r="P2242">
        <v>62</v>
      </c>
      <c r="Q2242" t="s">
        <v>155</v>
      </c>
    </row>
    <row r="2243" spans="1:17" x14ac:dyDescent="0.2">
      <c r="A2243">
        <v>1509587</v>
      </c>
      <c r="B2243">
        <v>822</v>
      </c>
      <c r="C2243" s="1" t="s">
        <v>99</v>
      </c>
      <c r="D2243" s="11">
        <v>45268.011111111111</v>
      </c>
      <c r="E2243" t="s">
        <v>191</v>
      </c>
      <c r="F2243" t="s">
        <v>21</v>
      </c>
      <c r="G2243">
        <v>43</v>
      </c>
      <c r="H2243" s="5" t="s">
        <v>99</v>
      </c>
      <c r="I2243" s="15">
        <v>45268</v>
      </c>
      <c r="J2243" s="15" t="s">
        <v>295</v>
      </c>
      <c r="K2243" s="6">
        <v>0.51111111111111107</v>
      </c>
      <c r="L2243" t="s">
        <v>142</v>
      </c>
      <c r="M2243">
        <v>150000</v>
      </c>
      <c r="N2243" t="s">
        <v>211</v>
      </c>
      <c r="O2243" t="s">
        <v>152</v>
      </c>
      <c r="P2243">
        <v>18</v>
      </c>
      <c r="Q2243" t="s">
        <v>155</v>
      </c>
    </row>
    <row r="2244" spans="1:17" x14ac:dyDescent="0.2">
      <c r="A2244">
        <v>1509701</v>
      </c>
      <c r="B2244">
        <v>1109</v>
      </c>
      <c r="C2244" s="1" t="s">
        <v>113</v>
      </c>
      <c r="D2244" s="11">
        <v>45226.024305555555</v>
      </c>
      <c r="E2244" t="s">
        <v>96</v>
      </c>
      <c r="F2244" t="s">
        <v>43</v>
      </c>
      <c r="G2244">
        <v>1460</v>
      </c>
      <c r="H2244" s="5" t="s">
        <v>113</v>
      </c>
      <c r="I2244" s="15">
        <v>45226</v>
      </c>
      <c r="J2244" s="15" t="s">
        <v>295</v>
      </c>
      <c r="K2244" s="6">
        <v>0.52430555555555558</v>
      </c>
      <c r="L2244" t="s">
        <v>145</v>
      </c>
      <c r="M2244">
        <v>1000000</v>
      </c>
      <c r="N2244" t="s">
        <v>203</v>
      </c>
      <c r="O2244" t="s">
        <v>152</v>
      </c>
      <c r="P2244">
        <v>86</v>
      </c>
      <c r="Q2244" t="s">
        <v>156</v>
      </c>
    </row>
    <row r="2245" spans="1:17" x14ac:dyDescent="0.2">
      <c r="A2245">
        <v>1512442</v>
      </c>
      <c r="B2245">
        <v>1243</v>
      </c>
      <c r="C2245" s="1" t="s">
        <v>105</v>
      </c>
      <c r="D2245" s="11">
        <v>45095.024305555555</v>
      </c>
      <c r="E2245" t="s">
        <v>97</v>
      </c>
      <c r="F2245" t="s">
        <v>78</v>
      </c>
      <c r="G2245">
        <v>7379</v>
      </c>
      <c r="H2245" s="5" t="s">
        <v>105</v>
      </c>
      <c r="I2245" s="15">
        <v>45095</v>
      </c>
      <c r="J2245" s="15" t="s">
        <v>233</v>
      </c>
      <c r="K2245" s="6">
        <v>0.52430555555555558</v>
      </c>
      <c r="L2245" t="s">
        <v>143</v>
      </c>
      <c r="M2245">
        <v>200000</v>
      </c>
      <c r="N2245" t="s">
        <v>215</v>
      </c>
      <c r="O2245" t="s">
        <v>151</v>
      </c>
      <c r="P2245">
        <v>24</v>
      </c>
      <c r="Q2245" t="s">
        <v>156</v>
      </c>
    </row>
    <row r="2246" spans="1:17" x14ac:dyDescent="0.2">
      <c r="A2246">
        <v>1512481</v>
      </c>
      <c r="B2246">
        <v>1560</v>
      </c>
      <c r="C2246" s="1" t="s">
        <v>106</v>
      </c>
      <c r="D2246" s="11">
        <v>44963.037499999999</v>
      </c>
      <c r="E2246" t="s">
        <v>96</v>
      </c>
      <c r="F2246" t="s">
        <v>5</v>
      </c>
      <c r="G2246">
        <v>1363</v>
      </c>
      <c r="H2246" s="5" t="s">
        <v>106</v>
      </c>
      <c r="I2246" s="15">
        <v>44963</v>
      </c>
      <c r="J2246" s="15" t="s">
        <v>232</v>
      </c>
      <c r="K2246" s="6">
        <v>0.53749999999999998</v>
      </c>
      <c r="L2246" t="s">
        <v>143</v>
      </c>
      <c r="M2246">
        <v>200000</v>
      </c>
      <c r="N2246" t="s">
        <v>198</v>
      </c>
      <c r="O2246" t="s">
        <v>151</v>
      </c>
      <c r="P2246">
        <v>36</v>
      </c>
      <c r="Q2246" t="s">
        <v>157</v>
      </c>
    </row>
    <row r="2247" spans="1:17" x14ac:dyDescent="0.2">
      <c r="A2247">
        <v>1513008</v>
      </c>
      <c r="B2247">
        <v>1980</v>
      </c>
      <c r="C2247" s="1" t="s">
        <v>110</v>
      </c>
      <c r="D2247" s="11">
        <v>45133.039583333331</v>
      </c>
      <c r="E2247" t="s">
        <v>97</v>
      </c>
      <c r="F2247" t="s">
        <v>43</v>
      </c>
      <c r="G2247">
        <v>4837</v>
      </c>
      <c r="H2247" s="5" t="s">
        <v>110</v>
      </c>
      <c r="I2247" s="15">
        <v>45133</v>
      </c>
      <c r="J2247" s="15" t="s">
        <v>234</v>
      </c>
      <c r="K2247" s="6">
        <v>0.5395833333333333</v>
      </c>
      <c r="L2247" t="s">
        <v>145</v>
      </c>
      <c r="M2247">
        <v>1000000</v>
      </c>
      <c r="N2247" t="s">
        <v>203</v>
      </c>
      <c r="O2247" t="s">
        <v>151</v>
      </c>
      <c r="P2247">
        <v>57</v>
      </c>
      <c r="Q2247" t="s">
        <v>157</v>
      </c>
    </row>
    <row r="2248" spans="1:17" x14ac:dyDescent="0.2">
      <c r="A2248">
        <v>1513475</v>
      </c>
      <c r="B2248">
        <v>375</v>
      </c>
      <c r="C2248" s="1" t="s">
        <v>101</v>
      </c>
      <c r="D2248" s="11">
        <v>45079.034722222219</v>
      </c>
      <c r="E2248" t="s">
        <v>97</v>
      </c>
      <c r="F2248" t="s">
        <v>27</v>
      </c>
      <c r="G2248">
        <v>7352</v>
      </c>
      <c r="H2248" s="5" t="s">
        <v>101</v>
      </c>
      <c r="I2248" s="15">
        <v>45079</v>
      </c>
      <c r="J2248" s="15" t="s">
        <v>233</v>
      </c>
      <c r="K2248" s="6">
        <v>0.53472222222222221</v>
      </c>
      <c r="L2248" t="s">
        <v>142</v>
      </c>
      <c r="M2248">
        <v>1000000</v>
      </c>
      <c r="N2248" t="s">
        <v>209</v>
      </c>
      <c r="O2248" t="s">
        <v>152</v>
      </c>
      <c r="P2248">
        <v>45</v>
      </c>
      <c r="Q2248" t="s">
        <v>154</v>
      </c>
    </row>
    <row r="2249" spans="1:17" x14ac:dyDescent="0.2">
      <c r="A2249">
        <v>1513796</v>
      </c>
      <c r="B2249">
        <v>218</v>
      </c>
      <c r="C2249" s="1" t="s">
        <v>100</v>
      </c>
      <c r="D2249" s="11">
        <v>45100.99722222222</v>
      </c>
      <c r="E2249" t="s">
        <v>96</v>
      </c>
      <c r="F2249" t="s">
        <v>27</v>
      </c>
      <c r="G2249">
        <v>520</v>
      </c>
      <c r="H2249" s="5" t="s">
        <v>100</v>
      </c>
      <c r="I2249" s="15">
        <v>45100</v>
      </c>
      <c r="J2249" s="15" t="s">
        <v>233</v>
      </c>
      <c r="K2249" s="6">
        <v>0.49722222222222223</v>
      </c>
      <c r="L2249" t="s">
        <v>142</v>
      </c>
      <c r="M2249">
        <v>1000000</v>
      </c>
      <c r="N2249" t="s">
        <v>209</v>
      </c>
      <c r="O2249" t="s">
        <v>152</v>
      </c>
      <c r="P2249">
        <v>34</v>
      </c>
      <c r="Q2249" t="s">
        <v>154</v>
      </c>
    </row>
    <row r="2250" spans="1:17" x14ac:dyDescent="0.2">
      <c r="A2250">
        <v>1513980</v>
      </c>
      <c r="B2250">
        <v>1164</v>
      </c>
      <c r="C2250" s="1" t="s">
        <v>99</v>
      </c>
      <c r="D2250" s="11">
        <v>44971.987500000003</v>
      </c>
      <c r="E2250" t="s">
        <v>98</v>
      </c>
      <c r="F2250" t="s">
        <v>27</v>
      </c>
      <c r="G2250">
        <v>5236</v>
      </c>
      <c r="H2250" s="5" t="s">
        <v>99</v>
      </c>
      <c r="I2250" s="15">
        <v>44971</v>
      </c>
      <c r="J2250" s="15" t="s">
        <v>232</v>
      </c>
      <c r="K2250" s="6">
        <v>0.48749999999999999</v>
      </c>
      <c r="L2250" t="s">
        <v>142</v>
      </c>
      <c r="M2250">
        <v>1000000</v>
      </c>
      <c r="N2250" t="s">
        <v>209</v>
      </c>
      <c r="O2250" t="s">
        <v>151</v>
      </c>
      <c r="P2250">
        <v>63</v>
      </c>
      <c r="Q2250" t="s">
        <v>156</v>
      </c>
    </row>
    <row r="2251" spans="1:17" x14ac:dyDescent="0.2">
      <c r="A2251">
        <v>1514182</v>
      </c>
      <c r="B2251">
        <v>992</v>
      </c>
      <c r="C2251" s="1" t="s">
        <v>99</v>
      </c>
      <c r="D2251" s="11">
        <v>44940.012499999997</v>
      </c>
      <c r="E2251" t="s">
        <v>97</v>
      </c>
      <c r="F2251" t="s">
        <v>18</v>
      </c>
      <c r="G2251">
        <v>4187</v>
      </c>
      <c r="H2251" s="5" t="s">
        <v>99</v>
      </c>
      <c r="I2251" s="15">
        <v>44940</v>
      </c>
      <c r="J2251" s="15" t="s">
        <v>232</v>
      </c>
      <c r="K2251" s="6">
        <v>0.51249999999999996</v>
      </c>
      <c r="L2251" t="s">
        <v>145</v>
      </c>
      <c r="M2251">
        <v>200000</v>
      </c>
      <c r="N2251" t="s">
        <v>210</v>
      </c>
      <c r="O2251" t="s">
        <v>151</v>
      </c>
      <c r="P2251">
        <v>51</v>
      </c>
      <c r="Q2251" t="s">
        <v>155</v>
      </c>
    </row>
    <row r="2252" spans="1:17" x14ac:dyDescent="0.2">
      <c r="A2252">
        <v>1515579</v>
      </c>
      <c r="B2252">
        <v>982</v>
      </c>
      <c r="C2252" s="1" t="s">
        <v>99</v>
      </c>
      <c r="D2252" s="11">
        <v>45052.035416666666</v>
      </c>
      <c r="E2252" t="s">
        <v>97</v>
      </c>
      <c r="F2252" t="s">
        <v>27</v>
      </c>
      <c r="G2252">
        <v>811</v>
      </c>
      <c r="H2252" s="5" t="s">
        <v>99</v>
      </c>
      <c r="I2252" s="15">
        <v>45052</v>
      </c>
      <c r="J2252" s="15" t="s">
        <v>233</v>
      </c>
      <c r="K2252" s="6">
        <v>0.53541666666666665</v>
      </c>
      <c r="L2252" t="s">
        <v>142</v>
      </c>
      <c r="M2252">
        <v>1000000</v>
      </c>
      <c r="N2252" t="s">
        <v>209</v>
      </c>
      <c r="O2252" t="s">
        <v>152</v>
      </c>
      <c r="P2252">
        <v>35</v>
      </c>
      <c r="Q2252" t="s">
        <v>155</v>
      </c>
    </row>
    <row r="2253" spans="1:17" x14ac:dyDescent="0.2">
      <c r="A2253">
        <v>1516849</v>
      </c>
      <c r="B2253">
        <v>108</v>
      </c>
      <c r="C2253" s="1" t="s">
        <v>105</v>
      </c>
      <c r="D2253" s="11">
        <v>45080.015277777777</v>
      </c>
      <c r="E2253" t="s">
        <v>97</v>
      </c>
      <c r="F2253" t="s">
        <v>94</v>
      </c>
      <c r="G2253">
        <v>5536</v>
      </c>
      <c r="H2253" s="5" t="s">
        <v>105</v>
      </c>
      <c r="I2253" s="15">
        <v>45080</v>
      </c>
      <c r="J2253" s="15" t="s">
        <v>233</v>
      </c>
      <c r="K2253" s="6">
        <v>0.51527777777777772</v>
      </c>
      <c r="L2253" t="s">
        <v>143</v>
      </c>
      <c r="M2253">
        <v>50000</v>
      </c>
      <c r="N2253" t="s">
        <v>215</v>
      </c>
      <c r="O2253" t="s">
        <v>151</v>
      </c>
      <c r="P2253">
        <v>63</v>
      </c>
      <c r="Q2253" t="s">
        <v>154</v>
      </c>
    </row>
    <row r="2254" spans="1:17" x14ac:dyDescent="0.2">
      <c r="A2254">
        <v>1516974</v>
      </c>
      <c r="B2254">
        <v>136</v>
      </c>
      <c r="C2254" s="1" t="s">
        <v>99</v>
      </c>
      <c r="D2254" s="11">
        <v>45057.038194444445</v>
      </c>
      <c r="E2254" t="s">
        <v>96</v>
      </c>
      <c r="F2254" t="s">
        <v>78</v>
      </c>
      <c r="G2254">
        <v>1042</v>
      </c>
      <c r="H2254" s="5" t="s">
        <v>99</v>
      </c>
      <c r="I2254" s="15">
        <v>45057</v>
      </c>
      <c r="J2254" s="15" t="s">
        <v>233</v>
      </c>
      <c r="K2254" s="6">
        <v>0.53819444444444442</v>
      </c>
      <c r="L2254" t="s">
        <v>143</v>
      </c>
      <c r="M2254">
        <v>200000</v>
      </c>
      <c r="N2254" t="s">
        <v>215</v>
      </c>
      <c r="O2254" t="s">
        <v>152</v>
      </c>
      <c r="P2254">
        <v>36</v>
      </c>
      <c r="Q2254" t="s">
        <v>154</v>
      </c>
    </row>
    <row r="2255" spans="1:17" x14ac:dyDescent="0.2">
      <c r="A2255">
        <v>1519463</v>
      </c>
      <c r="B2255">
        <v>266</v>
      </c>
      <c r="C2255" s="1" t="s">
        <v>99</v>
      </c>
      <c r="D2255" s="11">
        <v>44936.977777777778</v>
      </c>
      <c r="E2255" t="s">
        <v>191</v>
      </c>
      <c r="F2255" t="s">
        <v>43</v>
      </c>
      <c r="G2255">
        <v>5361</v>
      </c>
      <c r="H2255" s="5" t="s">
        <v>99</v>
      </c>
      <c r="I2255" s="15">
        <v>44936</v>
      </c>
      <c r="J2255" s="15" t="s">
        <v>232</v>
      </c>
      <c r="K2255" s="6">
        <v>0.4777777777777778</v>
      </c>
      <c r="L2255" t="s">
        <v>145</v>
      </c>
      <c r="M2255">
        <v>1000000</v>
      </c>
      <c r="N2255" t="s">
        <v>203</v>
      </c>
      <c r="O2255" t="s">
        <v>152</v>
      </c>
      <c r="P2255">
        <v>37</v>
      </c>
      <c r="Q2255" t="s">
        <v>154</v>
      </c>
    </row>
    <row r="2256" spans="1:17" x14ac:dyDescent="0.2">
      <c r="A2256">
        <v>1520253</v>
      </c>
      <c r="B2256">
        <v>1775</v>
      </c>
      <c r="C2256" s="1" t="s">
        <v>99</v>
      </c>
      <c r="D2256" s="11">
        <v>45192.994444444441</v>
      </c>
      <c r="E2256" t="s">
        <v>98</v>
      </c>
      <c r="F2256" t="s">
        <v>32</v>
      </c>
      <c r="G2256">
        <v>429</v>
      </c>
      <c r="H2256" s="5" t="s">
        <v>99</v>
      </c>
      <c r="I2256" s="15">
        <v>45192</v>
      </c>
      <c r="J2256" s="15" t="s">
        <v>234</v>
      </c>
      <c r="K2256" s="6">
        <v>0.49444444444444446</v>
      </c>
      <c r="L2256" t="s">
        <v>145</v>
      </c>
      <c r="M2256">
        <v>80000</v>
      </c>
      <c r="N2256" t="s">
        <v>217</v>
      </c>
      <c r="O2256" t="s">
        <v>152</v>
      </c>
      <c r="P2256">
        <v>42</v>
      </c>
      <c r="Q2256" t="s">
        <v>157</v>
      </c>
    </row>
    <row r="2257" spans="1:17" x14ac:dyDescent="0.2">
      <c r="A2257">
        <v>1521124</v>
      </c>
      <c r="B2257">
        <v>1828</v>
      </c>
      <c r="C2257" s="1" t="s">
        <v>102</v>
      </c>
      <c r="D2257" s="11">
        <v>45013.078472222223</v>
      </c>
      <c r="E2257" t="s">
        <v>191</v>
      </c>
      <c r="F2257" t="s">
        <v>30</v>
      </c>
      <c r="G2257">
        <v>8408</v>
      </c>
      <c r="H2257" s="5" t="s">
        <v>102</v>
      </c>
      <c r="I2257" s="15">
        <v>45013</v>
      </c>
      <c r="J2257" s="15" t="s">
        <v>232</v>
      </c>
      <c r="K2257" s="6">
        <v>7.8472222222222221E-2</v>
      </c>
      <c r="L2257" t="s">
        <v>144</v>
      </c>
      <c r="M2257">
        <v>200000</v>
      </c>
      <c r="N2257" t="s">
        <v>216</v>
      </c>
      <c r="O2257" t="s">
        <v>152</v>
      </c>
      <c r="P2257">
        <v>51</v>
      </c>
      <c r="Q2257" t="s">
        <v>157</v>
      </c>
    </row>
    <row r="2258" spans="1:17" x14ac:dyDescent="0.2">
      <c r="A2258">
        <v>1521957</v>
      </c>
      <c r="B2258">
        <v>347</v>
      </c>
      <c r="C2258" s="1" t="s">
        <v>108</v>
      </c>
      <c r="D2258" s="11">
        <v>45236.970833333333</v>
      </c>
      <c r="E2258" t="s">
        <v>96</v>
      </c>
      <c r="F2258" t="s">
        <v>74</v>
      </c>
      <c r="G2258">
        <v>2198</v>
      </c>
      <c r="H2258" s="5" t="s">
        <v>108</v>
      </c>
      <c r="I2258" s="15">
        <v>45236</v>
      </c>
      <c r="J2258" s="15" t="s">
        <v>295</v>
      </c>
      <c r="K2258" s="6">
        <v>0.47083333333333333</v>
      </c>
      <c r="L2258" t="s">
        <v>145</v>
      </c>
      <c r="M2258">
        <v>150000</v>
      </c>
      <c r="N2258" t="s">
        <v>226</v>
      </c>
      <c r="O2258" t="s">
        <v>152</v>
      </c>
      <c r="P2258">
        <v>59</v>
      </c>
      <c r="Q2258" t="s">
        <v>154</v>
      </c>
    </row>
    <row r="2259" spans="1:17" x14ac:dyDescent="0.2">
      <c r="A2259">
        <v>1522932</v>
      </c>
      <c r="B2259">
        <v>1737</v>
      </c>
      <c r="C2259" s="1" t="s">
        <v>106</v>
      </c>
      <c r="D2259" s="11">
        <v>45238.030555555553</v>
      </c>
      <c r="E2259" t="s">
        <v>97</v>
      </c>
      <c r="F2259" t="s">
        <v>85</v>
      </c>
      <c r="G2259">
        <v>2633</v>
      </c>
      <c r="H2259" s="5" t="s">
        <v>106</v>
      </c>
      <c r="I2259" s="15">
        <v>45238</v>
      </c>
      <c r="J2259" s="15" t="s">
        <v>295</v>
      </c>
      <c r="K2259" s="6">
        <v>0.53055555555555556</v>
      </c>
      <c r="L2259" t="s">
        <v>146</v>
      </c>
      <c r="M2259">
        <v>100000</v>
      </c>
      <c r="N2259" t="s">
        <v>212</v>
      </c>
      <c r="O2259" t="s">
        <v>151</v>
      </c>
      <c r="P2259">
        <v>60</v>
      </c>
      <c r="Q2259" t="s">
        <v>157</v>
      </c>
    </row>
    <row r="2260" spans="1:17" x14ac:dyDescent="0.2">
      <c r="A2260">
        <v>1524093</v>
      </c>
      <c r="B2260">
        <v>104</v>
      </c>
      <c r="C2260" s="1" t="s">
        <v>101</v>
      </c>
      <c r="D2260" s="11">
        <v>45216.972222222219</v>
      </c>
      <c r="E2260" t="s">
        <v>98</v>
      </c>
      <c r="F2260" t="s">
        <v>51</v>
      </c>
      <c r="G2260">
        <v>6754</v>
      </c>
      <c r="H2260" s="5" t="s">
        <v>101</v>
      </c>
      <c r="I2260" s="15">
        <v>45216</v>
      </c>
      <c r="J2260" s="15" t="s">
        <v>295</v>
      </c>
      <c r="K2260" s="6">
        <v>0.47222222222222221</v>
      </c>
      <c r="L2260" t="s">
        <v>145</v>
      </c>
      <c r="M2260">
        <v>100000</v>
      </c>
      <c r="N2260" t="s">
        <v>217</v>
      </c>
      <c r="O2260" t="s">
        <v>151</v>
      </c>
      <c r="P2260">
        <v>46</v>
      </c>
      <c r="Q2260" t="s">
        <v>154</v>
      </c>
    </row>
    <row r="2261" spans="1:17" x14ac:dyDescent="0.2">
      <c r="A2261">
        <v>1524999</v>
      </c>
      <c r="B2261">
        <v>333</v>
      </c>
      <c r="C2261" s="1" t="s">
        <v>109</v>
      </c>
      <c r="D2261" s="11">
        <v>44943.975694444445</v>
      </c>
      <c r="E2261" t="s">
        <v>96</v>
      </c>
      <c r="F2261" t="s">
        <v>68</v>
      </c>
      <c r="G2261">
        <v>1766</v>
      </c>
      <c r="H2261" s="5" t="s">
        <v>109</v>
      </c>
      <c r="I2261" s="15">
        <v>44943</v>
      </c>
      <c r="J2261" s="15" t="s">
        <v>232</v>
      </c>
      <c r="K2261" s="6">
        <v>0.47569444444444442</v>
      </c>
      <c r="L2261" t="s">
        <v>144</v>
      </c>
      <c r="M2261">
        <v>100000</v>
      </c>
      <c r="N2261" t="s">
        <v>200</v>
      </c>
      <c r="O2261" t="s">
        <v>151</v>
      </c>
      <c r="P2261">
        <v>43</v>
      </c>
      <c r="Q2261" t="s">
        <v>154</v>
      </c>
    </row>
    <row r="2262" spans="1:17" x14ac:dyDescent="0.2">
      <c r="A2262">
        <v>1525718</v>
      </c>
      <c r="B2262">
        <v>255</v>
      </c>
      <c r="C2262" s="1" t="s">
        <v>107</v>
      </c>
      <c r="D2262" s="11">
        <v>45161.056944444441</v>
      </c>
      <c r="E2262" t="s">
        <v>191</v>
      </c>
      <c r="F2262" t="s">
        <v>79</v>
      </c>
      <c r="G2262">
        <v>1434</v>
      </c>
      <c r="H2262" s="5" t="s">
        <v>107</v>
      </c>
      <c r="I2262" s="15">
        <v>45161</v>
      </c>
      <c r="J2262" s="15" t="s">
        <v>234</v>
      </c>
      <c r="K2262" s="6">
        <v>5.6944444444444443E-2</v>
      </c>
      <c r="L2262" t="s">
        <v>143</v>
      </c>
      <c r="M2262">
        <v>50000</v>
      </c>
      <c r="N2262" t="s">
        <v>204</v>
      </c>
      <c r="O2262" t="s">
        <v>151</v>
      </c>
      <c r="P2262">
        <v>62</v>
      </c>
      <c r="Q2262" t="s">
        <v>154</v>
      </c>
    </row>
    <row r="2263" spans="1:17" x14ac:dyDescent="0.2">
      <c r="A2263">
        <v>1526107</v>
      </c>
      <c r="B2263">
        <v>1781</v>
      </c>
      <c r="C2263" s="1" t="s">
        <v>108</v>
      </c>
      <c r="D2263" s="11">
        <v>45051.941666666666</v>
      </c>
      <c r="E2263" t="s">
        <v>98</v>
      </c>
      <c r="F2263" t="s">
        <v>76</v>
      </c>
      <c r="G2263">
        <v>399</v>
      </c>
      <c r="H2263" s="5" t="s">
        <v>108</v>
      </c>
      <c r="I2263" s="15">
        <v>45051</v>
      </c>
      <c r="J2263" s="15" t="s">
        <v>233</v>
      </c>
      <c r="K2263" s="6">
        <v>0.44166666666666665</v>
      </c>
      <c r="L2263" t="s">
        <v>142</v>
      </c>
      <c r="M2263">
        <v>80000</v>
      </c>
      <c r="N2263" t="s">
        <v>201</v>
      </c>
      <c r="O2263" t="s">
        <v>152</v>
      </c>
      <c r="P2263">
        <v>29</v>
      </c>
      <c r="Q2263" t="s">
        <v>157</v>
      </c>
    </row>
    <row r="2264" spans="1:17" x14ac:dyDescent="0.2">
      <c r="A2264">
        <v>1526749</v>
      </c>
      <c r="B2264">
        <v>1926</v>
      </c>
      <c r="C2264" s="1" t="s">
        <v>105</v>
      </c>
      <c r="D2264" s="11">
        <v>45151.027777777781</v>
      </c>
      <c r="E2264" t="s">
        <v>97</v>
      </c>
      <c r="F2264" t="s">
        <v>77</v>
      </c>
      <c r="G2264">
        <v>7714</v>
      </c>
      <c r="H2264" s="5" t="s">
        <v>105</v>
      </c>
      <c r="I2264" s="15">
        <v>45151</v>
      </c>
      <c r="J2264" s="15" t="s">
        <v>234</v>
      </c>
      <c r="K2264" s="6">
        <v>0.52777777777777779</v>
      </c>
      <c r="L2264" t="s">
        <v>146</v>
      </c>
      <c r="M2264">
        <v>100000</v>
      </c>
      <c r="N2264" t="s">
        <v>222</v>
      </c>
      <c r="O2264" t="s">
        <v>152</v>
      </c>
      <c r="P2264">
        <v>24</v>
      </c>
      <c r="Q2264" t="s">
        <v>157</v>
      </c>
    </row>
    <row r="2265" spans="1:17" x14ac:dyDescent="0.2">
      <c r="A2265">
        <v>1527612</v>
      </c>
      <c r="B2265">
        <v>1654</v>
      </c>
      <c r="C2265" s="1" t="s">
        <v>99</v>
      </c>
      <c r="D2265" s="11">
        <v>45216.940972222219</v>
      </c>
      <c r="E2265" t="s">
        <v>96</v>
      </c>
      <c r="F2265" t="s">
        <v>22</v>
      </c>
      <c r="G2265">
        <v>1813</v>
      </c>
      <c r="H2265" s="5" t="s">
        <v>99</v>
      </c>
      <c r="I2265" s="15">
        <v>45216</v>
      </c>
      <c r="J2265" s="15" t="s">
        <v>295</v>
      </c>
      <c r="K2265" s="6">
        <v>0.44097222222222221</v>
      </c>
      <c r="L2265" t="s">
        <v>144</v>
      </c>
      <c r="M2265">
        <v>100000</v>
      </c>
      <c r="N2265" t="s">
        <v>202</v>
      </c>
      <c r="O2265" t="s">
        <v>152</v>
      </c>
      <c r="P2265">
        <v>56</v>
      </c>
      <c r="Q2265" t="s">
        <v>157</v>
      </c>
    </row>
    <row r="2266" spans="1:17" x14ac:dyDescent="0.2">
      <c r="A2266">
        <v>1528079</v>
      </c>
      <c r="B2266">
        <v>150</v>
      </c>
      <c r="C2266" s="1" t="s">
        <v>99</v>
      </c>
      <c r="D2266" s="11">
        <v>45273.003472222219</v>
      </c>
      <c r="E2266" t="s">
        <v>96</v>
      </c>
      <c r="F2266" t="s">
        <v>43</v>
      </c>
      <c r="G2266">
        <v>8608</v>
      </c>
      <c r="H2266" s="5" t="s">
        <v>99</v>
      </c>
      <c r="I2266" s="15">
        <v>45273</v>
      </c>
      <c r="J2266" s="15" t="s">
        <v>295</v>
      </c>
      <c r="K2266" s="6">
        <v>0.50347222222222221</v>
      </c>
      <c r="L2266" t="s">
        <v>145</v>
      </c>
      <c r="M2266">
        <v>1000000</v>
      </c>
      <c r="N2266" t="s">
        <v>203</v>
      </c>
      <c r="O2266" t="s">
        <v>152</v>
      </c>
      <c r="P2266">
        <v>31</v>
      </c>
      <c r="Q2266" t="s">
        <v>154</v>
      </c>
    </row>
    <row r="2267" spans="1:17" x14ac:dyDescent="0.2">
      <c r="A2267">
        <v>1528540</v>
      </c>
      <c r="B2267">
        <v>913</v>
      </c>
      <c r="C2267" s="1" t="s">
        <v>99</v>
      </c>
      <c r="D2267" s="11">
        <v>44960.07916666667</v>
      </c>
      <c r="E2267" t="s">
        <v>191</v>
      </c>
      <c r="F2267" t="s">
        <v>4</v>
      </c>
      <c r="G2267">
        <v>9004</v>
      </c>
      <c r="H2267" s="5" t="s">
        <v>99</v>
      </c>
      <c r="I2267" s="15">
        <v>44960</v>
      </c>
      <c r="J2267" s="15" t="s">
        <v>232</v>
      </c>
      <c r="K2267" s="6">
        <v>7.9166666666666663E-2</v>
      </c>
      <c r="L2267" t="s">
        <v>142</v>
      </c>
      <c r="M2267">
        <v>200000</v>
      </c>
      <c r="N2267" t="s">
        <v>197</v>
      </c>
      <c r="O2267" t="s">
        <v>152</v>
      </c>
      <c r="P2267">
        <v>28</v>
      </c>
      <c r="Q2267" t="s">
        <v>155</v>
      </c>
    </row>
    <row r="2268" spans="1:17" x14ac:dyDescent="0.2">
      <c r="A2268">
        <v>1529840</v>
      </c>
      <c r="B2268">
        <v>1794</v>
      </c>
      <c r="C2268" s="1" t="s">
        <v>101</v>
      </c>
      <c r="D2268" s="11">
        <v>44988.022916666669</v>
      </c>
      <c r="E2268" t="s">
        <v>191</v>
      </c>
      <c r="F2268" t="s">
        <v>81</v>
      </c>
      <c r="G2268">
        <v>1054</v>
      </c>
      <c r="H2268" s="5" t="s">
        <v>101</v>
      </c>
      <c r="I2268" s="15">
        <v>44988</v>
      </c>
      <c r="J2268" s="15" t="s">
        <v>232</v>
      </c>
      <c r="K2268" s="6">
        <v>0.5229166666666667</v>
      </c>
      <c r="L2268" t="s">
        <v>143</v>
      </c>
      <c r="M2268">
        <v>250000</v>
      </c>
      <c r="N2268" t="s">
        <v>221</v>
      </c>
      <c r="O2268" t="s">
        <v>151</v>
      </c>
      <c r="P2268">
        <v>41</v>
      </c>
      <c r="Q2268" t="s">
        <v>157</v>
      </c>
    </row>
    <row r="2269" spans="1:17" x14ac:dyDescent="0.2">
      <c r="A2269">
        <v>1530454</v>
      </c>
      <c r="B2269">
        <v>499</v>
      </c>
      <c r="C2269" s="1" t="s">
        <v>101</v>
      </c>
      <c r="D2269" s="11">
        <v>45043.959027777775</v>
      </c>
      <c r="E2269" t="s">
        <v>98</v>
      </c>
      <c r="F2269" t="s">
        <v>82</v>
      </c>
      <c r="G2269">
        <v>7456</v>
      </c>
      <c r="H2269" s="5" t="s">
        <v>101</v>
      </c>
      <c r="I2269" s="15">
        <v>45043</v>
      </c>
      <c r="J2269" s="15" t="s">
        <v>233</v>
      </c>
      <c r="K2269" s="6">
        <v>0.45902777777777776</v>
      </c>
      <c r="L2269" t="s">
        <v>142</v>
      </c>
      <c r="M2269">
        <v>100000</v>
      </c>
      <c r="N2269" t="s">
        <v>209</v>
      </c>
      <c r="O2269" t="s">
        <v>151</v>
      </c>
      <c r="P2269">
        <v>89</v>
      </c>
      <c r="Q2269" t="s">
        <v>154</v>
      </c>
    </row>
    <row r="2270" spans="1:17" x14ac:dyDescent="0.2">
      <c r="A2270">
        <v>1532546</v>
      </c>
      <c r="B2270">
        <v>1032</v>
      </c>
      <c r="C2270" s="1" t="s">
        <v>100</v>
      </c>
      <c r="D2270" s="11">
        <v>45245.024305555555</v>
      </c>
      <c r="E2270" t="s">
        <v>97</v>
      </c>
      <c r="F2270" t="s">
        <v>21</v>
      </c>
      <c r="G2270">
        <v>5274</v>
      </c>
      <c r="H2270" s="5" t="s">
        <v>100</v>
      </c>
      <c r="I2270" s="15">
        <v>45245</v>
      </c>
      <c r="J2270" s="15" t="s">
        <v>295</v>
      </c>
      <c r="K2270" s="6">
        <v>0.52430555555555558</v>
      </c>
      <c r="L2270" t="s">
        <v>142</v>
      </c>
      <c r="M2270">
        <v>150000</v>
      </c>
      <c r="N2270" t="s">
        <v>211</v>
      </c>
      <c r="O2270" t="s">
        <v>151</v>
      </c>
      <c r="P2270">
        <v>21</v>
      </c>
      <c r="Q2270" t="s">
        <v>156</v>
      </c>
    </row>
    <row r="2271" spans="1:17" x14ac:dyDescent="0.2">
      <c r="A2271">
        <v>1532610</v>
      </c>
      <c r="B2271">
        <v>1871</v>
      </c>
      <c r="C2271" s="1" t="s">
        <v>107</v>
      </c>
      <c r="D2271" s="11">
        <v>45159.002083333333</v>
      </c>
      <c r="E2271" t="s">
        <v>191</v>
      </c>
      <c r="F2271" t="s">
        <v>66</v>
      </c>
      <c r="G2271">
        <v>8644</v>
      </c>
      <c r="H2271" s="5" t="s">
        <v>107</v>
      </c>
      <c r="I2271" s="15">
        <v>45159</v>
      </c>
      <c r="J2271" s="15" t="s">
        <v>234</v>
      </c>
      <c r="K2271" s="6">
        <v>0.50208333333333333</v>
      </c>
      <c r="L2271" t="s">
        <v>144</v>
      </c>
      <c r="M2271">
        <v>150000</v>
      </c>
      <c r="N2271" t="s">
        <v>224</v>
      </c>
      <c r="O2271" t="s">
        <v>152</v>
      </c>
      <c r="P2271">
        <v>49</v>
      </c>
      <c r="Q2271" t="s">
        <v>157</v>
      </c>
    </row>
    <row r="2272" spans="1:17" x14ac:dyDescent="0.2">
      <c r="A2272">
        <v>1534392</v>
      </c>
      <c r="B2272">
        <v>112</v>
      </c>
      <c r="C2272" s="1" t="s">
        <v>99</v>
      </c>
      <c r="D2272" s="11">
        <v>44952.959722222222</v>
      </c>
      <c r="E2272" t="s">
        <v>98</v>
      </c>
      <c r="F2272" t="s">
        <v>27</v>
      </c>
      <c r="G2272">
        <v>2347</v>
      </c>
      <c r="H2272" s="5" t="s">
        <v>99</v>
      </c>
      <c r="I2272" s="15">
        <v>44952</v>
      </c>
      <c r="J2272" s="15" t="s">
        <v>232</v>
      </c>
      <c r="K2272" s="6">
        <v>0.4597222222222222</v>
      </c>
      <c r="L2272" t="s">
        <v>142</v>
      </c>
      <c r="M2272">
        <v>1000000</v>
      </c>
      <c r="N2272" t="s">
        <v>209</v>
      </c>
      <c r="O2272" t="s">
        <v>151</v>
      </c>
      <c r="P2272">
        <v>70</v>
      </c>
      <c r="Q2272" t="s">
        <v>154</v>
      </c>
    </row>
    <row r="2273" spans="1:17" x14ac:dyDescent="0.2">
      <c r="A2273">
        <v>1535140</v>
      </c>
      <c r="B2273">
        <v>548</v>
      </c>
      <c r="C2273" s="1" t="s">
        <v>99</v>
      </c>
      <c r="D2273" s="11">
        <v>45071.040277777778</v>
      </c>
      <c r="E2273" t="s">
        <v>96</v>
      </c>
      <c r="F2273" t="s">
        <v>5</v>
      </c>
      <c r="G2273">
        <v>5570</v>
      </c>
      <c r="H2273" s="5" t="s">
        <v>99</v>
      </c>
      <c r="I2273" s="15">
        <v>45071</v>
      </c>
      <c r="J2273" s="15" t="s">
        <v>233</v>
      </c>
      <c r="K2273" s="6">
        <v>0.54027777777777775</v>
      </c>
      <c r="L2273" t="s">
        <v>143</v>
      </c>
      <c r="M2273">
        <v>200000</v>
      </c>
      <c r="N2273" t="s">
        <v>198</v>
      </c>
      <c r="O2273" t="s">
        <v>151</v>
      </c>
      <c r="P2273">
        <v>48</v>
      </c>
      <c r="Q2273" t="s">
        <v>155</v>
      </c>
    </row>
    <row r="2274" spans="1:17" x14ac:dyDescent="0.2">
      <c r="A2274">
        <v>1536418</v>
      </c>
      <c r="B2274">
        <v>760</v>
      </c>
      <c r="C2274" s="1" t="s">
        <v>113</v>
      </c>
      <c r="D2274" s="11">
        <v>45083.944444444445</v>
      </c>
      <c r="E2274" t="s">
        <v>98</v>
      </c>
      <c r="F2274" t="s">
        <v>43</v>
      </c>
      <c r="G2274">
        <v>5883</v>
      </c>
      <c r="H2274" s="5" t="s">
        <v>113</v>
      </c>
      <c r="I2274" s="15">
        <v>45083</v>
      </c>
      <c r="J2274" s="15" t="s">
        <v>233</v>
      </c>
      <c r="K2274" s="6">
        <v>0.44444444444444442</v>
      </c>
      <c r="L2274" t="s">
        <v>145</v>
      </c>
      <c r="M2274">
        <v>1000000</v>
      </c>
      <c r="N2274" t="s">
        <v>203</v>
      </c>
      <c r="O2274" t="s">
        <v>151</v>
      </c>
      <c r="P2274">
        <v>22</v>
      </c>
      <c r="Q2274" t="s">
        <v>155</v>
      </c>
    </row>
    <row r="2275" spans="1:17" x14ac:dyDescent="0.2">
      <c r="A2275">
        <v>1536698</v>
      </c>
      <c r="B2275">
        <v>127</v>
      </c>
      <c r="C2275" s="1" t="s">
        <v>108</v>
      </c>
      <c r="D2275" s="11">
        <v>45240.088194444441</v>
      </c>
      <c r="E2275" t="s">
        <v>191</v>
      </c>
      <c r="F2275" t="s">
        <v>27</v>
      </c>
      <c r="G2275">
        <v>2350</v>
      </c>
      <c r="H2275" s="5" t="s">
        <v>108</v>
      </c>
      <c r="I2275" s="15">
        <v>45240</v>
      </c>
      <c r="J2275" s="15" t="s">
        <v>295</v>
      </c>
      <c r="K2275" s="6">
        <v>8.819444444444445E-2</v>
      </c>
      <c r="L2275" t="s">
        <v>142</v>
      </c>
      <c r="M2275">
        <v>1000000</v>
      </c>
      <c r="N2275" t="s">
        <v>209</v>
      </c>
      <c r="O2275" t="s">
        <v>152</v>
      </c>
      <c r="P2275">
        <v>57</v>
      </c>
      <c r="Q2275" t="s">
        <v>154</v>
      </c>
    </row>
    <row r="2276" spans="1:17" x14ac:dyDescent="0.2">
      <c r="A2276">
        <v>1536890</v>
      </c>
      <c r="B2276">
        <v>1364</v>
      </c>
      <c r="C2276" s="1" t="s">
        <v>100</v>
      </c>
      <c r="D2276" s="11">
        <v>45154.056944444441</v>
      </c>
      <c r="E2276" t="s">
        <v>97</v>
      </c>
      <c r="F2276" t="s">
        <v>27</v>
      </c>
      <c r="G2276">
        <v>7711</v>
      </c>
      <c r="H2276" s="5" t="s">
        <v>100</v>
      </c>
      <c r="I2276" s="15">
        <v>45154</v>
      </c>
      <c r="J2276" s="15" t="s">
        <v>234</v>
      </c>
      <c r="K2276" s="6">
        <v>5.6944444444444443E-2</v>
      </c>
      <c r="L2276" t="s">
        <v>142</v>
      </c>
      <c r="M2276">
        <v>1000000</v>
      </c>
      <c r="N2276" t="s">
        <v>209</v>
      </c>
      <c r="O2276" t="s">
        <v>151</v>
      </c>
      <c r="P2276">
        <v>82</v>
      </c>
      <c r="Q2276" t="s">
        <v>156</v>
      </c>
    </row>
    <row r="2277" spans="1:17" x14ac:dyDescent="0.2">
      <c r="A2277">
        <v>1536982</v>
      </c>
      <c r="B2277">
        <v>742</v>
      </c>
      <c r="C2277" s="1" t="s">
        <v>99</v>
      </c>
      <c r="D2277" s="11">
        <v>45018.008333333331</v>
      </c>
      <c r="E2277" t="s">
        <v>96</v>
      </c>
      <c r="F2277" t="s">
        <v>17</v>
      </c>
      <c r="G2277">
        <v>5486</v>
      </c>
      <c r="H2277" s="5" t="s">
        <v>99</v>
      </c>
      <c r="I2277" s="15">
        <v>45018</v>
      </c>
      <c r="J2277" s="15" t="s">
        <v>233</v>
      </c>
      <c r="K2277" s="6">
        <v>0.5083333333333333</v>
      </c>
      <c r="L2277" t="s">
        <v>142</v>
      </c>
      <c r="M2277">
        <v>100000</v>
      </c>
      <c r="N2277" t="s">
        <v>209</v>
      </c>
      <c r="O2277" t="s">
        <v>152</v>
      </c>
      <c r="P2277">
        <v>63</v>
      </c>
      <c r="Q2277" t="s">
        <v>155</v>
      </c>
    </row>
    <row r="2278" spans="1:17" x14ac:dyDescent="0.2">
      <c r="A2278">
        <v>1538322</v>
      </c>
      <c r="B2278">
        <v>1752</v>
      </c>
      <c r="C2278" s="1" t="s">
        <v>101</v>
      </c>
      <c r="D2278" s="11">
        <v>45219.988888888889</v>
      </c>
      <c r="E2278" t="s">
        <v>98</v>
      </c>
      <c r="F2278" t="s">
        <v>21</v>
      </c>
      <c r="G2278">
        <v>6645</v>
      </c>
      <c r="H2278" s="5" t="s">
        <v>101</v>
      </c>
      <c r="I2278" s="15">
        <v>45219</v>
      </c>
      <c r="J2278" s="15" t="s">
        <v>295</v>
      </c>
      <c r="K2278" s="6">
        <v>0.48888888888888887</v>
      </c>
      <c r="L2278" t="s">
        <v>142</v>
      </c>
      <c r="M2278">
        <v>150000</v>
      </c>
      <c r="N2278" t="s">
        <v>211</v>
      </c>
      <c r="O2278" t="s">
        <v>152</v>
      </c>
      <c r="P2278">
        <v>50</v>
      </c>
      <c r="Q2278" t="s">
        <v>157</v>
      </c>
    </row>
    <row r="2279" spans="1:17" x14ac:dyDescent="0.2">
      <c r="A2279">
        <v>1538360</v>
      </c>
      <c r="B2279">
        <v>1824</v>
      </c>
      <c r="C2279" s="1" t="s">
        <v>99</v>
      </c>
      <c r="D2279" s="11">
        <v>44960.959027777775</v>
      </c>
      <c r="E2279" t="s">
        <v>191</v>
      </c>
      <c r="F2279" t="s">
        <v>43</v>
      </c>
      <c r="G2279">
        <v>4448</v>
      </c>
      <c r="H2279" s="5" t="s">
        <v>99</v>
      </c>
      <c r="I2279" s="15">
        <v>44960</v>
      </c>
      <c r="J2279" s="15" t="s">
        <v>232</v>
      </c>
      <c r="K2279" s="6">
        <v>0.45902777777777776</v>
      </c>
      <c r="L2279" t="s">
        <v>145</v>
      </c>
      <c r="M2279">
        <v>1000000</v>
      </c>
      <c r="N2279" t="s">
        <v>203</v>
      </c>
      <c r="O2279" t="s">
        <v>152</v>
      </c>
      <c r="P2279">
        <v>35</v>
      </c>
      <c r="Q2279" t="s">
        <v>157</v>
      </c>
    </row>
    <row r="2280" spans="1:17" x14ac:dyDescent="0.2">
      <c r="A2280">
        <v>1541893</v>
      </c>
      <c r="B2280">
        <v>1860</v>
      </c>
      <c r="C2280" s="1" t="s">
        <v>105</v>
      </c>
      <c r="D2280" s="11">
        <v>44956.986111111109</v>
      </c>
      <c r="E2280" t="s">
        <v>98</v>
      </c>
      <c r="F2280" t="s">
        <v>29</v>
      </c>
      <c r="G2280">
        <v>1027</v>
      </c>
      <c r="H2280" s="5" t="s">
        <v>105</v>
      </c>
      <c r="I2280" s="15">
        <v>44956</v>
      </c>
      <c r="J2280" s="15" t="s">
        <v>232</v>
      </c>
      <c r="K2280" s="6">
        <v>0.4861111111111111</v>
      </c>
      <c r="L2280" t="s">
        <v>143</v>
      </c>
      <c r="M2280">
        <v>150000</v>
      </c>
      <c r="N2280" t="s">
        <v>214</v>
      </c>
      <c r="O2280" t="s">
        <v>152</v>
      </c>
      <c r="P2280">
        <v>61</v>
      </c>
      <c r="Q2280" t="s">
        <v>157</v>
      </c>
    </row>
    <row r="2281" spans="1:17" x14ac:dyDescent="0.2">
      <c r="A2281">
        <v>1542275</v>
      </c>
      <c r="B2281">
        <v>1647</v>
      </c>
      <c r="C2281" s="1" t="s">
        <v>99</v>
      </c>
      <c r="D2281" s="11">
        <v>45165.071527777778</v>
      </c>
      <c r="E2281" t="s">
        <v>191</v>
      </c>
      <c r="F2281" t="s">
        <v>9</v>
      </c>
      <c r="G2281">
        <v>8992</v>
      </c>
      <c r="H2281" s="5" t="s">
        <v>99</v>
      </c>
      <c r="I2281" s="15">
        <v>45165</v>
      </c>
      <c r="J2281" s="15" t="s">
        <v>234</v>
      </c>
      <c r="K2281" s="6">
        <v>7.1527777777777773E-2</v>
      </c>
      <c r="L2281" t="s">
        <v>144</v>
      </c>
      <c r="M2281">
        <v>150000</v>
      </c>
      <c r="N2281" t="s">
        <v>202</v>
      </c>
      <c r="O2281" t="s">
        <v>152</v>
      </c>
      <c r="P2281">
        <v>22</v>
      </c>
      <c r="Q2281" t="s">
        <v>157</v>
      </c>
    </row>
    <row r="2282" spans="1:17" x14ac:dyDescent="0.2">
      <c r="A2282">
        <v>1542373</v>
      </c>
      <c r="B2282">
        <v>1267</v>
      </c>
      <c r="C2282" s="1" t="s">
        <v>107</v>
      </c>
      <c r="D2282" s="11">
        <v>45059.027777777781</v>
      </c>
      <c r="E2282" t="s">
        <v>191</v>
      </c>
      <c r="F2282" t="s">
        <v>30</v>
      </c>
      <c r="G2282">
        <v>3468</v>
      </c>
      <c r="H2282" s="5" t="s">
        <v>107</v>
      </c>
      <c r="I2282" s="15">
        <v>45059</v>
      </c>
      <c r="J2282" s="15" t="s">
        <v>233</v>
      </c>
      <c r="K2282" s="6">
        <v>0.52777777777777779</v>
      </c>
      <c r="L2282" t="s">
        <v>144</v>
      </c>
      <c r="M2282">
        <v>200000</v>
      </c>
      <c r="N2282" t="s">
        <v>216</v>
      </c>
      <c r="O2282" t="s">
        <v>151</v>
      </c>
      <c r="P2282">
        <v>62</v>
      </c>
      <c r="Q2282" t="s">
        <v>156</v>
      </c>
    </row>
    <row r="2283" spans="1:17" x14ac:dyDescent="0.2">
      <c r="A2283">
        <v>1543099</v>
      </c>
      <c r="B2283">
        <v>1489</v>
      </c>
      <c r="C2283" s="1" t="s">
        <v>105</v>
      </c>
      <c r="D2283" s="11">
        <v>44974.947222222225</v>
      </c>
      <c r="E2283" t="s">
        <v>191</v>
      </c>
      <c r="F2283" t="s">
        <v>67</v>
      </c>
      <c r="G2283">
        <v>5530</v>
      </c>
      <c r="H2283" s="5" t="s">
        <v>105</v>
      </c>
      <c r="I2283" s="15">
        <v>44974</v>
      </c>
      <c r="J2283" s="15" t="s">
        <v>232</v>
      </c>
      <c r="K2283" s="6">
        <v>0.44722222222222224</v>
      </c>
      <c r="L2283" t="s">
        <v>142</v>
      </c>
      <c r="M2283">
        <v>100000</v>
      </c>
      <c r="N2283" t="s">
        <v>213</v>
      </c>
      <c r="O2283" t="s">
        <v>152</v>
      </c>
      <c r="P2283">
        <v>46</v>
      </c>
      <c r="Q2283" t="s">
        <v>156</v>
      </c>
    </row>
    <row r="2284" spans="1:17" x14ac:dyDescent="0.2">
      <c r="A2284">
        <v>1543135</v>
      </c>
      <c r="B2284">
        <v>647</v>
      </c>
      <c r="C2284" s="1" t="s">
        <v>101</v>
      </c>
      <c r="D2284" s="11">
        <v>45084.044444444444</v>
      </c>
      <c r="E2284" t="s">
        <v>97</v>
      </c>
      <c r="F2284" t="s">
        <v>53</v>
      </c>
      <c r="G2284">
        <v>9026</v>
      </c>
      <c r="H2284" s="5" t="s">
        <v>101</v>
      </c>
      <c r="I2284" s="15">
        <v>45084</v>
      </c>
      <c r="J2284" s="15" t="s">
        <v>233</v>
      </c>
      <c r="K2284" s="6">
        <v>4.4444444444444446E-2</v>
      </c>
      <c r="L2284" t="s">
        <v>142</v>
      </c>
      <c r="M2284">
        <v>100000</v>
      </c>
      <c r="N2284" t="s">
        <v>207</v>
      </c>
      <c r="O2284" t="s">
        <v>151</v>
      </c>
      <c r="P2284">
        <v>76</v>
      </c>
      <c r="Q2284" t="s">
        <v>155</v>
      </c>
    </row>
    <row r="2285" spans="1:17" x14ac:dyDescent="0.2">
      <c r="A2285">
        <v>1543232</v>
      </c>
      <c r="B2285">
        <v>871</v>
      </c>
      <c r="C2285" s="1" t="s">
        <v>107</v>
      </c>
      <c r="D2285" s="11">
        <v>45103.017361111109</v>
      </c>
      <c r="E2285" t="s">
        <v>98</v>
      </c>
      <c r="F2285" t="s">
        <v>33</v>
      </c>
      <c r="G2285">
        <v>2237</v>
      </c>
      <c r="H2285" s="5" t="s">
        <v>107</v>
      </c>
      <c r="I2285" s="15">
        <v>45103</v>
      </c>
      <c r="J2285" s="15" t="s">
        <v>233</v>
      </c>
      <c r="K2285" s="6">
        <v>0.51736111111111116</v>
      </c>
      <c r="L2285" t="s">
        <v>145</v>
      </c>
      <c r="M2285">
        <v>100000</v>
      </c>
      <c r="N2285" t="s">
        <v>210</v>
      </c>
      <c r="O2285" t="s">
        <v>152</v>
      </c>
      <c r="P2285">
        <v>76</v>
      </c>
      <c r="Q2285" t="s">
        <v>155</v>
      </c>
    </row>
    <row r="2286" spans="1:17" x14ac:dyDescent="0.2">
      <c r="A2286">
        <v>1543526</v>
      </c>
      <c r="B2286">
        <v>1554</v>
      </c>
      <c r="C2286" s="1" t="s">
        <v>109</v>
      </c>
      <c r="D2286" s="11">
        <v>45101.005555555559</v>
      </c>
      <c r="E2286" t="s">
        <v>98</v>
      </c>
      <c r="F2286" t="s">
        <v>34</v>
      </c>
      <c r="G2286">
        <v>9175</v>
      </c>
      <c r="H2286" s="5" t="s">
        <v>109</v>
      </c>
      <c r="I2286" s="15">
        <v>45101</v>
      </c>
      <c r="J2286" s="15" t="s">
        <v>233</v>
      </c>
      <c r="K2286" s="6">
        <v>0.50555555555555554</v>
      </c>
      <c r="L2286" t="s">
        <v>144</v>
      </c>
      <c r="M2286">
        <v>150000</v>
      </c>
      <c r="N2286" t="s">
        <v>218</v>
      </c>
      <c r="O2286" t="s">
        <v>152</v>
      </c>
      <c r="P2286">
        <v>52</v>
      </c>
      <c r="Q2286" t="s">
        <v>157</v>
      </c>
    </row>
    <row r="2287" spans="1:17" x14ac:dyDescent="0.2">
      <c r="A2287">
        <v>1544633</v>
      </c>
      <c r="B2287">
        <v>714</v>
      </c>
      <c r="C2287" s="1" t="s">
        <v>99</v>
      </c>
      <c r="D2287" s="11">
        <v>45157.04791666667</v>
      </c>
      <c r="E2287" t="s">
        <v>96</v>
      </c>
      <c r="F2287" t="s">
        <v>35</v>
      </c>
      <c r="G2287">
        <v>347</v>
      </c>
      <c r="H2287" s="5" t="s">
        <v>99</v>
      </c>
      <c r="I2287" s="15">
        <v>45157</v>
      </c>
      <c r="J2287" s="15" t="s">
        <v>234</v>
      </c>
      <c r="K2287" s="6">
        <v>4.791666666666667E-2</v>
      </c>
      <c r="L2287" t="s">
        <v>144</v>
      </c>
      <c r="M2287">
        <v>100000</v>
      </c>
      <c r="N2287" t="s">
        <v>219</v>
      </c>
      <c r="O2287" t="s">
        <v>151</v>
      </c>
      <c r="P2287">
        <v>25</v>
      </c>
      <c r="Q2287" t="s">
        <v>155</v>
      </c>
    </row>
    <row r="2288" spans="1:17" x14ac:dyDescent="0.2">
      <c r="A2288">
        <v>1545246</v>
      </c>
      <c r="B2288">
        <v>1069</v>
      </c>
      <c r="C2288" s="1" t="s">
        <v>101</v>
      </c>
      <c r="D2288" s="11">
        <v>44984.050694444442</v>
      </c>
      <c r="E2288" t="s">
        <v>98</v>
      </c>
      <c r="F2288" t="s">
        <v>69</v>
      </c>
      <c r="G2288">
        <v>5132</v>
      </c>
      <c r="H2288" s="5" t="s">
        <v>101</v>
      </c>
      <c r="I2288" s="15">
        <v>44984</v>
      </c>
      <c r="J2288" s="15" t="s">
        <v>232</v>
      </c>
      <c r="K2288" s="6">
        <v>5.0694444444444445E-2</v>
      </c>
      <c r="L2288" t="s">
        <v>146</v>
      </c>
      <c r="M2288">
        <v>250000</v>
      </c>
      <c r="N2288" t="s">
        <v>225</v>
      </c>
      <c r="O2288" t="s">
        <v>151</v>
      </c>
      <c r="P2288">
        <v>80</v>
      </c>
      <c r="Q2288" t="s">
        <v>156</v>
      </c>
    </row>
    <row r="2289" spans="1:17" x14ac:dyDescent="0.2">
      <c r="A2289">
        <v>1546512</v>
      </c>
      <c r="B2289">
        <v>33</v>
      </c>
      <c r="C2289" s="1" t="s">
        <v>105</v>
      </c>
      <c r="D2289" s="11">
        <v>45284.038888888892</v>
      </c>
      <c r="E2289" t="s">
        <v>192</v>
      </c>
      <c r="F2289" t="s">
        <v>43</v>
      </c>
      <c r="G2289">
        <v>9521</v>
      </c>
      <c r="H2289" s="5" t="s">
        <v>105</v>
      </c>
      <c r="I2289" s="15">
        <v>45284</v>
      </c>
      <c r="J2289" s="15" t="s">
        <v>295</v>
      </c>
      <c r="K2289" s="6">
        <v>0.53888888888888886</v>
      </c>
      <c r="L2289" t="s">
        <v>145</v>
      </c>
      <c r="M2289">
        <v>1000000</v>
      </c>
      <c r="N2289" t="s">
        <v>203</v>
      </c>
      <c r="O2289" t="s">
        <v>151</v>
      </c>
      <c r="P2289">
        <v>53</v>
      </c>
      <c r="Q2289" t="s">
        <v>154</v>
      </c>
    </row>
    <row r="2290" spans="1:17" x14ac:dyDescent="0.2">
      <c r="A2290">
        <v>1546802</v>
      </c>
      <c r="B2290">
        <v>1394</v>
      </c>
      <c r="C2290" s="1" t="s">
        <v>99</v>
      </c>
      <c r="D2290" s="11">
        <v>45170.018055555556</v>
      </c>
      <c r="E2290" t="s">
        <v>98</v>
      </c>
      <c r="F2290" t="s">
        <v>38</v>
      </c>
      <c r="G2290">
        <v>8149</v>
      </c>
      <c r="H2290" s="5" t="s">
        <v>99</v>
      </c>
      <c r="I2290" s="15">
        <v>45170</v>
      </c>
      <c r="J2290" s="15" t="s">
        <v>234</v>
      </c>
      <c r="K2290" s="6">
        <v>0.5180555555555556</v>
      </c>
      <c r="L2290" t="s">
        <v>143</v>
      </c>
      <c r="M2290">
        <v>100000</v>
      </c>
      <c r="N2290" t="s">
        <v>221</v>
      </c>
      <c r="O2290" t="s">
        <v>152</v>
      </c>
      <c r="P2290">
        <v>58</v>
      </c>
      <c r="Q2290" t="s">
        <v>156</v>
      </c>
    </row>
    <row r="2291" spans="1:17" x14ac:dyDescent="0.2">
      <c r="A2291">
        <v>1547057</v>
      </c>
      <c r="B2291">
        <v>18</v>
      </c>
      <c r="C2291" s="1" t="s">
        <v>99</v>
      </c>
      <c r="D2291" s="11">
        <v>45060.030555555553</v>
      </c>
      <c r="E2291" t="s">
        <v>96</v>
      </c>
      <c r="F2291" t="s">
        <v>39</v>
      </c>
      <c r="G2291">
        <v>9727</v>
      </c>
      <c r="H2291" s="5" t="s">
        <v>99</v>
      </c>
      <c r="I2291" s="15">
        <v>45060</v>
      </c>
      <c r="J2291" s="15" t="s">
        <v>233</v>
      </c>
      <c r="K2291" s="6">
        <v>0.53055555555555556</v>
      </c>
      <c r="L2291" t="s">
        <v>146</v>
      </c>
      <c r="M2291">
        <v>100000</v>
      </c>
      <c r="N2291" t="s">
        <v>212</v>
      </c>
      <c r="O2291" t="s">
        <v>152</v>
      </c>
      <c r="P2291">
        <v>85</v>
      </c>
      <c r="Q2291" t="s">
        <v>154</v>
      </c>
    </row>
    <row r="2292" spans="1:17" x14ac:dyDescent="0.2">
      <c r="A2292">
        <v>1548032</v>
      </c>
      <c r="B2292">
        <v>1733</v>
      </c>
      <c r="C2292" s="1" t="s">
        <v>107</v>
      </c>
      <c r="D2292" s="11">
        <v>45216.057638888888</v>
      </c>
      <c r="E2292" t="s">
        <v>191</v>
      </c>
      <c r="F2292" t="s">
        <v>24</v>
      </c>
      <c r="G2292">
        <v>3053</v>
      </c>
      <c r="H2292" s="5" t="s">
        <v>107</v>
      </c>
      <c r="I2292" s="15">
        <v>45216</v>
      </c>
      <c r="J2292" s="15" t="s">
        <v>295</v>
      </c>
      <c r="K2292" s="6">
        <v>5.7638888888888892E-2</v>
      </c>
      <c r="L2292" t="s">
        <v>143</v>
      </c>
      <c r="M2292">
        <v>200000</v>
      </c>
      <c r="N2292" t="s">
        <v>214</v>
      </c>
      <c r="O2292" t="s">
        <v>151</v>
      </c>
      <c r="P2292">
        <v>32</v>
      </c>
      <c r="Q2292" t="s">
        <v>157</v>
      </c>
    </row>
    <row r="2293" spans="1:17" x14ac:dyDescent="0.2">
      <c r="A2293">
        <v>1548655</v>
      </c>
      <c r="B2293">
        <v>327</v>
      </c>
      <c r="C2293" s="1" t="s">
        <v>113</v>
      </c>
      <c r="D2293" s="11">
        <v>45159.031944444447</v>
      </c>
      <c r="E2293" t="s">
        <v>98</v>
      </c>
      <c r="F2293" t="s">
        <v>22</v>
      </c>
      <c r="G2293">
        <v>8582</v>
      </c>
      <c r="H2293" s="5" t="s">
        <v>113</v>
      </c>
      <c r="I2293" s="15">
        <v>45159</v>
      </c>
      <c r="J2293" s="15" t="s">
        <v>234</v>
      </c>
      <c r="K2293" s="6">
        <v>0.53194444444444444</v>
      </c>
      <c r="L2293" t="s">
        <v>144</v>
      </c>
      <c r="M2293">
        <v>100000</v>
      </c>
      <c r="N2293" t="s">
        <v>202</v>
      </c>
      <c r="O2293" t="s">
        <v>152</v>
      </c>
      <c r="P2293">
        <v>32</v>
      </c>
      <c r="Q2293" t="s">
        <v>154</v>
      </c>
    </row>
    <row r="2294" spans="1:17" x14ac:dyDescent="0.2">
      <c r="A2294">
        <v>1548735</v>
      </c>
      <c r="B2294">
        <v>90</v>
      </c>
      <c r="C2294" s="1" t="s">
        <v>99</v>
      </c>
      <c r="D2294" s="11">
        <v>45140.972222222219</v>
      </c>
      <c r="E2294" t="s">
        <v>191</v>
      </c>
      <c r="F2294" t="s">
        <v>41</v>
      </c>
      <c r="G2294">
        <v>1069</v>
      </c>
      <c r="H2294" s="5" t="s">
        <v>99</v>
      </c>
      <c r="I2294" s="15">
        <v>45140</v>
      </c>
      <c r="J2294" s="15" t="s">
        <v>234</v>
      </c>
      <c r="K2294" s="6">
        <v>0.47222222222222221</v>
      </c>
      <c r="L2294" t="s">
        <v>145</v>
      </c>
      <c r="M2294">
        <v>150000</v>
      </c>
      <c r="N2294" t="s">
        <v>203</v>
      </c>
      <c r="O2294" t="s">
        <v>152</v>
      </c>
      <c r="P2294">
        <v>48</v>
      </c>
      <c r="Q2294" t="s">
        <v>154</v>
      </c>
    </row>
    <row r="2295" spans="1:17" x14ac:dyDescent="0.2">
      <c r="A2295">
        <v>1549353</v>
      </c>
      <c r="B2295">
        <v>1603</v>
      </c>
      <c r="C2295" s="1" t="s">
        <v>99</v>
      </c>
      <c r="D2295" s="11">
        <v>45182.058333333334</v>
      </c>
      <c r="E2295" t="s">
        <v>98</v>
      </c>
      <c r="F2295" t="s">
        <v>42</v>
      </c>
      <c r="G2295">
        <v>2101</v>
      </c>
      <c r="H2295" s="5" t="s">
        <v>99</v>
      </c>
      <c r="I2295" s="15">
        <v>45182</v>
      </c>
      <c r="J2295" s="15" t="s">
        <v>234</v>
      </c>
      <c r="K2295" s="6">
        <v>5.8333333333333334E-2</v>
      </c>
      <c r="L2295" t="s">
        <v>144</v>
      </c>
      <c r="M2295">
        <v>100000</v>
      </c>
      <c r="N2295" t="s">
        <v>219</v>
      </c>
      <c r="O2295" t="s">
        <v>151</v>
      </c>
      <c r="P2295">
        <v>73</v>
      </c>
      <c r="Q2295" t="s">
        <v>157</v>
      </c>
    </row>
    <row r="2296" spans="1:17" x14ac:dyDescent="0.2">
      <c r="A2296">
        <v>1550005</v>
      </c>
      <c r="B2296">
        <v>1984</v>
      </c>
      <c r="C2296" s="1" t="s">
        <v>101</v>
      </c>
      <c r="D2296" s="11">
        <v>45002.038194444445</v>
      </c>
      <c r="E2296" t="s">
        <v>98</v>
      </c>
      <c r="F2296" t="s">
        <v>35</v>
      </c>
      <c r="G2296">
        <v>2075</v>
      </c>
      <c r="H2296" s="5" t="s">
        <v>101</v>
      </c>
      <c r="I2296" s="15">
        <v>45002</v>
      </c>
      <c r="J2296" s="15" t="s">
        <v>232</v>
      </c>
      <c r="K2296" s="6">
        <v>0.53819444444444442</v>
      </c>
      <c r="L2296" t="s">
        <v>144</v>
      </c>
      <c r="M2296">
        <v>100000</v>
      </c>
      <c r="N2296" t="s">
        <v>219</v>
      </c>
      <c r="O2296" t="s">
        <v>151</v>
      </c>
      <c r="P2296">
        <v>45</v>
      </c>
      <c r="Q2296" t="s">
        <v>157</v>
      </c>
    </row>
    <row r="2297" spans="1:17" x14ac:dyDescent="0.2">
      <c r="A2297">
        <v>1550154</v>
      </c>
      <c r="B2297">
        <v>1589</v>
      </c>
      <c r="C2297" s="1" t="s">
        <v>99</v>
      </c>
      <c r="D2297" s="11">
        <v>45060.072916666664</v>
      </c>
      <c r="E2297" t="s">
        <v>98</v>
      </c>
      <c r="F2297" t="s">
        <v>15</v>
      </c>
      <c r="G2297">
        <v>3729</v>
      </c>
      <c r="H2297" s="5" t="s">
        <v>99</v>
      </c>
      <c r="I2297" s="15">
        <v>45060</v>
      </c>
      <c r="J2297" s="15" t="s">
        <v>233</v>
      </c>
      <c r="K2297" s="6">
        <v>7.2916666666666671E-2</v>
      </c>
      <c r="L2297" t="s">
        <v>143</v>
      </c>
      <c r="M2297">
        <v>150000</v>
      </c>
      <c r="N2297" t="s">
        <v>198</v>
      </c>
      <c r="O2297" t="s">
        <v>152</v>
      </c>
      <c r="P2297">
        <v>20</v>
      </c>
      <c r="Q2297" t="s">
        <v>157</v>
      </c>
    </row>
    <row r="2298" spans="1:17" x14ac:dyDescent="0.2">
      <c r="A2298">
        <v>1550175</v>
      </c>
      <c r="B2298">
        <v>308</v>
      </c>
      <c r="C2298" s="1" t="s">
        <v>105</v>
      </c>
      <c r="D2298" s="11">
        <v>44988.98541666667</v>
      </c>
      <c r="E2298" t="s">
        <v>98</v>
      </c>
      <c r="F2298" t="s">
        <v>12</v>
      </c>
      <c r="G2298">
        <v>6486</v>
      </c>
      <c r="H2298" s="5" t="s">
        <v>105</v>
      </c>
      <c r="I2298" s="15">
        <v>44988</v>
      </c>
      <c r="J2298" s="15" t="s">
        <v>232</v>
      </c>
      <c r="K2298" s="6">
        <v>0.48541666666666666</v>
      </c>
      <c r="L2298" t="s">
        <v>143</v>
      </c>
      <c r="M2298">
        <v>150000</v>
      </c>
      <c r="N2298" t="s">
        <v>205</v>
      </c>
      <c r="O2298" t="s">
        <v>152</v>
      </c>
      <c r="P2298">
        <v>40</v>
      </c>
      <c r="Q2298" t="s">
        <v>154</v>
      </c>
    </row>
    <row r="2299" spans="1:17" x14ac:dyDescent="0.2">
      <c r="A2299">
        <v>1551349</v>
      </c>
      <c r="B2299">
        <v>694</v>
      </c>
      <c r="C2299" s="1" t="s">
        <v>102</v>
      </c>
      <c r="D2299" s="11">
        <v>45227.050694444442</v>
      </c>
      <c r="E2299" t="s">
        <v>97</v>
      </c>
      <c r="F2299" t="s">
        <v>29</v>
      </c>
      <c r="G2299">
        <v>9059</v>
      </c>
      <c r="H2299" s="5" t="s">
        <v>102</v>
      </c>
      <c r="I2299" s="15">
        <v>45227</v>
      </c>
      <c r="J2299" s="15" t="s">
        <v>295</v>
      </c>
      <c r="K2299" s="6">
        <v>5.0694444444444445E-2</v>
      </c>
      <c r="L2299" t="s">
        <v>143</v>
      </c>
      <c r="M2299">
        <v>150000</v>
      </c>
      <c r="N2299" t="s">
        <v>214</v>
      </c>
      <c r="O2299" t="s">
        <v>151</v>
      </c>
      <c r="P2299">
        <v>36</v>
      </c>
      <c r="Q2299" t="s">
        <v>155</v>
      </c>
    </row>
    <row r="2300" spans="1:17" x14ac:dyDescent="0.2">
      <c r="A2300">
        <v>1551563</v>
      </c>
      <c r="B2300">
        <v>394</v>
      </c>
      <c r="C2300" s="1" t="s">
        <v>113</v>
      </c>
      <c r="D2300" s="11">
        <v>45267.068749999999</v>
      </c>
      <c r="E2300" t="s">
        <v>191</v>
      </c>
      <c r="F2300" t="s">
        <v>27</v>
      </c>
      <c r="G2300">
        <v>932</v>
      </c>
      <c r="H2300" s="5" t="s">
        <v>113</v>
      </c>
      <c r="I2300" s="15">
        <v>45267</v>
      </c>
      <c r="J2300" s="15" t="s">
        <v>295</v>
      </c>
      <c r="K2300" s="6">
        <v>6.8750000000000006E-2</v>
      </c>
      <c r="L2300" t="s">
        <v>142</v>
      </c>
      <c r="M2300">
        <v>1000000</v>
      </c>
      <c r="N2300" t="s">
        <v>209</v>
      </c>
      <c r="O2300" t="s">
        <v>152</v>
      </c>
      <c r="P2300">
        <v>65</v>
      </c>
      <c r="Q2300" t="s">
        <v>154</v>
      </c>
    </row>
    <row r="2301" spans="1:17" x14ac:dyDescent="0.2">
      <c r="A2301">
        <v>1552540</v>
      </c>
      <c r="B2301">
        <v>1457</v>
      </c>
      <c r="C2301" s="1" t="s">
        <v>101</v>
      </c>
      <c r="D2301" s="11">
        <v>45161.991666666669</v>
      </c>
      <c r="E2301" t="s">
        <v>96</v>
      </c>
      <c r="F2301" t="s">
        <v>46</v>
      </c>
      <c r="G2301">
        <v>9266</v>
      </c>
      <c r="H2301" s="5" t="s">
        <v>101</v>
      </c>
      <c r="I2301" s="15">
        <v>45161</v>
      </c>
      <c r="J2301" s="15" t="s">
        <v>234</v>
      </c>
      <c r="K2301" s="6">
        <v>0.49166666666666664</v>
      </c>
      <c r="L2301" t="s">
        <v>142</v>
      </c>
      <c r="M2301">
        <v>200000</v>
      </c>
      <c r="N2301" t="s">
        <v>211</v>
      </c>
      <c r="O2301" t="s">
        <v>151</v>
      </c>
      <c r="P2301">
        <v>49</v>
      </c>
      <c r="Q2301" t="s">
        <v>156</v>
      </c>
    </row>
    <row r="2302" spans="1:17" x14ac:dyDescent="0.2">
      <c r="A2302">
        <v>1553612</v>
      </c>
      <c r="B2302">
        <v>1628</v>
      </c>
      <c r="C2302" s="1" t="s">
        <v>99</v>
      </c>
      <c r="D2302" s="11">
        <v>45055.011111111111</v>
      </c>
      <c r="E2302" t="s">
        <v>98</v>
      </c>
      <c r="F2302" t="s">
        <v>43</v>
      </c>
      <c r="G2302">
        <v>6089</v>
      </c>
      <c r="H2302" s="5" t="s">
        <v>99</v>
      </c>
      <c r="I2302" s="15">
        <v>45055</v>
      </c>
      <c r="J2302" s="15" t="s">
        <v>233</v>
      </c>
      <c r="K2302" s="6">
        <v>0.51111111111111107</v>
      </c>
      <c r="L2302" t="s">
        <v>145</v>
      </c>
      <c r="M2302">
        <v>1000000</v>
      </c>
      <c r="N2302" t="s">
        <v>203</v>
      </c>
      <c r="O2302" t="s">
        <v>152</v>
      </c>
      <c r="P2302">
        <v>79</v>
      </c>
      <c r="Q2302" t="s">
        <v>157</v>
      </c>
    </row>
    <row r="2303" spans="1:17" x14ac:dyDescent="0.2">
      <c r="A2303">
        <v>1553858</v>
      </c>
      <c r="B2303">
        <v>699</v>
      </c>
      <c r="C2303" s="1" t="s">
        <v>99</v>
      </c>
      <c r="D2303" s="11">
        <v>45169.052777777775</v>
      </c>
      <c r="E2303" t="s">
        <v>97</v>
      </c>
      <c r="F2303" t="s">
        <v>47</v>
      </c>
      <c r="G2303">
        <v>7598</v>
      </c>
      <c r="H2303" s="5" t="s">
        <v>99</v>
      </c>
      <c r="I2303" s="15">
        <v>45169</v>
      </c>
      <c r="J2303" s="15" t="s">
        <v>234</v>
      </c>
      <c r="K2303" s="6">
        <v>5.2777777777777778E-2</v>
      </c>
      <c r="L2303" t="s">
        <v>144</v>
      </c>
      <c r="M2303">
        <v>100000</v>
      </c>
      <c r="N2303" t="s">
        <v>218</v>
      </c>
      <c r="O2303" t="s">
        <v>152</v>
      </c>
      <c r="P2303">
        <v>68</v>
      </c>
      <c r="Q2303" t="s">
        <v>155</v>
      </c>
    </row>
    <row r="2304" spans="1:17" x14ac:dyDescent="0.2">
      <c r="A2304">
        <v>1555572</v>
      </c>
      <c r="B2304">
        <v>1665</v>
      </c>
      <c r="C2304" s="1" t="s">
        <v>110</v>
      </c>
      <c r="D2304" s="11">
        <v>45006.043749999997</v>
      </c>
      <c r="E2304" t="s">
        <v>97</v>
      </c>
      <c r="F2304" t="s">
        <v>27</v>
      </c>
      <c r="G2304">
        <v>1259</v>
      </c>
      <c r="H2304" s="5" t="s">
        <v>110</v>
      </c>
      <c r="I2304" s="15">
        <v>45006</v>
      </c>
      <c r="J2304" s="15" t="s">
        <v>232</v>
      </c>
      <c r="K2304" s="6">
        <v>4.3749999999999997E-2</v>
      </c>
      <c r="L2304" t="s">
        <v>142</v>
      </c>
      <c r="M2304">
        <v>1000000</v>
      </c>
      <c r="N2304" t="s">
        <v>209</v>
      </c>
      <c r="O2304" t="s">
        <v>152</v>
      </c>
      <c r="P2304">
        <v>19</v>
      </c>
      <c r="Q2304" t="s">
        <v>157</v>
      </c>
    </row>
    <row r="2305" spans="1:17" x14ac:dyDescent="0.2">
      <c r="A2305">
        <v>1556551</v>
      </c>
      <c r="B2305">
        <v>556</v>
      </c>
      <c r="C2305" s="1" t="s">
        <v>100</v>
      </c>
      <c r="D2305" s="11">
        <v>45027.024305555555</v>
      </c>
      <c r="E2305" t="s">
        <v>97</v>
      </c>
      <c r="F2305" t="s">
        <v>90</v>
      </c>
      <c r="G2305">
        <v>4482</v>
      </c>
      <c r="H2305" s="5" t="s">
        <v>100</v>
      </c>
      <c r="I2305" s="15">
        <v>45027</v>
      </c>
      <c r="J2305" s="15" t="s">
        <v>233</v>
      </c>
      <c r="K2305" s="6">
        <v>0.52430555555555558</v>
      </c>
      <c r="L2305" t="s">
        <v>142</v>
      </c>
      <c r="M2305">
        <v>150000</v>
      </c>
      <c r="N2305" t="s">
        <v>208</v>
      </c>
      <c r="O2305" t="s">
        <v>152</v>
      </c>
      <c r="P2305">
        <v>72</v>
      </c>
      <c r="Q2305" t="s">
        <v>155</v>
      </c>
    </row>
    <row r="2306" spans="1:17" x14ac:dyDescent="0.2">
      <c r="A2306">
        <v>1557337</v>
      </c>
      <c r="B2306">
        <v>508</v>
      </c>
      <c r="C2306" s="1" t="s">
        <v>110</v>
      </c>
      <c r="D2306" s="11">
        <v>44957.03402777778</v>
      </c>
      <c r="E2306" t="s">
        <v>97</v>
      </c>
      <c r="F2306" t="s">
        <v>14</v>
      </c>
      <c r="G2306">
        <v>4679</v>
      </c>
      <c r="H2306" s="5" t="s">
        <v>110</v>
      </c>
      <c r="I2306" s="15">
        <v>44957</v>
      </c>
      <c r="J2306" s="15" t="s">
        <v>232</v>
      </c>
      <c r="K2306" s="6">
        <v>0.53402777777777777</v>
      </c>
      <c r="L2306" t="s">
        <v>142</v>
      </c>
      <c r="M2306">
        <v>250000</v>
      </c>
      <c r="N2306" t="s">
        <v>207</v>
      </c>
      <c r="O2306" t="s">
        <v>152</v>
      </c>
      <c r="P2306">
        <v>65</v>
      </c>
      <c r="Q2306" t="s">
        <v>155</v>
      </c>
    </row>
    <row r="2307" spans="1:17" x14ac:dyDescent="0.2">
      <c r="A2307">
        <v>1558722</v>
      </c>
      <c r="B2307">
        <v>623</v>
      </c>
      <c r="C2307" s="1" t="s">
        <v>113</v>
      </c>
      <c r="D2307" s="11">
        <v>45134.067361111112</v>
      </c>
      <c r="E2307" t="s">
        <v>98</v>
      </c>
      <c r="F2307" t="s">
        <v>27</v>
      </c>
      <c r="G2307">
        <v>1232</v>
      </c>
      <c r="H2307" s="5" t="s">
        <v>113</v>
      </c>
      <c r="I2307" s="15">
        <v>45134</v>
      </c>
      <c r="J2307" s="15" t="s">
        <v>234</v>
      </c>
      <c r="K2307" s="6">
        <v>6.7361111111111108E-2</v>
      </c>
      <c r="L2307" t="s">
        <v>142</v>
      </c>
      <c r="M2307">
        <v>1000000</v>
      </c>
      <c r="N2307" t="s">
        <v>209</v>
      </c>
      <c r="O2307" t="s">
        <v>152</v>
      </c>
      <c r="P2307">
        <v>80</v>
      </c>
      <c r="Q2307" t="s">
        <v>155</v>
      </c>
    </row>
    <row r="2308" spans="1:17" x14ac:dyDescent="0.2">
      <c r="A2308">
        <v>1558773</v>
      </c>
      <c r="B2308">
        <v>1230</v>
      </c>
      <c r="C2308" s="1" t="s">
        <v>105</v>
      </c>
      <c r="D2308" s="11">
        <v>45143.039583333331</v>
      </c>
      <c r="E2308" t="s">
        <v>98</v>
      </c>
      <c r="F2308" t="s">
        <v>94</v>
      </c>
      <c r="G2308">
        <v>5890</v>
      </c>
      <c r="H2308" s="5" t="s">
        <v>105</v>
      </c>
      <c r="I2308" s="15">
        <v>45143</v>
      </c>
      <c r="J2308" s="15" t="s">
        <v>234</v>
      </c>
      <c r="K2308" s="6">
        <v>0.5395833333333333</v>
      </c>
      <c r="L2308" t="s">
        <v>143</v>
      </c>
      <c r="M2308">
        <v>50000</v>
      </c>
      <c r="N2308" t="s">
        <v>215</v>
      </c>
      <c r="O2308" t="s">
        <v>152</v>
      </c>
      <c r="P2308">
        <v>80</v>
      </c>
      <c r="Q2308" t="s">
        <v>156</v>
      </c>
    </row>
    <row r="2309" spans="1:17" x14ac:dyDescent="0.2">
      <c r="A2309">
        <v>1558851</v>
      </c>
      <c r="B2309">
        <v>431</v>
      </c>
      <c r="C2309" s="1" t="s">
        <v>113</v>
      </c>
      <c r="D2309" s="11">
        <v>45288.974305555559</v>
      </c>
      <c r="E2309" t="s">
        <v>98</v>
      </c>
      <c r="F2309" t="s">
        <v>9</v>
      </c>
      <c r="G2309">
        <v>3075</v>
      </c>
      <c r="H2309" s="5" t="s">
        <v>113</v>
      </c>
      <c r="I2309" s="15">
        <v>45288</v>
      </c>
      <c r="J2309" s="15" t="s">
        <v>295</v>
      </c>
      <c r="K2309" s="6">
        <v>0.47430555555555554</v>
      </c>
      <c r="L2309" t="s">
        <v>144</v>
      </c>
      <c r="M2309">
        <v>150000</v>
      </c>
      <c r="N2309" t="s">
        <v>202</v>
      </c>
      <c r="O2309" t="s">
        <v>152</v>
      </c>
      <c r="P2309">
        <v>34</v>
      </c>
      <c r="Q2309" t="s">
        <v>154</v>
      </c>
    </row>
    <row r="2310" spans="1:17" x14ac:dyDescent="0.2">
      <c r="A2310">
        <v>1558891</v>
      </c>
      <c r="B2310">
        <v>1358</v>
      </c>
      <c r="C2310" s="1" t="s">
        <v>101</v>
      </c>
      <c r="D2310" s="11">
        <v>44948.019444444442</v>
      </c>
      <c r="E2310" t="s">
        <v>96</v>
      </c>
      <c r="F2310" t="s">
        <v>48</v>
      </c>
      <c r="G2310">
        <v>9227</v>
      </c>
      <c r="H2310" s="5" t="s">
        <v>101</v>
      </c>
      <c r="I2310" s="15">
        <v>44948</v>
      </c>
      <c r="J2310" s="15" t="s">
        <v>232</v>
      </c>
      <c r="K2310" s="6">
        <v>0.51944444444444449</v>
      </c>
      <c r="L2310" t="s">
        <v>142</v>
      </c>
      <c r="M2310">
        <v>100000</v>
      </c>
      <c r="N2310" t="s">
        <v>209</v>
      </c>
      <c r="O2310" t="s">
        <v>152</v>
      </c>
      <c r="P2310">
        <v>60</v>
      </c>
      <c r="Q2310" t="s">
        <v>156</v>
      </c>
    </row>
    <row r="2311" spans="1:17" x14ac:dyDescent="0.2">
      <c r="A2311">
        <v>1560730</v>
      </c>
      <c r="B2311">
        <v>1689</v>
      </c>
      <c r="C2311" s="1" t="s">
        <v>101</v>
      </c>
      <c r="D2311" s="11">
        <v>45106.023611111108</v>
      </c>
      <c r="E2311" t="s">
        <v>191</v>
      </c>
      <c r="F2311" t="s">
        <v>14</v>
      </c>
      <c r="G2311">
        <v>9570</v>
      </c>
      <c r="H2311" s="5" t="s">
        <v>101</v>
      </c>
      <c r="I2311" s="15">
        <v>45106</v>
      </c>
      <c r="J2311" s="15" t="s">
        <v>233</v>
      </c>
      <c r="K2311" s="6">
        <v>0.52361111111111114</v>
      </c>
      <c r="L2311" t="s">
        <v>142</v>
      </c>
      <c r="M2311">
        <v>250000</v>
      </c>
      <c r="N2311" t="s">
        <v>207</v>
      </c>
      <c r="O2311" t="s">
        <v>151</v>
      </c>
      <c r="P2311">
        <v>50</v>
      </c>
      <c r="Q2311" t="s">
        <v>157</v>
      </c>
    </row>
    <row r="2312" spans="1:17" x14ac:dyDescent="0.2">
      <c r="A2312">
        <v>1561328</v>
      </c>
      <c r="B2312">
        <v>1031</v>
      </c>
      <c r="C2312" s="1" t="s">
        <v>101</v>
      </c>
      <c r="D2312" s="11">
        <v>45229.992361111108</v>
      </c>
      <c r="E2312" t="s">
        <v>191</v>
      </c>
      <c r="F2312" t="s">
        <v>61</v>
      </c>
      <c r="G2312">
        <v>2619</v>
      </c>
      <c r="H2312" s="5" t="s">
        <v>101</v>
      </c>
      <c r="I2312" s="15">
        <v>45229</v>
      </c>
      <c r="J2312" s="15" t="s">
        <v>295</v>
      </c>
      <c r="K2312" s="6">
        <v>0.49236111111111114</v>
      </c>
      <c r="L2312" t="s">
        <v>142</v>
      </c>
      <c r="M2312">
        <v>80000</v>
      </c>
      <c r="N2312" t="s">
        <v>197</v>
      </c>
      <c r="O2312" t="s">
        <v>151</v>
      </c>
      <c r="P2312">
        <v>40</v>
      </c>
      <c r="Q2312" t="s">
        <v>156</v>
      </c>
    </row>
    <row r="2313" spans="1:17" x14ac:dyDescent="0.2">
      <c r="A2313">
        <v>1561588</v>
      </c>
      <c r="B2313">
        <v>237</v>
      </c>
      <c r="C2313" s="1" t="s">
        <v>100</v>
      </c>
      <c r="D2313" s="11">
        <v>45162.970833333333</v>
      </c>
      <c r="E2313" t="s">
        <v>96</v>
      </c>
      <c r="F2313" t="s">
        <v>65</v>
      </c>
      <c r="G2313">
        <v>7424</v>
      </c>
      <c r="H2313" s="5" t="s">
        <v>100</v>
      </c>
      <c r="I2313" s="15">
        <v>45162</v>
      </c>
      <c r="J2313" s="15" t="s">
        <v>234</v>
      </c>
      <c r="K2313" s="6">
        <v>0.47083333333333333</v>
      </c>
      <c r="L2313" t="s">
        <v>146</v>
      </c>
      <c r="M2313">
        <v>200000</v>
      </c>
      <c r="N2313" t="s">
        <v>225</v>
      </c>
      <c r="O2313" t="s">
        <v>152</v>
      </c>
      <c r="P2313">
        <v>57</v>
      </c>
      <c r="Q2313" t="s">
        <v>154</v>
      </c>
    </row>
    <row r="2314" spans="1:17" x14ac:dyDescent="0.2">
      <c r="A2314">
        <v>1562667</v>
      </c>
      <c r="B2314">
        <v>984</v>
      </c>
      <c r="C2314" s="1" t="s">
        <v>100</v>
      </c>
      <c r="D2314" s="11">
        <v>45113.986805555556</v>
      </c>
      <c r="E2314" t="s">
        <v>96</v>
      </c>
      <c r="F2314" t="s">
        <v>27</v>
      </c>
      <c r="G2314">
        <v>424</v>
      </c>
      <c r="H2314" s="5" t="s">
        <v>100</v>
      </c>
      <c r="I2314" s="15">
        <v>45113</v>
      </c>
      <c r="J2314" s="15" t="s">
        <v>234</v>
      </c>
      <c r="K2314" s="6">
        <v>0.48680555555555555</v>
      </c>
      <c r="L2314" t="s">
        <v>142</v>
      </c>
      <c r="M2314">
        <v>1000000</v>
      </c>
      <c r="N2314" t="s">
        <v>209</v>
      </c>
      <c r="O2314" t="s">
        <v>152</v>
      </c>
      <c r="P2314">
        <v>33</v>
      </c>
      <c r="Q2314" t="s">
        <v>155</v>
      </c>
    </row>
    <row r="2315" spans="1:17" x14ac:dyDescent="0.2">
      <c r="A2315">
        <v>1562703</v>
      </c>
      <c r="B2315">
        <v>347</v>
      </c>
      <c r="C2315" s="1" t="s">
        <v>108</v>
      </c>
      <c r="D2315" s="11">
        <v>45183.017361111109</v>
      </c>
      <c r="E2315" t="s">
        <v>191</v>
      </c>
      <c r="F2315" t="s">
        <v>18</v>
      </c>
      <c r="G2315">
        <v>1845</v>
      </c>
      <c r="H2315" s="5" t="s">
        <v>108</v>
      </c>
      <c r="I2315" s="15">
        <v>45183</v>
      </c>
      <c r="J2315" s="15" t="s">
        <v>234</v>
      </c>
      <c r="K2315" s="6">
        <v>0.51736111111111116</v>
      </c>
      <c r="L2315" t="s">
        <v>145</v>
      </c>
      <c r="M2315">
        <v>200000</v>
      </c>
      <c r="N2315" t="s">
        <v>210</v>
      </c>
      <c r="O2315" t="s">
        <v>152</v>
      </c>
      <c r="P2315">
        <v>59</v>
      </c>
      <c r="Q2315" t="s">
        <v>154</v>
      </c>
    </row>
    <row r="2316" spans="1:17" x14ac:dyDescent="0.2">
      <c r="A2316">
        <v>1562821</v>
      </c>
      <c r="B2316">
        <v>917</v>
      </c>
      <c r="C2316" s="1" t="s">
        <v>103</v>
      </c>
      <c r="D2316" s="11">
        <v>45090.007638888892</v>
      </c>
      <c r="E2316" t="s">
        <v>191</v>
      </c>
      <c r="F2316" t="s">
        <v>89</v>
      </c>
      <c r="G2316">
        <v>5545</v>
      </c>
      <c r="H2316" s="5" t="s">
        <v>103</v>
      </c>
      <c r="I2316" s="15">
        <v>45090</v>
      </c>
      <c r="J2316" s="15" t="s">
        <v>233</v>
      </c>
      <c r="K2316" s="6">
        <v>0.50763888888888886</v>
      </c>
      <c r="L2316" t="s">
        <v>144</v>
      </c>
      <c r="M2316">
        <v>150000</v>
      </c>
      <c r="N2316" t="s">
        <v>218</v>
      </c>
      <c r="O2316" t="s">
        <v>152</v>
      </c>
      <c r="P2316">
        <v>41</v>
      </c>
      <c r="Q2316" t="s">
        <v>155</v>
      </c>
    </row>
    <row r="2317" spans="1:17" x14ac:dyDescent="0.2">
      <c r="A2317">
        <v>1563544</v>
      </c>
      <c r="B2317">
        <v>1905</v>
      </c>
      <c r="C2317" s="1" t="s">
        <v>105</v>
      </c>
      <c r="D2317" s="11">
        <v>45242.051388888889</v>
      </c>
      <c r="E2317" t="s">
        <v>98</v>
      </c>
      <c r="F2317" t="s">
        <v>79</v>
      </c>
      <c r="G2317">
        <v>4596</v>
      </c>
      <c r="H2317" s="5" t="s">
        <v>105</v>
      </c>
      <c r="I2317" s="15">
        <v>45242</v>
      </c>
      <c r="J2317" s="15" t="s">
        <v>295</v>
      </c>
      <c r="K2317" s="6">
        <v>5.1388888888888887E-2</v>
      </c>
      <c r="L2317" t="s">
        <v>143</v>
      </c>
      <c r="M2317">
        <v>50000</v>
      </c>
      <c r="N2317" t="s">
        <v>204</v>
      </c>
      <c r="O2317" t="s">
        <v>151</v>
      </c>
      <c r="P2317">
        <v>48</v>
      </c>
      <c r="Q2317" t="s">
        <v>157</v>
      </c>
    </row>
    <row r="2318" spans="1:17" x14ac:dyDescent="0.2">
      <c r="A2318">
        <v>1563696</v>
      </c>
      <c r="B2318">
        <v>1079</v>
      </c>
      <c r="C2318" s="1" t="s">
        <v>113</v>
      </c>
      <c r="D2318" s="11">
        <v>45033.98541666667</v>
      </c>
      <c r="E2318" t="s">
        <v>98</v>
      </c>
      <c r="F2318" t="s">
        <v>51</v>
      </c>
      <c r="G2318">
        <v>2297</v>
      </c>
      <c r="H2318" s="5" t="s">
        <v>113</v>
      </c>
      <c r="I2318" s="15">
        <v>45033</v>
      </c>
      <c r="J2318" s="15" t="s">
        <v>233</v>
      </c>
      <c r="K2318" s="6">
        <v>0.48541666666666666</v>
      </c>
      <c r="L2318" t="s">
        <v>145</v>
      </c>
      <c r="M2318">
        <v>100000</v>
      </c>
      <c r="N2318" t="s">
        <v>217</v>
      </c>
      <c r="O2318" t="s">
        <v>152</v>
      </c>
      <c r="P2318">
        <v>29</v>
      </c>
      <c r="Q2318" t="s">
        <v>156</v>
      </c>
    </row>
    <row r="2319" spans="1:17" x14ac:dyDescent="0.2">
      <c r="A2319">
        <v>1564030</v>
      </c>
      <c r="B2319">
        <v>1844</v>
      </c>
      <c r="C2319" s="1" t="s">
        <v>106</v>
      </c>
      <c r="D2319" s="11">
        <v>45290</v>
      </c>
      <c r="E2319" t="s">
        <v>96</v>
      </c>
      <c r="F2319" t="s">
        <v>63</v>
      </c>
      <c r="G2319">
        <v>9452</v>
      </c>
      <c r="H2319" s="5" t="s">
        <v>106</v>
      </c>
      <c r="I2319" s="15">
        <v>45290</v>
      </c>
      <c r="J2319" s="15" t="s">
        <v>295</v>
      </c>
      <c r="K2319" s="6">
        <v>0.5</v>
      </c>
      <c r="L2319" t="s">
        <v>143</v>
      </c>
      <c r="M2319">
        <v>100000</v>
      </c>
      <c r="N2319" t="s">
        <v>198</v>
      </c>
      <c r="O2319" t="s">
        <v>152</v>
      </c>
      <c r="P2319">
        <v>88</v>
      </c>
      <c r="Q2319" t="s">
        <v>157</v>
      </c>
    </row>
    <row r="2320" spans="1:17" x14ac:dyDescent="0.2">
      <c r="A2320">
        <v>1564843</v>
      </c>
      <c r="B2320">
        <v>1271</v>
      </c>
      <c r="C2320" s="1" t="s">
        <v>100</v>
      </c>
      <c r="D2320" s="11">
        <v>44973.078472222223</v>
      </c>
      <c r="E2320" t="s">
        <v>96</v>
      </c>
      <c r="F2320" t="s">
        <v>90</v>
      </c>
      <c r="G2320">
        <v>2114</v>
      </c>
      <c r="H2320" s="5" t="s">
        <v>100</v>
      </c>
      <c r="I2320" s="15">
        <v>44973</v>
      </c>
      <c r="J2320" s="15" t="s">
        <v>232</v>
      </c>
      <c r="K2320" s="6">
        <v>7.8472222222222221E-2</v>
      </c>
      <c r="L2320" t="s">
        <v>142</v>
      </c>
      <c r="M2320">
        <v>150000</v>
      </c>
      <c r="N2320" t="s">
        <v>208</v>
      </c>
      <c r="O2320" t="s">
        <v>152</v>
      </c>
      <c r="P2320">
        <v>43</v>
      </c>
      <c r="Q2320" t="s">
        <v>156</v>
      </c>
    </row>
    <row r="2321" spans="1:17" x14ac:dyDescent="0.2">
      <c r="A2321">
        <v>1564926</v>
      </c>
      <c r="B2321">
        <v>1519</v>
      </c>
      <c r="C2321" s="1" t="s">
        <v>105</v>
      </c>
      <c r="D2321" s="11">
        <v>45039.951388888891</v>
      </c>
      <c r="E2321" t="s">
        <v>97</v>
      </c>
      <c r="F2321" t="s">
        <v>57</v>
      </c>
      <c r="G2321">
        <v>6988</v>
      </c>
      <c r="H2321" s="5" t="s">
        <v>105</v>
      </c>
      <c r="I2321" s="15">
        <v>45039</v>
      </c>
      <c r="J2321" s="15" t="s">
        <v>233</v>
      </c>
      <c r="K2321" s="6">
        <v>0.4513888888888889</v>
      </c>
      <c r="L2321" t="s">
        <v>142</v>
      </c>
      <c r="M2321">
        <v>50000</v>
      </c>
      <c r="N2321" t="s">
        <v>208</v>
      </c>
      <c r="O2321" t="s">
        <v>151</v>
      </c>
      <c r="P2321">
        <v>20</v>
      </c>
      <c r="Q2321" t="s">
        <v>157</v>
      </c>
    </row>
    <row r="2322" spans="1:17" x14ac:dyDescent="0.2">
      <c r="A2322">
        <v>1565544</v>
      </c>
      <c r="B2322">
        <v>1432</v>
      </c>
      <c r="C2322" s="1" t="s">
        <v>99</v>
      </c>
      <c r="D2322" s="11">
        <v>44936.036805555559</v>
      </c>
      <c r="E2322" t="s">
        <v>191</v>
      </c>
      <c r="F2322" t="s">
        <v>92</v>
      </c>
      <c r="G2322">
        <v>1232</v>
      </c>
      <c r="H2322" s="5" t="s">
        <v>99</v>
      </c>
      <c r="I2322" s="15">
        <v>44936</v>
      </c>
      <c r="J2322" s="15" t="s">
        <v>232</v>
      </c>
      <c r="K2322" s="6">
        <v>0.53680555555555554</v>
      </c>
      <c r="L2322" t="s">
        <v>145</v>
      </c>
      <c r="M2322">
        <v>30000</v>
      </c>
      <c r="N2322" t="s">
        <v>226</v>
      </c>
      <c r="O2322" t="s">
        <v>152</v>
      </c>
      <c r="P2322">
        <v>30</v>
      </c>
      <c r="Q2322" t="s">
        <v>156</v>
      </c>
    </row>
    <row r="2323" spans="1:17" x14ac:dyDescent="0.2">
      <c r="A2323">
        <v>1566865</v>
      </c>
      <c r="B2323">
        <v>1937</v>
      </c>
      <c r="C2323" s="1" t="s">
        <v>104</v>
      </c>
      <c r="D2323" s="11">
        <v>45257.061111111114</v>
      </c>
      <c r="E2323" t="s">
        <v>96</v>
      </c>
      <c r="F2323" t="s">
        <v>24</v>
      </c>
      <c r="G2323">
        <v>1543</v>
      </c>
      <c r="H2323" s="5" t="s">
        <v>104</v>
      </c>
      <c r="I2323" s="15">
        <v>45257</v>
      </c>
      <c r="J2323" s="15" t="s">
        <v>295</v>
      </c>
      <c r="K2323" s="6">
        <v>6.1111111111111109E-2</v>
      </c>
      <c r="L2323" t="s">
        <v>143</v>
      </c>
      <c r="M2323">
        <v>200000</v>
      </c>
      <c r="N2323" t="s">
        <v>214</v>
      </c>
      <c r="O2323" t="s">
        <v>152</v>
      </c>
      <c r="P2323">
        <v>27</v>
      </c>
      <c r="Q2323" t="s">
        <v>157</v>
      </c>
    </row>
    <row r="2324" spans="1:17" x14ac:dyDescent="0.2">
      <c r="A2324">
        <v>1567251</v>
      </c>
      <c r="B2324">
        <v>1808</v>
      </c>
      <c r="C2324" s="1" t="s">
        <v>107</v>
      </c>
      <c r="D2324" s="11">
        <v>45135.081944444442</v>
      </c>
      <c r="E2324" t="s">
        <v>191</v>
      </c>
      <c r="F2324" t="s">
        <v>18</v>
      </c>
      <c r="G2324">
        <v>5439</v>
      </c>
      <c r="H2324" s="5" t="s">
        <v>107</v>
      </c>
      <c r="I2324" s="15">
        <v>45135</v>
      </c>
      <c r="J2324" s="15" t="s">
        <v>234</v>
      </c>
      <c r="K2324" s="6">
        <v>8.1944444444444445E-2</v>
      </c>
      <c r="L2324" t="s">
        <v>145</v>
      </c>
      <c r="M2324">
        <v>200000</v>
      </c>
      <c r="N2324" t="s">
        <v>210</v>
      </c>
      <c r="O2324" t="s">
        <v>152</v>
      </c>
      <c r="P2324">
        <v>28</v>
      </c>
      <c r="Q2324" t="s">
        <v>157</v>
      </c>
    </row>
    <row r="2325" spans="1:17" x14ac:dyDescent="0.2">
      <c r="A2325">
        <v>1567280</v>
      </c>
      <c r="B2325">
        <v>634</v>
      </c>
      <c r="C2325" s="1" t="s">
        <v>99</v>
      </c>
      <c r="D2325" s="11">
        <v>45253.956944444442</v>
      </c>
      <c r="E2325" t="s">
        <v>97</v>
      </c>
      <c r="F2325" t="s">
        <v>25</v>
      </c>
      <c r="G2325">
        <v>9698</v>
      </c>
      <c r="H2325" s="5" t="s">
        <v>99</v>
      </c>
      <c r="I2325" s="15">
        <v>45253</v>
      </c>
      <c r="J2325" s="15" t="s">
        <v>295</v>
      </c>
      <c r="K2325" s="6">
        <v>0.45694444444444443</v>
      </c>
      <c r="L2325" t="s">
        <v>142</v>
      </c>
      <c r="M2325">
        <v>100000</v>
      </c>
      <c r="N2325" t="s">
        <v>201</v>
      </c>
      <c r="O2325" t="s">
        <v>151</v>
      </c>
      <c r="P2325">
        <v>62</v>
      </c>
      <c r="Q2325" t="s">
        <v>155</v>
      </c>
    </row>
    <row r="2326" spans="1:17" x14ac:dyDescent="0.2">
      <c r="A2326">
        <v>1568848</v>
      </c>
      <c r="B2326">
        <v>1783</v>
      </c>
      <c r="C2326" s="1" t="s">
        <v>99</v>
      </c>
      <c r="D2326" s="11">
        <v>45123.035416666666</v>
      </c>
      <c r="E2326" t="s">
        <v>97</v>
      </c>
      <c r="F2326" t="s">
        <v>5</v>
      </c>
      <c r="G2326">
        <v>8771</v>
      </c>
      <c r="H2326" s="5" t="s">
        <v>99</v>
      </c>
      <c r="I2326" s="15">
        <v>45123</v>
      </c>
      <c r="J2326" s="15" t="s">
        <v>234</v>
      </c>
      <c r="K2326" s="6">
        <v>0.53541666666666665</v>
      </c>
      <c r="L2326" t="s">
        <v>143</v>
      </c>
      <c r="M2326">
        <v>200000</v>
      </c>
      <c r="N2326" t="s">
        <v>198</v>
      </c>
      <c r="O2326" t="s">
        <v>151</v>
      </c>
      <c r="P2326">
        <v>27</v>
      </c>
      <c r="Q2326" t="s">
        <v>157</v>
      </c>
    </row>
    <row r="2327" spans="1:17" x14ac:dyDescent="0.2">
      <c r="A2327">
        <v>1569922</v>
      </c>
      <c r="B2327">
        <v>1948</v>
      </c>
      <c r="C2327" s="1" t="s">
        <v>99</v>
      </c>
      <c r="D2327" s="11">
        <v>44992.986111111109</v>
      </c>
      <c r="E2327" t="s">
        <v>98</v>
      </c>
      <c r="F2327" t="s">
        <v>16</v>
      </c>
      <c r="G2327">
        <v>3425</v>
      </c>
      <c r="H2327" s="5" t="s">
        <v>99</v>
      </c>
      <c r="I2327" s="15">
        <v>44992</v>
      </c>
      <c r="J2327" s="15" t="s">
        <v>232</v>
      </c>
      <c r="K2327" s="6">
        <v>0.4861111111111111</v>
      </c>
      <c r="L2327" t="s">
        <v>142</v>
      </c>
      <c r="M2327">
        <v>80000</v>
      </c>
      <c r="N2327" t="s">
        <v>208</v>
      </c>
      <c r="O2327" t="s">
        <v>152</v>
      </c>
      <c r="P2327">
        <v>79</v>
      </c>
      <c r="Q2327" t="s">
        <v>157</v>
      </c>
    </row>
    <row r="2328" spans="1:17" x14ac:dyDescent="0.2">
      <c r="A2328">
        <v>1570720</v>
      </c>
      <c r="B2328">
        <v>1593</v>
      </c>
      <c r="C2328" s="1" t="s">
        <v>100</v>
      </c>
      <c r="D2328" s="11">
        <v>45220.940972222219</v>
      </c>
      <c r="E2328" t="s">
        <v>98</v>
      </c>
      <c r="F2328" t="s">
        <v>74</v>
      </c>
      <c r="G2328">
        <v>414</v>
      </c>
      <c r="H2328" s="5" t="s">
        <v>100</v>
      </c>
      <c r="I2328" s="15">
        <v>45220</v>
      </c>
      <c r="J2328" s="15" t="s">
        <v>295</v>
      </c>
      <c r="K2328" s="6">
        <v>0.44097222222222221</v>
      </c>
      <c r="L2328" t="s">
        <v>145</v>
      </c>
      <c r="M2328">
        <v>150000</v>
      </c>
      <c r="N2328" t="s">
        <v>226</v>
      </c>
      <c r="O2328" t="s">
        <v>152</v>
      </c>
      <c r="P2328">
        <v>34</v>
      </c>
      <c r="Q2328" t="s">
        <v>157</v>
      </c>
    </row>
    <row r="2329" spans="1:17" x14ac:dyDescent="0.2">
      <c r="A2329">
        <v>1571075</v>
      </c>
      <c r="B2329">
        <v>660</v>
      </c>
      <c r="C2329" s="1" t="s">
        <v>99</v>
      </c>
      <c r="D2329" s="11">
        <v>45071.058333333334</v>
      </c>
      <c r="E2329" t="s">
        <v>96</v>
      </c>
      <c r="F2329" t="s">
        <v>70</v>
      </c>
      <c r="G2329">
        <v>4346</v>
      </c>
      <c r="H2329" s="5" t="s">
        <v>99</v>
      </c>
      <c r="I2329" s="15">
        <v>45071</v>
      </c>
      <c r="J2329" s="15" t="s">
        <v>233</v>
      </c>
      <c r="K2329" s="6">
        <v>5.8333333333333334E-2</v>
      </c>
      <c r="L2329" t="s">
        <v>143</v>
      </c>
      <c r="M2329">
        <v>100000</v>
      </c>
      <c r="N2329" t="s">
        <v>205</v>
      </c>
      <c r="O2329" t="s">
        <v>151</v>
      </c>
      <c r="P2329">
        <v>23</v>
      </c>
      <c r="Q2329" t="s">
        <v>155</v>
      </c>
    </row>
    <row r="2330" spans="1:17" x14ac:dyDescent="0.2">
      <c r="A2330">
        <v>1576077</v>
      </c>
      <c r="B2330">
        <v>1385</v>
      </c>
      <c r="C2330" s="1" t="s">
        <v>99</v>
      </c>
      <c r="D2330" s="11">
        <v>45240.961805555555</v>
      </c>
      <c r="E2330" t="s">
        <v>98</v>
      </c>
      <c r="F2330" t="s">
        <v>5</v>
      </c>
      <c r="G2330">
        <v>9058</v>
      </c>
      <c r="H2330" s="5" t="s">
        <v>99</v>
      </c>
      <c r="I2330" s="15">
        <v>45240</v>
      </c>
      <c r="J2330" s="15" t="s">
        <v>295</v>
      </c>
      <c r="K2330" s="6">
        <v>0.46180555555555558</v>
      </c>
      <c r="L2330" t="s">
        <v>143</v>
      </c>
      <c r="M2330">
        <v>200000</v>
      </c>
      <c r="N2330" t="s">
        <v>198</v>
      </c>
      <c r="O2330" t="s">
        <v>151</v>
      </c>
      <c r="P2330">
        <v>32</v>
      </c>
      <c r="Q2330" t="s">
        <v>156</v>
      </c>
    </row>
    <row r="2331" spans="1:17" x14ac:dyDescent="0.2">
      <c r="A2331">
        <v>1576972</v>
      </c>
      <c r="B2331">
        <v>1702</v>
      </c>
      <c r="C2331" s="1" t="s">
        <v>107</v>
      </c>
      <c r="D2331" s="11">
        <v>45224.040277777778</v>
      </c>
      <c r="E2331" t="s">
        <v>96</v>
      </c>
      <c r="F2331" t="s">
        <v>43</v>
      </c>
      <c r="G2331">
        <v>8340</v>
      </c>
      <c r="H2331" s="5" t="s">
        <v>107</v>
      </c>
      <c r="I2331" s="15">
        <v>45224</v>
      </c>
      <c r="J2331" s="15" t="s">
        <v>295</v>
      </c>
      <c r="K2331" s="6">
        <v>0.54027777777777775</v>
      </c>
      <c r="L2331" t="s">
        <v>145</v>
      </c>
      <c r="M2331">
        <v>1000000</v>
      </c>
      <c r="N2331" t="s">
        <v>203</v>
      </c>
      <c r="O2331" t="s">
        <v>151</v>
      </c>
      <c r="P2331">
        <v>26</v>
      </c>
      <c r="Q2331" t="s">
        <v>157</v>
      </c>
    </row>
    <row r="2332" spans="1:17" x14ac:dyDescent="0.2">
      <c r="A2332">
        <v>1578400</v>
      </c>
      <c r="B2332">
        <v>1795</v>
      </c>
      <c r="C2332" s="1" t="s">
        <v>100</v>
      </c>
      <c r="D2332" s="11">
        <v>44938.000694444447</v>
      </c>
      <c r="E2332" t="s">
        <v>96</v>
      </c>
      <c r="F2332" t="s">
        <v>7</v>
      </c>
      <c r="G2332">
        <v>5568</v>
      </c>
      <c r="H2332" s="5" t="s">
        <v>100</v>
      </c>
      <c r="I2332" s="15">
        <v>44938</v>
      </c>
      <c r="J2332" s="15" t="s">
        <v>232</v>
      </c>
      <c r="K2332" s="6">
        <v>0.50069444444444444</v>
      </c>
      <c r="L2332" t="s">
        <v>144</v>
      </c>
      <c r="M2332">
        <v>150000</v>
      </c>
      <c r="N2332" t="s">
        <v>200</v>
      </c>
      <c r="O2332" t="s">
        <v>151</v>
      </c>
      <c r="P2332">
        <v>53</v>
      </c>
      <c r="Q2332" t="s">
        <v>157</v>
      </c>
    </row>
    <row r="2333" spans="1:17" x14ac:dyDescent="0.2">
      <c r="A2333">
        <v>1579155</v>
      </c>
      <c r="B2333">
        <v>796</v>
      </c>
      <c r="C2333" s="1" t="s">
        <v>102</v>
      </c>
      <c r="D2333" s="11">
        <v>44973.037499999999</v>
      </c>
      <c r="E2333" t="s">
        <v>97</v>
      </c>
      <c r="F2333" t="s">
        <v>8</v>
      </c>
      <c r="G2333">
        <v>799</v>
      </c>
      <c r="H2333" s="5" t="s">
        <v>102</v>
      </c>
      <c r="I2333" s="15">
        <v>44973</v>
      </c>
      <c r="J2333" s="15" t="s">
        <v>232</v>
      </c>
      <c r="K2333" s="6">
        <v>0.53749999999999998</v>
      </c>
      <c r="L2333" t="s">
        <v>142</v>
      </c>
      <c r="M2333">
        <v>200000</v>
      </c>
      <c r="N2333" t="s">
        <v>201</v>
      </c>
      <c r="O2333" t="s">
        <v>152</v>
      </c>
      <c r="P2333">
        <v>27</v>
      </c>
      <c r="Q2333" t="s">
        <v>155</v>
      </c>
    </row>
    <row r="2334" spans="1:17" x14ac:dyDescent="0.2">
      <c r="A2334">
        <v>1580103</v>
      </c>
      <c r="B2334">
        <v>689</v>
      </c>
      <c r="C2334" s="1" t="s">
        <v>100</v>
      </c>
      <c r="D2334" s="11">
        <v>44992.039583333331</v>
      </c>
      <c r="E2334" t="s">
        <v>96</v>
      </c>
      <c r="F2334" t="s">
        <v>46</v>
      </c>
      <c r="G2334">
        <v>5667</v>
      </c>
      <c r="H2334" s="5" t="s">
        <v>100</v>
      </c>
      <c r="I2334" s="15">
        <v>44992</v>
      </c>
      <c r="J2334" s="15" t="s">
        <v>232</v>
      </c>
      <c r="K2334" s="6">
        <v>0.5395833333333333</v>
      </c>
      <c r="L2334" t="s">
        <v>142</v>
      </c>
      <c r="M2334">
        <v>200000</v>
      </c>
      <c r="N2334" t="s">
        <v>211</v>
      </c>
      <c r="O2334" t="s">
        <v>152</v>
      </c>
      <c r="P2334">
        <v>41</v>
      </c>
      <c r="Q2334" t="s">
        <v>155</v>
      </c>
    </row>
    <row r="2335" spans="1:17" x14ac:dyDescent="0.2">
      <c r="A2335">
        <v>1580615</v>
      </c>
      <c r="B2335">
        <v>932</v>
      </c>
      <c r="C2335" s="1" t="s">
        <v>110</v>
      </c>
      <c r="D2335" s="11">
        <v>45245.015972222223</v>
      </c>
      <c r="E2335" t="s">
        <v>98</v>
      </c>
      <c r="F2335" t="s">
        <v>10</v>
      </c>
      <c r="G2335">
        <v>1629</v>
      </c>
      <c r="H2335" s="5" t="s">
        <v>110</v>
      </c>
      <c r="I2335" s="15">
        <v>45245</v>
      </c>
      <c r="J2335" s="15" t="s">
        <v>295</v>
      </c>
      <c r="K2335" s="6">
        <v>0.51597222222222228</v>
      </c>
      <c r="L2335" t="s">
        <v>145</v>
      </c>
      <c r="M2335">
        <v>150000</v>
      </c>
      <c r="N2335" t="s">
        <v>203</v>
      </c>
      <c r="O2335" t="s">
        <v>152</v>
      </c>
      <c r="P2335">
        <v>61</v>
      </c>
      <c r="Q2335" t="s">
        <v>155</v>
      </c>
    </row>
    <row r="2336" spans="1:17" x14ac:dyDescent="0.2">
      <c r="A2336">
        <v>1580632</v>
      </c>
      <c r="B2336">
        <v>1084</v>
      </c>
      <c r="C2336" s="1" t="s">
        <v>113</v>
      </c>
      <c r="D2336" s="11">
        <v>45216.05</v>
      </c>
      <c r="E2336" t="s">
        <v>96</v>
      </c>
      <c r="F2336" t="s">
        <v>27</v>
      </c>
      <c r="G2336">
        <v>9219</v>
      </c>
      <c r="H2336" s="5" t="s">
        <v>113</v>
      </c>
      <c r="I2336" s="15">
        <v>45216</v>
      </c>
      <c r="J2336" s="15" t="s">
        <v>295</v>
      </c>
      <c r="K2336" s="6">
        <v>0.05</v>
      </c>
      <c r="L2336" t="s">
        <v>142</v>
      </c>
      <c r="M2336">
        <v>1000000</v>
      </c>
      <c r="N2336" t="s">
        <v>209</v>
      </c>
      <c r="O2336" t="s">
        <v>151</v>
      </c>
      <c r="P2336">
        <v>75</v>
      </c>
      <c r="Q2336" t="s">
        <v>156</v>
      </c>
    </row>
    <row r="2337" spans="1:17" x14ac:dyDescent="0.2">
      <c r="A2337">
        <v>1580986</v>
      </c>
      <c r="B2337">
        <v>523</v>
      </c>
      <c r="C2337" s="1" t="s">
        <v>99</v>
      </c>
      <c r="D2337" s="11">
        <v>45175.086805555555</v>
      </c>
      <c r="E2337" t="s">
        <v>98</v>
      </c>
      <c r="F2337" t="s">
        <v>13</v>
      </c>
      <c r="G2337">
        <v>438</v>
      </c>
      <c r="H2337" s="5" t="s">
        <v>99</v>
      </c>
      <c r="I2337" s="15">
        <v>45175</v>
      </c>
      <c r="J2337" s="15" t="s">
        <v>234</v>
      </c>
      <c r="K2337" s="6">
        <v>8.6805555555555552E-2</v>
      </c>
      <c r="L2337" t="s">
        <v>143</v>
      </c>
      <c r="M2337">
        <v>150000</v>
      </c>
      <c r="N2337" t="s">
        <v>206</v>
      </c>
      <c r="O2337" t="s">
        <v>151</v>
      </c>
      <c r="P2337">
        <v>26</v>
      </c>
      <c r="Q2337" t="s">
        <v>155</v>
      </c>
    </row>
    <row r="2338" spans="1:17" x14ac:dyDescent="0.2">
      <c r="A2338">
        <v>1582168</v>
      </c>
      <c r="B2338">
        <v>1048</v>
      </c>
      <c r="C2338" s="1" t="s">
        <v>113</v>
      </c>
      <c r="D2338" s="11">
        <v>45254.036111111112</v>
      </c>
      <c r="E2338" t="s">
        <v>98</v>
      </c>
      <c r="F2338" t="s">
        <v>10</v>
      </c>
      <c r="G2338">
        <v>9234</v>
      </c>
      <c r="H2338" s="5" t="s">
        <v>113</v>
      </c>
      <c r="I2338" s="15">
        <v>45254</v>
      </c>
      <c r="J2338" s="15" t="s">
        <v>295</v>
      </c>
      <c r="K2338" s="6">
        <v>0.53611111111111109</v>
      </c>
      <c r="L2338" t="s">
        <v>145</v>
      </c>
      <c r="M2338">
        <v>150000</v>
      </c>
      <c r="N2338" t="s">
        <v>203</v>
      </c>
      <c r="O2338" t="s">
        <v>152</v>
      </c>
      <c r="P2338">
        <v>26</v>
      </c>
      <c r="Q2338" t="s">
        <v>156</v>
      </c>
    </row>
    <row r="2339" spans="1:17" x14ac:dyDescent="0.2">
      <c r="A2339">
        <v>1582591</v>
      </c>
      <c r="B2339">
        <v>618</v>
      </c>
      <c r="C2339" s="1" t="s">
        <v>102</v>
      </c>
      <c r="D2339" s="11">
        <v>45204.06527777778</v>
      </c>
      <c r="E2339" t="s">
        <v>97</v>
      </c>
      <c r="F2339" t="s">
        <v>15</v>
      </c>
      <c r="G2339">
        <v>6609</v>
      </c>
      <c r="H2339" s="5" t="s">
        <v>102</v>
      </c>
      <c r="I2339" s="15">
        <v>45204</v>
      </c>
      <c r="J2339" s="15" t="s">
        <v>295</v>
      </c>
      <c r="K2339" s="6">
        <v>6.5277777777777782E-2</v>
      </c>
      <c r="L2339" t="s">
        <v>143</v>
      </c>
      <c r="M2339">
        <v>150000</v>
      </c>
      <c r="N2339" t="s">
        <v>198</v>
      </c>
      <c r="O2339" t="s">
        <v>152</v>
      </c>
      <c r="P2339">
        <v>58</v>
      </c>
      <c r="Q2339" t="s">
        <v>155</v>
      </c>
    </row>
    <row r="2340" spans="1:17" x14ac:dyDescent="0.2">
      <c r="A2340">
        <v>1583961</v>
      </c>
      <c r="B2340">
        <v>729</v>
      </c>
      <c r="C2340" s="1" t="s">
        <v>107</v>
      </c>
      <c r="D2340" s="11">
        <v>45052.027083333334</v>
      </c>
      <c r="E2340" t="s">
        <v>191</v>
      </c>
      <c r="F2340" t="s">
        <v>13</v>
      </c>
      <c r="G2340">
        <v>6820</v>
      </c>
      <c r="H2340" s="5" t="s">
        <v>107</v>
      </c>
      <c r="I2340" s="15">
        <v>45052</v>
      </c>
      <c r="J2340" s="15" t="s">
        <v>233</v>
      </c>
      <c r="K2340" s="6">
        <v>0.52708333333333335</v>
      </c>
      <c r="L2340" t="s">
        <v>143</v>
      </c>
      <c r="M2340">
        <v>150000</v>
      </c>
      <c r="N2340" t="s">
        <v>206</v>
      </c>
      <c r="O2340" t="s">
        <v>151</v>
      </c>
      <c r="P2340">
        <v>66</v>
      </c>
      <c r="Q2340" t="s">
        <v>155</v>
      </c>
    </row>
    <row r="2341" spans="1:17" x14ac:dyDescent="0.2">
      <c r="A2341">
        <v>1584433</v>
      </c>
      <c r="B2341">
        <v>1648</v>
      </c>
      <c r="C2341" s="1" t="s">
        <v>109</v>
      </c>
      <c r="D2341" s="11">
        <v>44930.07708333333</v>
      </c>
      <c r="E2341" t="s">
        <v>98</v>
      </c>
      <c r="F2341" t="s">
        <v>62</v>
      </c>
      <c r="G2341">
        <v>1991</v>
      </c>
      <c r="H2341" s="5" t="s">
        <v>109</v>
      </c>
      <c r="I2341" s="15">
        <v>44930</v>
      </c>
      <c r="J2341" s="15" t="s">
        <v>232</v>
      </c>
      <c r="K2341" s="6">
        <v>7.7083333333333337E-2</v>
      </c>
      <c r="L2341" t="s">
        <v>145</v>
      </c>
      <c r="M2341">
        <v>100000</v>
      </c>
      <c r="N2341" t="s">
        <v>217</v>
      </c>
      <c r="O2341" t="s">
        <v>151</v>
      </c>
      <c r="P2341">
        <v>78</v>
      </c>
      <c r="Q2341" t="s">
        <v>157</v>
      </c>
    </row>
    <row r="2342" spans="1:17" x14ac:dyDescent="0.2">
      <c r="A2342">
        <v>1584769</v>
      </c>
      <c r="B2342">
        <v>1176</v>
      </c>
      <c r="C2342" s="1" t="s">
        <v>99</v>
      </c>
      <c r="D2342" s="11">
        <v>45207.973611111112</v>
      </c>
      <c r="E2342" t="s">
        <v>191</v>
      </c>
      <c r="F2342" t="s">
        <v>75</v>
      </c>
      <c r="G2342">
        <v>1945</v>
      </c>
      <c r="H2342" s="5" t="s">
        <v>99</v>
      </c>
      <c r="I2342" s="15">
        <v>45207</v>
      </c>
      <c r="J2342" s="15" t="s">
        <v>295</v>
      </c>
      <c r="K2342" s="6">
        <v>0.47361111111111109</v>
      </c>
      <c r="L2342" t="s">
        <v>143</v>
      </c>
      <c r="M2342">
        <v>50000</v>
      </c>
      <c r="N2342" t="s">
        <v>205</v>
      </c>
      <c r="O2342" t="s">
        <v>152</v>
      </c>
      <c r="P2342">
        <v>89</v>
      </c>
      <c r="Q2342" t="s">
        <v>156</v>
      </c>
    </row>
    <row r="2343" spans="1:17" x14ac:dyDescent="0.2">
      <c r="A2343">
        <v>1585229</v>
      </c>
      <c r="B2343">
        <v>187</v>
      </c>
      <c r="C2343" s="1" t="s">
        <v>100</v>
      </c>
      <c r="D2343" s="11">
        <v>44963.011111111111</v>
      </c>
      <c r="E2343" t="s">
        <v>97</v>
      </c>
      <c r="F2343" t="s">
        <v>19</v>
      </c>
      <c r="G2343">
        <v>7994</v>
      </c>
      <c r="H2343" s="5" t="s">
        <v>100</v>
      </c>
      <c r="I2343" s="15">
        <v>44963</v>
      </c>
      <c r="J2343" s="15" t="s">
        <v>232</v>
      </c>
      <c r="K2343" s="6">
        <v>0.51111111111111107</v>
      </c>
      <c r="L2343" t="s">
        <v>142</v>
      </c>
      <c r="M2343">
        <v>150000</v>
      </c>
      <c r="N2343" t="s">
        <v>211</v>
      </c>
      <c r="O2343" t="s">
        <v>152</v>
      </c>
      <c r="P2343">
        <v>68</v>
      </c>
      <c r="Q2343" t="s">
        <v>154</v>
      </c>
    </row>
    <row r="2344" spans="1:17" x14ac:dyDescent="0.2">
      <c r="A2344">
        <v>1585349</v>
      </c>
      <c r="B2344">
        <v>716</v>
      </c>
      <c r="C2344" s="1" t="s">
        <v>113</v>
      </c>
      <c r="D2344" s="11">
        <v>44982.967361111114</v>
      </c>
      <c r="E2344" t="s">
        <v>97</v>
      </c>
      <c r="F2344" t="s">
        <v>20</v>
      </c>
      <c r="G2344">
        <v>9212</v>
      </c>
      <c r="H2344" s="5" t="s">
        <v>113</v>
      </c>
      <c r="I2344" s="15">
        <v>44982</v>
      </c>
      <c r="J2344" s="15" t="s">
        <v>232</v>
      </c>
      <c r="K2344" s="6">
        <v>0.46736111111111112</v>
      </c>
      <c r="L2344" t="s">
        <v>146</v>
      </c>
      <c r="M2344">
        <v>150000</v>
      </c>
      <c r="N2344" t="s">
        <v>212</v>
      </c>
      <c r="O2344" t="s">
        <v>151</v>
      </c>
      <c r="P2344">
        <v>86</v>
      </c>
      <c r="Q2344" t="s">
        <v>155</v>
      </c>
    </row>
    <row r="2345" spans="1:17" x14ac:dyDescent="0.2">
      <c r="A2345">
        <v>1585425</v>
      </c>
      <c r="B2345">
        <v>1009</v>
      </c>
      <c r="C2345" s="1" t="s">
        <v>99</v>
      </c>
      <c r="D2345" s="11">
        <v>45007.981249999997</v>
      </c>
      <c r="E2345" t="s">
        <v>96</v>
      </c>
      <c r="F2345" t="s">
        <v>21</v>
      </c>
      <c r="G2345">
        <v>3322</v>
      </c>
      <c r="H2345" s="5" t="s">
        <v>99</v>
      </c>
      <c r="I2345" s="15">
        <v>45007</v>
      </c>
      <c r="J2345" s="15" t="s">
        <v>232</v>
      </c>
      <c r="K2345" s="6">
        <v>0.48125000000000001</v>
      </c>
      <c r="L2345" t="s">
        <v>142</v>
      </c>
      <c r="M2345">
        <v>150000</v>
      </c>
      <c r="N2345" t="s">
        <v>211</v>
      </c>
      <c r="O2345" t="s">
        <v>152</v>
      </c>
      <c r="P2345">
        <v>44</v>
      </c>
      <c r="Q2345" t="s">
        <v>156</v>
      </c>
    </row>
    <row r="2346" spans="1:17" x14ac:dyDescent="0.2">
      <c r="A2346">
        <v>1585483</v>
      </c>
      <c r="B2346">
        <v>1389</v>
      </c>
      <c r="C2346" s="1" t="s">
        <v>99</v>
      </c>
      <c r="D2346" s="11">
        <v>45242.023611111108</v>
      </c>
      <c r="E2346" t="s">
        <v>97</v>
      </c>
      <c r="F2346" t="s">
        <v>83</v>
      </c>
      <c r="G2346">
        <v>521</v>
      </c>
      <c r="H2346" s="5" t="s">
        <v>99</v>
      </c>
      <c r="I2346" s="15">
        <v>45242</v>
      </c>
      <c r="J2346" s="15" t="s">
        <v>295</v>
      </c>
      <c r="K2346" s="6">
        <v>0.52361111111111114</v>
      </c>
      <c r="L2346" t="s">
        <v>143</v>
      </c>
      <c r="M2346">
        <v>200000</v>
      </c>
      <c r="N2346" t="s">
        <v>206</v>
      </c>
      <c r="O2346" t="s">
        <v>152</v>
      </c>
      <c r="P2346">
        <v>29</v>
      </c>
      <c r="Q2346" t="s">
        <v>156</v>
      </c>
    </row>
    <row r="2347" spans="1:17" x14ac:dyDescent="0.2">
      <c r="A2347">
        <v>1586073</v>
      </c>
      <c r="B2347">
        <v>1330</v>
      </c>
      <c r="C2347" s="1" t="s">
        <v>101</v>
      </c>
      <c r="D2347" s="11">
        <v>45179.027777777781</v>
      </c>
      <c r="E2347" t="s">
        <v>97</v>
      </c>
      <c r="F2347" t="s">
        <v>49</v>
      </c>
      <c r="G2347">
        <v>9985</v>
      </c>
      <c r="H2347" s="5" t="s">
        <v>101</v>
      </c>
      <c r="I2347" s="15">
        <v>45179</v>
      </c>
      <c r="J2347" s="15" t="s">
        <v>234</v>
      </c>
      <c r="K2347" s="6">
        <v>0.52777777777777779</v>
      </c>
      <c r="L2347" t="s">
        <v>146</v>
      </c>
      <c r="M2347">
        <v>100000</v>
      </c>
      <c r="N2347" t="s">
        <v>222</v>
      </c>
      <c r="O2347" t="s">
        <v>151</v>
      </c>
      <c r="P2347">
        <v>59</v>
      </c>
      <c r="Q2347" t="s">
        <v>156</v>
      </c>
    </row>
    <row r="2348" spans="1:17" x14ac:dyDescent="0.2">
      <c r="A2348">
        <v>1586149</v>
      </c>
      <c r="B2348">
        <v>1596</v>
      </c>
      <c r="C2348" s="1" t="s">
        <v>99</v>
      </c>
      <c r="D2348" s="11">
        <v>45010.978472222225</v>
      </c>
      <c r="E2348" t="s">
        <v>97</v>
      </c>
      <c r="F2348" t="s">
        <v>23</v>
      </c>
      <c r="G2348">
        <v>5945</v>
      </c>
      <c r="H2348" s="5" t="s">
        <v>99</v>
      </c>
      <c r="I2348" s="15">
        <v>45010</v>
      </c>
      <c r="J2348" s="15" t="s">
        <v>232</v>
      </c>
      <c r="K2348" s="6">
        <v>0.47847222222222224</v>
      </c>
      <c r="L2348" t="s">
        <v>142</v>
      </c>
      <c r="M2348">
        <v>150000</v>
      </c>
      <c r="N2348" t="s">
        <v>213</v>
      </c>
      <c r="O2348" t="s">
        <v>152</v>
      </c>
      <c r="P2348">
        <v>44</v>
      </c>
      <c r="Q2348" t="s">
        <v>157</v>
      </c>
    </row>
    <row r="2349" spans="1:17" x14ac:dyDescent="0.2">
      <c r="A2349">
        <v>1586243</v>
      </c>
      <c r="B2349">
        <v>1472</v>
      </c>
      <c r="C2349" s="1" t="s">
        <v>99</v>
      </c>
      <c r="D2349" s="11">
        <v>45115.070833333331</v>
      </c>
      <c r="E2349" t="s">
        <v>98</v>
      </c>
      <c r="F2349" t="s">
        <v>27</v>
      </c>
      <c r="G2349">
        <v>2468</v>
      </c>
      <c r="H2349" s="5" t="s">
        <v>99</v>
      </c>
      <c r="I2349" s="15">
        <v>45115</v>
      </c>
      <c r="J2349" s="15" t="s">
        <v>234</v>
      </c>
      <c r="K2349" s="6">
        <v>7.0833333333333331E-2</v>
      </c>
      <c r="L2349" t="s">
        <v>142</v>
      </c>
      <c r="M2349">
        <v>1000000</v>
      </c>
      <c r="N2349" t="s">
        <v>209</v>
      </c>
      <c r="O2349" t="s">
        <v>152</v>
      </c>
      <c r="P2349">
        <v>83</v>
      </c>
      <c r="Q2349" t="s">
        <v>156</v>
      </c>
    </row>
    <row r="2350" spans="1:17" x14ac:dyDescent="0.2">
      <c r="A2350">
        <v>1587760</v>
      </c>
      <c r="B2350">
        <v>1290</v>
      </c>
      <c r="C2350" s="1" t="s">
        <v>99</v>
      </c>
      <c r="D2350" s="11">
        <v>45262.026388888888</v>
      </c>
      <c r="E2350" t="s">
        <v>97</v>
      </c>
      <c r="F2350" t="s">
        <v>54</v>
      </c>
      <c r="G2350">
        <v>9238</v>
      </c>
      <c r="H2350" s="5" t="s">
        <v>99</v>
      </c>
      <c r="I2350" s="15">
        <v>45262</v>
      </c>
      <c r="J2350" s="15" t="s">
        <v>295</v>
      </c>
      <c r="K2350" s="6">
        <v>0.52638888888888891</v>
      </c>
      <c r="L2350" t="s">
        <v>144</v>
      </c>
      <c r="M2350">
        <v>100000</v>
      </c>
      <c r="N2350" t="s">
        <v>224</v>
      </c>
      <c r="O2350" t="s">
        <v>151</v>
      </c>
      <c r="P2350">
        <v>31</v>
      </c>
      <c r="Q2350" t="s">
        <v>156</v>
      </c>
    </row>
    <row r="2351" spans="1:17" x14ac:dyDescent="0.2">
      <c r="A2351">
        <v>1587777</v>
      </c>
      <c r="B2351">
        <v>1962</v>
      </c>
      <c r="C2351" s="1" t="s">
        <v>99</v>
      </c>
      <c r="D2351" s="11">
        <v>45271.008333333331</v>
      </c>
      <c r="E2351" t="s">
        <v>97</v>
      </c>
      <c r="F2351" t="s">
        <v>18</v>
      </c>
      <c r="G2351">
        <v>9310</v>
      </c>
      <c r="H2351" s="5" t="s">
        <v>99</v>
      </c>
      <c r="I2351" s="15">
        <v>45271</v>
      </c>
      <c r="J2351" s="15" t="s">
        <v>295</v>
      </c>
      <c r="K2351" s="6">
        <v>0.5083333333333333</v>
      </c>
      <c r="L2351" t="s">
        <v>145</v>
      </c>
      <c r="M2351">
        <v>200000</v>
      </c>
      <c r="N2351" t="s">
        <v>210</v>
      </c>
      <c r="O2351" t="s">
        <v>151</v>
      </c>
      <c r="P2351">
        <v>23</v>
      </c>
      <c r="Q2351" t="s">
        <v>157</v>
      </c>
    </row>
    <row r="2352" spans="1:17" x14ac:dyDescent="0.2">
      <c r="A2352">
        <v>1587832</v>
      </c>
      <c r="B2352">
        <v>1483</v>
      </c>
      <c r="C2352" s="1" t="s">
        <v>99</v>
      </c>
      <c r="D2352" s="11">
        <v>45239.961805555555</v>
      </c>
      <c r="E2352" t="s">
        <v>98</v>
      </c>
      <c r="F2352" t="s">
        <v>43</v>
      </c>
      <c r="G2352">
        <v>3831</v>
      </c>
      <c r="H2352" s="5" t="s">
        <v>99</v>
      </c>
      <c r="I2352" s="15">
        <v>45239</v>
      </c>
      <c r="J2352" s="15" t="s">
        <v>295</v>
      </c>
      <c r="K2352" s="6">
        <v>0.46180555555555558</v>
      </c>
      <c r="L2352" t="s">
        <v>145</v>
      </c>
      <c r="M2352">
        <v>1000000</v>
      </c>
      <c r="N2352" t="s">
        <v>203</v>
      </c>
      <c r="O2352" t="s">
        <v>151</v>
      </c>
      <c r="P2352">
        <v>82</v>
      </c>
      <c r="Q2352" t="s">
        <v>156</v>
      </c>
    </row>
    <row r="2353" spans="1:17" x14ac:dyDescent="0.2">
      <c r="A2353">
        <v>1587870</v>
      </c>
      <c r="B2353">
        <v>1515</v>
      </c>
      <c r="C2353" s="1" t="s">
        <v>99</v>
      </c>
      <c r="D2353" s="11">
        <v>45078.962500000001</v>
      </c>
      <c r="E2353" t="s">
        <v>98</v>
      </c>
      <c r="F2353" t="s">
        <v>26</v>
      </c>
      <c r="G2353">
        <v>3277</v>
      </c>
      <c r="H2353" s="5" t="s">
        <v>99</v>
      </c>
      <c r="I2353" s="15">
        <v>45078</v>
      </c>
      <c r="J2353" s="15" t="s">
        <v>233</v>
      </c>
      <c r="K2353" s="6">
        <v>0.46250000000000002</v>
      </c>
      <c r="L2353" t="s">
        <v>145</v>
      </c>
      <c r="M2353">
        <v>100000</v>
      </c>
      <c r="N2353" t="s">
        <v>210</v>
      </c>
      <c r="O2353" t="s">
        <v>151</v>
      </c>
      <c r="P2353">
        <v>54</v>
      </c>
      <c r="Q2353" t="s">
        <v>157</v>
      </c>
    </row>
    <row r="2354" spans="1:17" x14ac:dyDescent="0.2">
      <c r="A2354">
        <v>1587900</v>
      </c>
      <c r="B2354">
        <v>1466</v>
      </c>
      <c r="C2354" s="1" t="s">
        <v>111</v>
      </c>
      <c r="D2354" s="11">
        <v>45072.012499999997</v>
      </c>
      <c r="E2354" t="s">
        <v>191</v>
      </c>
      <c r="F2354" t="s">
        <v>90</v>
      </c>
      <c r="G2354">
        <v>465</v>
      </c>
      <c r="H2354" s="5" t="s">
        <v>111</v>
      </c>
      <c r="I2354" s="15">
        <v>45072</v>
      </c>
      <c r="J2354" s="15" t="s">
        <v>233</v>
      </c>
      <c r="K2354" s="6">
        <v>0.51249999999999996</v>
      </c>
      <c r="L2354" t="s">
        <v>142</v>
      </c>
      <c r="M2354">
        <v>150000</v>
      </c>
      <c r="N2354" t="s">
        <v>208</v>
      </c>
      <c r="O2354" t="s">
        <v>152</v>
      </c>
      <c r="P2354">
        <v>39</v>
      </c>
      <c r="Q2354" t="s">
        <v>156</v>
      </c>
    </row>
    <row r="2355" spans="1:17" x14ac:dyDescent="0.2">
      <c r="A2355">
        <v>1589059</v>
      </c>
      <c r="B2355">
        <v>1381</v>
      </c>
      <c r="C2355" s="1" t="s">
        <v>99</v>
      </c>
      <c r="D2355" s="11">
        <v>45029.033333333333</v>
      </c>
      <c r="E2355" t="s">
        <v>98</v>
      </c>
      <c r="F2355" t="s">
        <v>14</v>
      </c>
      <c r="G2355">
        <v>8578</v>
      </c>
      <c r="H2355" s="5" t="s">
        <v>99</v>
      </c>
      <c r="I2355" s="15">
        <v>45029</v>
      </c>
      <c r="J2355" s="15" t="s">
        <v>233</v>
      </c>
      <c r="K2355" s="6">
        <v>0.53333333333333333</v>
      </c>
      <c r="L2355" t="s">
        <v>142</v>
      </c>
      <c r="M2355">
        <v>250000</v>
      </c>
      <c r="N2355" t="s">
        <v>207</v>
      </c>
      <c r="O2355" t="s">
        <v>151</v>
      </c>
      <c r="P2355">
        <v>28</v>
      </c>
      <c r="Q2355" t="s">
        <v>156</v>
      </c>
    </row>
    <row r="2356" spans="1:17" x14ac:dyDescent="0.2">
      <c r="A2356">
        <v>1589657</v>
      </c>
      <c r="B2356">
        <v>880</v>
      </c>
      <c r="C2356" s="1" t="s">
        <v>113</v>
      </c>
      <c r="D2356" s="11">
        <v>45028.989583333336</v>
      </c>
      <c r="E2356" t="s">
        <v>96</v>
      </c>
      <c r="F2356" t="s">
        <v>27</v>
      </c>
      <c r="G2356">
        <v>3223</v>
      </c>
      <c r="H2356" s="5" t="s">
        <v>113</v>
      </c>
      <c r="I2356" s="15">
        <v>45028</v>
      </c>
      <c r="J2356" s="15" t="s">
        <v>233</v>
      </c>
      <c r="K2356" s="6">
        <v>0.48958333333333331</v>
      </c>
      <c r="L2356" t="s">
        <v>142</v>
      </c>
      <c r="M2356">
        <v>1000000</v>
      </c>
      <c r="N2356" t="s">
        <v>209</v>
      </c>
      <c r="O2356" t="s">
        <v>151</v>
      </c>
      <c r="P2356">
        <v>44</v>
      </c>
      <c r="Q2356" t="s">
        <v>155</v>
      </c>
    </row>
    <row r="2357" spans="1:17" x14ac:dyDescent="0.2">
      <c r="A2357">
        <v>1589664</v>
      </c>
      <c r="B2357">
        <v>98</v>
      </c>
      <c r="C2357" s="1" t="s">
        <v>108</v>
      </c>
      <c r="D2357" s="11">
        <v>45217.068749999999</v>
      </c>
      <c r="E2357" t="s">
        <v>98</v>
      </c>
      <c r="F2357" t="s">
        <v>54</v>
      </c>
      <c r="G2357">
        <v>9044</v>
      </c>
      <c r="H2357" s="5" t="s">
        <v>108</v>
      </c>
      <c r="I2357" s="15">
        <v>45217</v>
      </c>
      <c r="J2357" s="15" t="s">
        <v>295</v>
      </c>
      <c r="K2357" s="6">
        <v>6.8750000000000006E-2</v>
      </c>
      <c r="L2357" t="s">
        <v>144</v>
      </c>
      <c r="M2357">
        <v>100000</v>
      </c>
      <c r="N2357" t="s">
        <v>224</v>
      </c>
      <c r="O2357" t="s">
        <v>151</v>
      </c>
      <c r="P2357">
        <v>35</v>
      </c>
      <c r="Q2357" t="s">
        <v>154</v>
      </c>
    </row>
    <row r="2358" spans="1:17" x14ac:dyDescent="0.2">
      <c r="A2358">
        <v>1590156</v>
      </c>
      <c r="B2358">
        <v>131</v>
      </c>
      <c r="C2358" s="1" t="s">
        <v>107</v>
      </c>
      <c r="D2358" s="11">
        <v>45015.990277777775</v>
      </c>
      <c r="E2358" t="s">
        <v>97</v>
      </c>
      <c r="F2358" t="s">
        <v>27</v>
      </c>
      <c r="G2358">
        <v>8404</v>
      </c>
      <c r="H2358" s="5" t="s">
        <v>107</v>
      </c>
      <c r="I2358" s="15">
        <v>45015</v>
      </c>
      <c r="J2358" s="15" t="s">
        <v>232</v>
      </c>
      <c r="K2358" s="6">
        <v>0.49027777777777776</v>
      </c>
      <c r="L2358" t="s">
        <v>142</v>
      </c>
      <c r="M2358">
        <v>1000000</v>
      </c>
      <c r="N2358" t="s">
        <v>209</v>
      </c>
      <c r="O2358" t="s">
        <v>152</v>
      </c>
      <c r="P2358">
        <v>90</v>
      </c>
      <c r="Q2358" t="s">
        <v>154</v>
      </c>
    </row>
    <row r="2359" spans="1:17" x14ac:dyDescent="0.2">
      <c r="A2359">
        <v>1592825</v>
      </c>
      <c r="B2359">
        <v>1447</v>
      </c>
      <c r="C2359" s="1" t="s">
        <v>106</v>
      </c>
      <c r="D2359" s="11">
        <v>45113.057638888888</v>
      </c>
      <c r="E2359" t="s">
        <v>97</v>
      </c>
      <c r="F2359" t="s">
        <v>9</v>
      </c>
      <c r="G2359">
        <v>7216</v>
      </c>
      <c r="H2359" s="5" t="s">
        <v>106</v>
      </c>
      <c r="I2359" s="15">
        <v>45113</v>
      </c>
      <c r="J2359" s="15" t="s">
        <v>234</v>
      </c>
      <c r="K2359" s="6">
        <v>5.7638888888888892E-2</v>
      </c>
      <c r="L2359" t="s">
        <v>144</v>
      </c>
      <c r="M2359">
        <v>150000</v>
      </c>
      <c r="N2359" t="s">
        <v>202</v>
      </c>
      <c r="O2359" t="s">
        <v>152</v>
      </c>
      <c r="P2359">
        <v>20</v>
      </c>
      <c r="Q2359" t="s">
        <v>156</v>
      </c>
    </row>
    <row r="2360" spans="1:17" x14ac:dyDescent="0.2">
      <c r="A2360">
        <v>1594427</v>
      </c>
      <c r="B2360">
        <v>822</v>
      </c>
      <c r="C2360" s="1" t="s">
        <v>99</v>
      </c>
      <c r="D2360" s="11">
        <v>45272.949305555558</v>
      </c>
      <c r="E2360" t="s">
        <v>97</v>
      </c>
      <c r="F2360" t="s">
        <v>36</v>
      </c>
      <c r="G2360">
        <v>4417</v>
      </c>
      <c r="H2360" s="5" t="s">
        <v>99</v>
      </c>
      <c r="I2360" s="15">
        <v>45272</v>
      </c>
      <c r="J2360" s="15" t="s">
        <v>295</v>
      </c>
      <c r="K2360" s="6">
        <v>0.44930555555555557</v>
      </c>
      <c r="L2360" t="s">
        <v>146</v>
      </c>
      <c r="M2360">
        <v>100000</v>
      </c>
      <c r="N2360" t="s">
        <v>220</v>
      </c>
      <c r="O2360" t="s">
        <v>152</v>
      </c>
      <c r="P2360">
        <v>18</v>
      </c>
      <c r="Q2360" t="s">
        <v>155</v>
      </c>
    </row>
    <row r="2361" spans="1:17" x14ac:dyDescent="0.2">
      <c r="A2361">
        <v>1594617</v>
      </c>
      <c r="B2361">
        <v>1747</v>
      </c>
      <c r="C2361" s="1" t="s">
        <v>99</v>
      </c>
      <c r="D2361" s="11">
        <v>45062.032638888886</v>
      </c>
      <c r="E2361" t="s">
        <v>97</v>
      </c>
      <c r="F2361" t="s">
        <v>48</v>
      </c>
      <c r="G2361">
        <v>4361</v>
      </c>
      <c r="H2361" s="5" t="s">
        <v>99</v>
      </c>
      <c r="I2361" s="15">
        <v>45062</v>
      </c>
      <c r="J2361" s="15" t="s">
        <v>233</v>
      </c>
      <c r="K2361" s="6">
        <v>0.53263888888888888</v>
      </c>
      <c r="L2361" t="s">
        <v>142</v>
      </c>
      <c r="M2361">
        <v>100000</v>
      </c>
      <c r="N2361" t="s">
        <v>209</v>
      </c>
      <c r="O2361" t="s">
        <v>152</v>
      </c>
      <c r="P2361">
        <v>61</v>
      </c>
      <c r="Q2361" t="s">
        <v>157</v>
      </c>
    </row>
    <row r="2362" spans="1:17" x14ac:dyDescent="0.2">
      <c r="A2362">
        <v>1594721</v>
      </c>
      <c r="B2362">
        <v>1894</v>
      </c>
      <c r="C2362" s="1" t="s">
        <v>105</v>
      </c>
      <c r="D2362" s="11">
        <v>45123.996527777781</v>
      </c>
      <c r="E2362" t="s">
        <v>96</v>
      </c>
      <c r="F2362" t="s">
        <v>14</v>
      </c>
      <c r="G2362">
        <v>5493</v>
      </c>
      <c r="H2362" s="5" t="s">
        <v>105</v>
      </c>
      <c r="I2362" s="15">
        <v>45123</v>
      </c>
      <c r="J2362" s="15" t="s">
        <v>234</v>
      </c>
      <c r="K2362" s="6">
        <v>0.49652777777777779</v>
      </c>
      <c r="L2362" t="s">
        <v>142</v>
      </c>
      <c r="M2362">
        <v>250000</v>
      </c>
      <c r="N2362" t="s">
        <v>207</v>
      </c>
      <c r="O2362" t="s">
        <v>151</v>
      </c>
      <c r="P2362">
        <v>69</v>
      </c>
      <c r="Q2362" t="s">
        <v>157</v>
      </c>
    </row>
    <row r="2363" spans="1:17" x14ac:dyDescent="0.2">
      <c r="A2363">
        <v>1594992</v>
      </c>
      <c r="B2363">
        <v>114</v>
      </c>
      <c r="C2363" s="1" t="s">
        <v>99</v>
      </c>
      <c r="D2363" s="11">
        <v>45270.970833333333</v>
      </c>
      <c r="E2363" t="s">
        <v>97</v>
      </c>
      <c r="F2363" t="s">
        <v>61</v>
      </c>
      <c r="G2363">
        <v>1650</v>
      </c>
      <c r="H2363" s="5" t="s">
        <v>99</v>
      </c>
      <c r="I2363" s="15">
        <v>45270</v>
      </c>
      <c r="J2363" s="15" t="s">
        <v>295</v>
      </c>
      <c r="K2363" s="6">
        <v>0.47083333333333333</v>
      </c>
      <c r="L2363" t="s">
        <v>142</v>
      </c>
      <c r="M2363">
        <v>80000</v>
      </c>
      <c r="N2363" t="s">
        <v>197</v>
      </c>
      <c r="O2363" t="s">
        <v>151</v>
      </c>
      <c r="P2363">
        <v>38</v>
      </c>
      <c r="Q2363" t="s">
        <v>154</v>
      </c>
    </row>
    <row r="2364" spans="1:17" x14ac:dyDescent="0.2">
      <c r="A2364">
        <v>1595227</v>
      </c>
      <c r="B2364">
        <v>441</v>
      </c>
      <c r="C2364" s="1" t="s">
        <v>99</v>
      </c>
      <c r="D2364" s="11">
        <v>45121.033333333333</v>
      </c>
      <c r="E2364" t="s">
        <v>191</v>
      </c>
      <c r="F2364" t="s">
        <v>65</v>
      </c>
      <c r="G2364">
        <v>4974</v>
      </c>
      <c r="H2364" s="5" t="s">
        <v>99</v>
      </c>
      <c r="I2364" s="15">
        <v>45121</v>
      </c>
      <c r="J2364" s="15" t="s">
        <v>234</v>
      </c>
      <c r="K2364" s="6">
        <v>0.53333333333333333</v>
      </c>
      <c r="L2364" t="s">
        <v>146</v>
      </c>
      <c r="M2364">
        <v>200000</v>
      </c>
      <c r="N2364" t="s">
        <v>225</v>
      </c>
      <c r="O2364" t="s">
        <v>151</v>
      </c>
      <c r="P2364">
        <v>77</v>
      </c>
      <c r="Q2364" t="s">
        <v>154</v>
      </c>
    </row>
    <row r="2365" spans="1:17" x14ac:dyDescent="0.2">
      <c r="A2365">
        <v>1595262</v>
      </c>
      <c r="B2365">
        <v>1837</v>
      </c>
      <c r="C2365" s="1" t="s">
        <v>110</v>
      </c>
      <c r="D2365" s="11">
        <v>45189.979861111111</v>
      </c>
      <c r="E2365" t="s">
        <v>96</v>
      </c>
      <c r="F2365" t="s">
        <v>27</v>
      </c>
      <c r="G2365">
        <v>8118</v>
      </c>
      <c r="H2365" s="5" t="s">
        <v>110</v>
      </c>
      <c r="I2365" s="15">
        <v>45189</v>
      </c>
      <c r="J2365" s="15" t="s">
        <v>234</v>
      </c>
      <c r="K2365" s="6">
        <v>0.47986111111111113</v>
      </c>
      <c r="L2365" t="s">
        <v>142</v>
      </c>
      <c r="M2365">
        <v>1000000</v>
      </c>
      <c r="N2365" t="s">
        <v>209</v>
      </c>
      <c r="O2365" t="s">
        <v>152</v>
      </c>
      <c r="P2365">
        <v>87</v>
      </c>
      <c r="Q2365" t="s">
        <v>157</v>
      </c>
    </row>
    <row r="2366" spans="1:17" x14ac:dyDescent="0.2">
      <c r="A2366">
        <v>1597150</v>
      </c>
      <c r="B2366">
        <v>1599</v>
      </c>
      <c r="C2366" s="1" t="s">
        <v>99</v>
      </c>
      <c r="D2366" s="11">
        <v>45242.013194444444</v>
      </c>
      <c r="E2366" t="s">
        <v>191</v>
      </c>
      <c r="F2366" t="s">
        <v>18</v>
      </c>
      <c r="G2366">
        <v>3756</v>
      </c>
      <c r="H2366" s="5" t="s">
        <v>99</v>
      </c>
      <c r="I2366" s="15">
        <v>45242</v>
      </c>
      <c r="J2366" s="15" t="s">
        <v>295</v>
      </c>
      <c r="K2366" s="6">
        <v>0.5131944444444444</v>
      </c>
      <c r="L2366" t="s">
        <v>145</v>
      </c>
      <c r="M2366">
        <v>200000</v>
      </c>
      <c r="N2366" t="s">
        <v>210</v>
      </c>
      <c r="O2366" t="s">
        <v>151</v>
      </c>
      <c r="P2366">
        <v>81</v>
      </c>
      <c r="Q2366" t="s">
        <v>157</v>
      </c>
    </row>
    <row r="2367" spans="1:17" x14ac:dyDescent="0.2">
      <c r="A2367">
        <v>1598652</v>
      </c>
      <c r="B2367">
        <v>191</v>
      </c>
      <c r="C2367" s="1" t="s">
        <v>109</v>
      </c>
      <c r="D2367" s="11">
        <v>45225.980555555558</v>
      </c>
      <c r="E2367" t="s">
        <v>97</v>
      </c>
      <c r="F2367" t="s">
        <v>89</v>
      </c>
      <c r="G2367">
        <v>2084</v>
      </c>
      <c r="H2367" s="5" t="s">
        <v>109</v>
      </c>
      <c r="I2367" s="15">
        <v>45225</v>
      </c>
      <c r="J2367" s="15" t="s">
        <v>295</v>
      </c>
      <c r="K2367" s="6">
        <v>0.48055555555555557</v>
      </c>
      <c r="L2367" t="s">
        <v>144</v>
      </c>
      <c r="M2367">
        <v>150000</v>
      </c>
      <c r="N2367" t="s">
        <v>218</v>
      </c>
      <c r="O2367" t="s">
        <v>152</v>
      </c>
      <c r="P2367">
        <v>23</v>
      </c>
      <c r="Q2367" t="s">
        <v>154</v>
      </c>
    </row>
    <row r="2368" spans="1:17" x14ac:dyDescent="0.2">
      <c r="A2368">
        <v>1599039</v>
      </c>
      <c r="B2368">
        <v>1483</v>
      </c>
      <c r="C2368" s="1" t="s">
        <v>99</v>
      </c>
      <c r="D2368" s="11">
        <v>44949.95416666667</v>
      </c>
      <c r="E2368" t="s">
        <v>191</v>
      </c>
      <c r="F2368" t="s">
        <v>93</v>
      </c>
      <c r="G2368">
        <v>9658</v>
      </c>
      <c r="H2368" s="5" t="s">
        <v>99</v>
      </c>
      <c r="I2368" s="15">
        <v>44949</v>
      </c>
      <c r="J2368" s="15" t="s">
        <v>232</v>
      </c>
      <c r="K2368" s="6">
        <v>0.45416666666666666</v>
      </c>
      <c r="L2368" t="s">
        <v>146</v>
      </c>
      <c r="M2368">
        <v>30000</v>
      </c>
      <c r="N2368" t="s">
        <v>220</v>
      </c>
      <c r="O2368" t="s">
        <v>151</v>
      </c>
      <c r="P2368">
        <v>82</v>
      </c>
      <c r="Q2368" t="s">
        <v>156</v>
      </c>
    </row>
    <row r="2369" spans="1:17" x14ac:dyDescent="0.2">
      <c r="A2369">
        <v>1599499</v>
      </c>
      <c r="B2369">
        <v>427</v>
      </c>
      <c r="C2369" s="1" t="s">
        <v>113</v>
      </c>
      <c r="D2369" s="11">
        <v>44998.993750000001</v>
      </c>
      <c r="E2369" t="s">
        <v>98</v>
      </c>
      <c r="F2369" t="s">
        <v>51</v>
      </c>
      <c r="G2369">
        <v>3608</v>
      </c>
      <c r="H2369" s="5" t="s">
        <v>113</v>
      </c>
      <c r="I2369" s="15">
        <v>44998</v>
      </c>
      <c r="J2369" s="15" t="s">
        <v>232</v>
      </c>
      <c r="K2369" s="6">
        <v>0.49375000000000002</v>
      </c>
      <c r="L2369" t="s">
        <v>145</v>
      </c>
      <c r="M2369">
        <v>100000</v>
      </c>
      <c r="N2369" t="s">
        <v>217</v>
      </c>
      <c r="O2369" t="s">
        <v>151</v>
      </c>
      <c r="P2369">
        <v>59</v>
      </c>
      <c r="Q2369" t="s">
        <v>154</v>
      </c>
    </row>
    <row r="2370" spans="1:17" x14ac:dyDescent="0.2">
      <c r="A2370">
        <v>1599786</v>
      </c>
      <c r="B2370">
        <v>821</v>
      </c>
      <c r="C2370" s="1" t="s">
        <v>107</v>
      </c>
      <c r="D2370" s="11">
        <v>44945.975694444445</v>
      </c>
      <c r="E2370" t="s">
        <v>97</v>
      </c>
      <c r="F2370" t="s">
        <v>63</v>
      </c>
      <c r="G2370">
        <v>480</v>
      </c>
      <c r="H2370" s="5" t="s">
        <v>107</v>
      </c>
      <c r="I2370" s="15">
        <v>44945</v>
      </c>
      <c r="J2370" s="15" t="s">
        <v>232</v>
      </c>
      <c r="K2370" s="6">
        <v>0.47569444444444442</v>
      </c>
      <c r="L2370" t="s">
        <v>143</v>
      </c>
      <c r="M2370">
        <v>100000</v>
      </c>
      <c r="N2370" t="s">
        <v>198</v>
      </c>
      <c r="O2370" t="s">
        <v>152</v>
      </c>
      <c r="P2370">
        <v>53</v>
      </c>
      <c r="Q2370" t="s">
        <v>155</v>
      </c>
    </row>
    <row r="2371" spans="1:17" x14ac:dyDescent="0.2">
      <c r="A2371">
        <v>1600216</v>
      </c>
      <c r="B2371">
        <v>314</v>
      </c>
      <c r="C2371" s="1" t="s">
        <v>105</v>
      </c>
      <c r="D2371" s="11">
        <v>45249.010416666664</v>
      </c>
      <c r="E2371" t="s">
        <v>97</v>
      </c>
      <c r="F2371" t="s">
        <v>90</v>
      </c>
      <c r="G2371">
        <v>8607</v>
      </c>
      <c r="H2371" s="5" t="s">
        <v>105</v>
      </c>
      <c r="I2371" s="15">
        <v>45249</v>
      </c>
      <c r="J2371" s="15" t="s">
        <v>295</v>
      </c>
      <c r="K2371" s="6">
        <v>0.51041666666666663</v>
      </c>
      <c r="L2371" t="s">
        <v>142</v>
      </c>
      <c r="M2371">
        <v>150000</v>
      </c>
      <c r="N2371" t="s">
        <v>208</v>
      </c>
      <c r="O2371" t="s">
        <v>151</v>
      </c>
      <c r="P2371">
        <v>38</v>
      </c>
      <c r="Q2371" t="s">
        <v>154</v>
      </c>
    </row>
    <row r="2372" spans="1:17" x14ac:dyDescent="0.2">
      <c r="A2372">
        <v>1602189</v>
      </c>
      <c r="B2372">
        <v>676</v>
      </c>
      <c r="C2372" s="1" t="s">
        <v>113</v>
      </c>
      <c r="D2372" s="11">
        <v>45116.036111111112</v>
      </c>
      <c r="E2372" t="s">
        <v>97</v>
      </c>
      <c r="F2372" t="s">
        <v>57</v>
      </c>
      <c r="G2372">
        <v>179</v>
      </c>
      <c r="H2372" s="5" t="s">
        <v>113</v>
      </c>
      <c r="I2372" s="15">
        <v>45116</v>
      </c>
      <c r="J2372" s="15" t="s">
        <v>234</v>
      </c>
      <c r="K2372" s="6">
        <v>0.53611111111111109</v>
      </c>
      <c r="L2372" t="s">
        <v>142</v>
      </c>
      <c r="M2372">
        <v>50000</v>
      </c>
      <c r="N2372" t="s">
        <v>208</v>
      </c>
      <c r="O2372" t="s">
        <v>152</v>
      </c>
      <c r="P2372">
        <v>74</v>
      </c>
      <c r="Q2372" t="s">
        <v>155</v>
      </c>
    </row>
    <row r="2373" spans="1:17" x14ac:dyDescent="0.2">
      <c r="A2373">
        <v>1604175</v>
      </c>
      <c r="B2373">
        <v>265</v>
      </c>
      <c r="C2373" s="1" t="s">
        <v>101</v>
      </c>
      <c r="D2373" s="11">
        <v>45046.011805555558</v>
      </c>
      <c r="E2373" t="s">
        <v>98</v>
      </c>
      <c r="F2373" t="s">
        <v>92</v>
      </c>
      <c r="G2373">
        <v>5731</v>
      </c>
      <c r="H2373" s="5" t="s">
        <v>101</v>
      </c>
      <c r="I2373" s="15">
        <v>45046</v>
      </c>
      <c r="J2373" s="15" t="s">
        <v>233</v>
      </c>
      <c r="K2373" s="6">
        <v>0.51180555555555551</v>
      </c>
      <c r="L2373" t="s">
        <v>145</v>
      </c>
      <c r="M2373">
        <v>30000</v>
      </c>
      <c r="N2373" t="s">
        <v>226</v>
      </c>
      <c r="O2373" t="s">
        <v>151</v>
      </c>
      <c r="P2373">
        <v>66</v>
      </c>
      <c r="Q2373" t="s">
        <v>154</v>
      </c>
    </row>
    <row r="2374" spans="1:17" x14ac:dyDescent="0.2">
      <c r="A2374">
        <v>1604289</v>
      </c>
      <c r="B2374">
        <v>214</v>
      </c>
      <c r="C2374" s="1" t="s">
        <v>99</v>
      </c>
      <c r="D2374" s="11">
        <v>45031.081944444442</v>
      </c>
      <c r="E2374" t="s">
        <v>98</v>
      </c>
      <c r="F2374" t="s">
        <v>24</v>
      </c>
      <c r="G2374">
        <v>9600</v>
      </c>
      <c r="H2374" s="5" t="s">
        <v>99</v>
      </c>
      <c r="I2374" s="15">
        <v>45031</v>
      </c>
      <c r="J2374" s="15" t="s">
        <v>233</v>
      </c>
      <c r="K2374" s="6">
        <v>8.1944444444444445E-2</v>
      </c>
      <c r="L2374" t="s">
        <v>143</v>
      </c>
      <c r="M2374">
        <v>200000</v>
      </c>
      <c r="N2374" t="s">
        <v>214</v>
      </c>
      <c r="O2374" t="s">
        <v>152</v>
      </c>
      <c r="P2374">
        <v>18</v>
      </c>
      <c r="Q2374" t="s">
        <v>154</v>
      </c>
    </row>
    <row r="2375" spans="1:17" x14ac:dyDescent="0.2">
      <c r="A2375">
        <v>1604334</v>
      </c>
      <c r="B2375">
        <v>1237</v>
      </c>
      <c r="C2375" s="1" t="s">
        <v>99</v>
      </c>
      <c r="D2375" s="11">
        <v>45277.980555555558</v>
      </c>
      <c r="E2375" t="s">
        <v>191</v>
      </c>
      <c r="F2375" t="s">
        <v>18</v>
      </c>
      <c r="G2375">
        <v>4433</v>
      </c>
      <c r="H2375" s="5" t="s">
        <v>99</v>
      </c>
      <c r="I2375" s="15">
        <v>45277</v>
      </c>
      <c r="J2375" s="15" t="s">
        <v>295</v>
      </c>
      <c r="K2375" s="6">
        <v>0.48055555555555557</v>
      </c>
      <c r="L2375" t="s">
        <v>145</v>
      </c>
      <c r="M2375">
        <v>200000</v>
      </c>
      <c r="N2375" t="s">
        <v>210</v>
      </c>
      <c r="O2375" t="s">
        <v>152</v>
      </c>
      <c r="P2375">
        <v>87</v>
      </c>
      <c r="Q2375" t="s">
        <v>156</v>
      </c>
    </row>
    <row r="2376" spans="1:17" x14ac:dyDescent="0.2">
      <c r="A2376">
        <v>1605621</v>
      </c>
      <c r="B2376">
        <v>98</v>
      </c>
      <c r="C2376" s="1" t="s">
        <v>108</v>
      </c>
      <c r="D2376" s="11">
        <v>45174.064583333333</v>
      </c>
      <c r="E2376" t="s">
        <v>97</v>
      </c>
      <c r="F2376" t="s">
        <v>25</v>
      </c>
      <c r="G2376">
        <v>4118</v>
      </c>
      <c r="H2376" s="5" t="s">
        <v>108</v>
      </c>
      <c r="I2376" s="15">
        <v>45174</v>
      </c>
      <c r="J2376" s="15" t="s">
        <v>234</v>
      </c>
      <c r="K2376" s="6">
        <v>6.458333333333334E-2</v>
      </c>
      <c r="L2376" t="s">
        <v>142</v>
      </c>
      <c r="M2376">
        <v>100000</v>
      </c>
      <c r="N2376" t="s">
        <v>201</v>
      </c>
      <c r="O2376" t="s">
        <v>151</v>
      </c>
      <c r="P2376">
        <v>35</v>
      </c>
      <c r="Q2376" t="s">
        <v>154</v>
      </c>
    </row>
    <row r="2377" spans="1:17" x14ac:dyDescent="0.2">
      <c r="A2377">
        <v>1605700</v>
      </c>
      <c r="B2377">
        <v>1574</v>
      </c>
      <c r="C2377" s="1" t="s">
        <v>104</v>
      </c>
      <c r="D2377" s="11">
        <v>44966.041666666664</v>
      </c>
      <c r="E2377" t="s">
        <v>96</v>
      </c>
      <c r="F2377" t="s">
        <v>5</v>
      </c>
      <c r="G2377">
        <v>2305</v>
      </c>
      <c r="H2377" s="5" t="s">
        <v>104</v>
      </c>
      <c r="I2377" s="15">
        <v>44966</v>
      </c>
      <c r="J2377" s="15" t="s">
        <v>232</v>
      </c>
      <c r="K2377" s="6">
        <v>4.1666666666666664E-2</v>
      </c>
      <c r="L2377" t="s">
        <v>143</v>
      </c>
      <c r="M2377">
        <v>200000</v>
      </c>
      <c r="N2377" t="s">
        <v>198</v>
      </c>
      <c r="O2377" t="s">
        <v>152</v>
      </c>
      <c r="P2377">
        <v>36</v>
      </c>
      <c r="Q2377" t="s">
        <v>157</v>
      </c>
    </row>
    <row r="2378" spans="1:17" x14ac:dyDescent="0.2">
      <c r="A2378">
        <v>1605731</v>
      </c>
      <c r="B2378">
        <v>564</v>
      </c>
      <c r="C2378" s="1" t="s">
        <v>99</v>
      </c>
      <c r="D2378" s="11">
        <v>45101.001388888886</v>
      </c>
      <c r="E2378" t="s">
        <v>191</v>
      </c>
      <c r="F2378" t="s">
        <v>16</v>
      </c>
      <c r="G2378">
        <v>6271</v>
      </c>
      <c r="H2378" s="5" t="s">
        <v>99</v>
      </c>
      <c r="I2378" s="15">
        <v>45101</v>
      </c>
      <c r="J2378" s="15" t="s">
        <v>233</v>
      </c>
      <c r="K2378" s="6">
        <v>0.50138888888888888</v>
      </c>
      <c r="L2378" t="s">
        <v>142</v>
      </c>
      <c r="M2378">
        <v>80000</v>
      </c>
      <c r="N2378" t="s">
        <v>208</v>
      </c>
      <c r="O2378" t="s">
        <v>152</v>
      </c>
      <c r="P2378">
        <v>83</v>
      </c>
      <c r="Q2378" t="s">
        <v>155</v>
      </c>
    </row>
    <row r="2379" spans="1:17" x14ac:dyDescent="0.2">
      <c r="A2379">
        <v>1605754</v>
      </c>
      <c r="B2379">
        <v>1734</v>
      </c>
      <c r="C2379" s="1" t="s">
        <v>99</v>
      </c>
      <c r="D2379" s="11">
        <v>45086.052777777775</v>
      </c>
      <c r="E2379" t="s">
        <v>191</v>
      </c>
      <c r="F2379" t="s">
        <v>74</v>
      </c>
      <c r="G2379">
        <v>504</v>
      </c>
      <c r="H2379" s="5" t="s">
        <v>99</v>
      </c>
      <c r="I2379" s="15">
        <v>45086</v>
      </c>
      <c r="J2379" s="15" t="s">
        <v>233</v>
      </c>
      <c r="K2379" s="6">
        <v>5.2777777777777778E-2</v>
      </c>
      <c r="L2379" t="s">
        <v>145</v>
      </c>
      <c r="M2379">
        <v>150000</v>
      </c>
      <c r="N2379" t="s">
        <v>226</v>
      </c>
      <c r="O2379" t="s">
        <v>151</v>
      </c>
      <c r="P2379">
        <v>62</v>
      </c>
      <c r="Q2379" t="s">
        <v>157</v>
      </c>
    </row>
    <row r="2380" spans="1:17" x14ac:dyDescent="0.2">
      <c r="A2380">
        <v>1607015</v>
      </c>
      <c r="B2380">
        <v>1741</v>
      </c>
      <c r="C2380" s="1" t="s">
        <v>99</v>
      </c>
      <c r="D2380" s="11">
        <v>45286.047222222223</v>
      </c>
      <c r="E2380" t="s">
        <v>191</v>
      </c>
      <c r="F2380" t="s">
        <v>27</v>
      </c>
      <c r="G2380">
        <v>4369</v>
      </c>
      <c r="H2380" s="5" t="s">
        <v>99</v>
      </c>
      <c r="I2380" s="15">
        <v>45286</v>
      </c>
      <c r="J2380" s="15" t="s">
        <v>295</v>
      </c>
      <c r="K2380" s="6">
        <v>4.7222222222222221E-2</v>
      </c>
      <c r="L2380" t="s">
        <v>142</v>
      </c>
      <c r="M2380">
        <v>1000000</v>
      </c>
      <c r="N2380" t="s">
        <v>209</v>
      </c>
      <c r="O2380" t="s">
        <v>152</v>
      </c>
      <c r="P2380">
        <v>71</v>
      </c>
      <c r="Q2380" t="s">
        <v>157</v>
      </c>
    </row>
    <row r="2381" spans="1:17" x14ac:dyDescent="0.2">
      <c r="A2381">
        <v>1607569</v>
      </c>
      <c r="B2381">
        <v>1930</v>
      </c>
      <c r="C2381" s="1" t="s">
        <v>99</v>
      </c>
      <c r="D2381" s="11">
        <v>45176.990972222222</v>
      </c>
      <c r="E2381" t="s">
        <v>98</v>
      </c>
      <c r="F2381" t="s">
        <v>31</v>
      </c>
      <c r="G2381">
        <v>1307</v>
      </c>
      <c r="H2381" s="5" t="s">
        <v>99</v>
      </c>
      <c r="I2381" s="15">
        <v>45176</v>
      </c>
      <c r="J2381" s="15" t="s">
        <v>234</v>
      </c>
      <c r="K2381" s="6">
        <v>0.4909722222222222</v>
      </c>
      <c r="L2381" t="s">
        <v>143</v>
      </c>
      <c r="M2381">
        <v>80000</v>
      </c>
      <c r="N2381" t="s">
        <v>204</v>
      </c>
      <c r="O2381" t="s">
        <v>152</v>
      </c>
      <c r="P2381">
        <v>40</v>
      </c>
      <c r="Q2381" t="s">
        <v>157</v>
      </c>
    </row>
    <row r="2382" spans="1:17" x14ac:dyDescent="0.2">
      <c r="A2382">
        <v>1608036</v>
      </c>
      <c r="B2382">
        <v>1794</v>
      </c>
      <c r="C2382" s="1" t="s">
        <v>101</v>
      </c>
      <c r="D2382" s="11">
        <v>45160.988194444442</v>
      </c>
      <c r="E2382" t="s">
        <v>96</v>
      </c>
      <c r="F2382" t="s">
        <v>78</v>
      </c>
      <c r="G2382">
        <v>3016</v>
      </c>
      <c r="H2382" s="5" t="s">
        <v>101</v>
      </c>
      <c r="I2382" s="15">
        <v>45160</v>
      </c>
      <c r="J2382" s="15" t="s">
        <v>234</v>
      </c>
      <c r="K2382" s="6">
        <v>0.48819444444444443</v>
      </c>
      <c r="L2382" t="s">
        <v>143</v>
      </c>
      <c r="M2382">
        <v>200000</v>
      </c>
      <c r="N2382" t="s">
        <v>215</v>
      </c>
      <c r="O2382" t="s">
        <v>151</v>
      </c>
      <c r="P2382">
        <v>41</v>
      </c>
      <c r="Q2382" t="s">
        <v>157</v>
      </c>
    </row>
    <row r="2383" spans="1:17" x14ac:dyDescent="0.2">
      <c r="A2383">
        <v>1609306</v>
      </c>
      <c r="B2383">
        <v>529</v>
      </c>
      <c r="C2383" s="1" t="s">
        <v>113</v>
      </c>
      <c r="D2383" s="11">
        <v>45261.056250000001</v>
      </c>
      <c r="E2383" t="s">
        <v>97</v>
      </c>
      <c r="F2383" t="s">
        <v>77</v>
      </c>
      <c r="G2383">
        <v>847</v>
      </c>
      <c r="H2383" s="5" t="s">
        <v>113</v>
      </c>
      <c r="I2383" s="15">
        <v>45261</v>
      </c>
      <c r="J2383" s="15" t="s">
        <v>295</v>
      </c>
      <c r="K2383" s="6">
        <v>5.6250000000000001E-2</v>
      </c>
      <c r="L2383" t="s">
        <v>146</v>
      </c>
      <c r="M2383">
        <v>100000</v>
      </c>
      <c r="N2383" t="s">
        <v>222</v>
      </c>
      <c r="O2383" t="s">
        <v>151</v>
      </c>
      <c r="P2383">
        <v>44</v>
      </c>
      <c r="Q2383" t="s">
        <v>155</v>
      </c>
    </row>
    <row r="2384" spans="1:17" x14ac:dyDescent="0.2">
      <c r="A2384">
        <v>1609928</v>
      </c>
      <c r="B2384">
        <v>1237</v>
      </c>
      <c r="C2384" s="1" t="s">
        <v>99</v>
      </c>
      <c r="D2384" s="11">
        <v>45082.040277777778</v>
      </c>
      <c r="E2384" t="s">
        <v>97</v>
      </c>
      <c r="F2384" t="s">
        <v>64</v>
      </c>
      <c r="G2384">
        <v>373</v>
      </c>
      <c r="H2384" s="5" t="s">
        <v>99</v>
      </c>
      <c r="I2384" s="15">
        <v>45082</v>
      </c>
      <c r="J2384" s="15" t="s">
        <v>233</v>
      </c>
      <c r="K2384" s="6">
        <v>0.54027777777777775</v>
      </c>
      <c r="L2384" t="s">
        <v>143</v>
      </c>
      <c r="M2384">
        <v>100000</v>
      </c>
      <c r="N2384" t="s">
        <v>223</v>
      </c>
      <c r="O2384" t="s">
        <v>152</v>
      </c>
      <c r="P2384">
        <v>87</v>
      </c>
      <c r="Q2384" t="s">
        <v>156</v>
      </c>
    </row>
    <row r="2385" spans="1:17" x14ac:dyDescent="0.2">
      <c r="A2385">
        <v>1610660</v>
      </c>
      <c r="B2385">
        <v>1126</v>
      </c>
      <c r="C2385" s="1" t="s">
        <v>100</v>
      </c>
      <c r="D2385" s="11">
        <v>45000.993750000001</v>
      </c>
      <c r="E2385" t="s">
        <v>98</v>
      </c>
      <c r="F2385" t="s">
        <v>30</v>
      </c>
      <c r="G2385">
        <v>4580</v>
      </c>
      <c r="H2385" s="5" t="s">
        <v>100</v>
      </c>
      <c r="I2385" s="15">
        <v>45000</v>
      </c>
      <c r="J2385" s="15" t="s">
        <v>232</v>
      </c>
      <c r="K2385" s="6">
        <v>0.49375000000000002</v>
      </c>
      <c r="L2385" t="s">
        <v>144</v>
      </c>
      <c r="M2385">
        <v>200000</v>
      </c>
      <c r="N2385" t="s">
        <v>216</v>
      </c>
      <c r="O2385" t="s">
        <v>151</v>
      </c>
      <c r="P2385">
        <v>65</v>
      </c>
      <c r="Q2385" t="s">
        <v>156</v>
      </c>
    </row>
    <row r="2386" spans="1:17" x14ac:dyDescent="0.2">
      <c r="A2386">
        <v>1611854</v>
      </c>
      <c r="B2386">
        <v>1101</v>
      </c>
      <c r="C2386" s="1" t="s">
        <v>113</v>
      </c>
      <c r="D2386" s="11">
        <v>45115.998611111114</v>
      </c>
      <c r="E2386" t="s">
        <v>96</v>
      </c>
      <c r="F2386" t="s">
        <v>74</v>
      </c>
      <c r="G2386">
        <v>508</v>
      </c>
      <c r="H2386" s="5" t="s">
        <v>113</v>
      </c>
      <c r="I2386" s="15">
        <v>45115</v>
      </c>
      <c r="J2386" s="15" t="s">
        <v>234</v>
      </c>
      <c r="K2386" s="6">
        <v>0.49861111111111112</v>
      </c>
      <c r="L2386" t="s">
        <v>145</v>
      </c>
      <c r="M2386">
        <v>150000</v>
      </c>
      <c r="N2386" t="s">
        <v>226</v>
      </c>
      <c r="O2386" t="s">
        <v>152</v>
      </c>
      <c r="P2386">
        <v>27</v>
      </c>
      <c r="Q2386" t="s">
        <v>156</v>
      </c>
    </row>
    <row r="2387" spans="1:17" x14ac:dyDescent="0.2">
      <c r="A2387">
        <v>1612026</v>
      </c>
      <c r="B2387">
        <v>730</v>
      </c>
      <c r="C2387" s="1" t="s">
        <v>104</v>
      </c>
      <c r="D2387" s="11">
        <v>44951.061805555553</v>
      </c>
      <c r="E2387" t="s">
        <v>97</v>
      </c>
      <c r="F2387" t="s">
        <v>85</v>
      </c>
      <c r="G2387">
        <v>5053</v>
      </c>
      <c r="H2387" s="5" t="s">
        <v>104</v>
      </c>
      <c r="I2387" s="15">
        <v>44951</v>
      </c>
      <c r="J2387" s="15" t="s">
        <v>232</v>
      </c>
      <c r="K2387" s="6">
        <v>6.1805555555555558E-2</v>
      </c>
      <c r="L2387" t="s">
        <v>146</v>
      </c>
      <c r="M2387">
        <v>100000</v>
      </c>
      <c r="N2387" t="s">
        <v>212</v>
      </c>
      <c r="O2387" t="s">
        <v>152</v>
      </c>
      <c r="P2387">
        <v>61</v>
      </c>
      <c r="Q2387" t="s">
        <v>155</v>
      </c>
    </row>
    <row r="2388" spans="1:17" x14ac:dyDescent="0.2">
      <c r="A2388">
        <v>1612028</v>
      </c>
      <c r="B2388">
        <v>1167</v>
      </c>
      <c r="C2388" s="1" t="s">
        <v>99</v>
      </c>
      <c r="D2388" s="11">
        <v>44944.998611111114</v>
      </c>
      <c r="E2388" t="s">
        <v>191</v>
      </c>
      <c r="F2388" t="s">
        <v>51</v>
      </c>
      <c r="G2388">
        <v>9324</v>
      </c>
      <c r="H2388" s="5" t="s">
        <v>99</v>
      </c>
      <c r="I2388" s="15">
        <v>44944</v>
      </c>
      <c r="J2388" s="15" t="s">
        <v>232</v>
      </c>
      <c r="K2388" s="6">
        <v>0.49861111111111112</v>
      </c>
      <c r="L2388" t="s">
        <v>145</v>
      </c>
      <c r="M2388">
        <v>100000</v>
      </c>
      <c r="N2388" t="s">
        <v>217</v>
      </c>
      <c r="O2388" t="s">
        <v>151</v>
      </c>
      <c r="P2388">
        <v>78</v>
      </c>
      <c r="Q2388" t="s">
        <v>156</v>
      </c>
    </row>
    <row r="2389" spans="1:17" x14ac:dyDescent="0.2">
      <c r="A2389">
        <v>1613483</v>
      </c>
      <c r="B2389">
        <v>296</v>
      </c>
      <c r="C2389" s="1" t="s">
        <v>108</v>
      </c>
      <c r="D2389" s="11">
        <v>45219.045138888891</v>
      </c>
      <c r="E2389" t="s">
        <v>96</v>
      </c>
      <c r="F2389" t="s">
        <v>68</v>
      </c>
      <c r="G2389">
        <v>2248</v>
      </c>
      <c r="H2389" s="5" t="s">
        <v>108</v>
      </c>
      <c r="I2389" s="15">
        <v>45219</v>
      </c>
      <c r="J2389" s="15" t="s">
        <v>295</v>
      </c>
      <c r="K2389" s="6">
        <v>4.5138888888888888E-2</v>
      </c>
      <c r="L2389" t="s">
        <v>144</v>
      </c>
      <c r="M2389">
        <v>100000</v>
      </c>
      <c r="N2389" t="s">
        <v>200</v>
      </c>
      <c r="O2389" t="s">
        <v>152</v>
      </c>
      <c r="P2389">
        <v>70</v>
      </c>
      <c r="Q2389" t="s">
        <v>154</v>
      </c>
    </row>
    <row r="2390" spans="1:17" x14ac:dyDescent="0.2">
      <c r="A2390">
        <v>1615509</v>
      </c>
      <c r="B2390">
        <v>63</v>
      </c>
      <c r="C2390" s="1" t="s">
        <v>103</v>
      </c>
      <c r="D2390" s="11">
        <v>45229.938888888886</v>
      </c>
      <c r="E2390" t="s">
        <v>96</v>
      </c>
      <c r="F2390" t="s">
        <v>79</v>
      </c>
      <c r="G2390">
        <v>7909</v>
      </c>
      <c r="H2390" s="5" t="s">
        <v>103</v>
      </c>
      <c r="I2390" s="15">
        <v>45229</v>
      </c>
      <c r="J2390" s="15" t="s">
        <v>295</v>
      </c>
      <c r="K2390" s="6">
        <v>0.43888888888888888</v>
      </c>
      <c r="L2390" t="s">
        <v>143</v>
      </c>
      <c r="M2390">
        <v>50000</v>
      </c>
      <c r="N2390" t="s">
        <v>204</v>
      </c>
      <c r="O2390" t="s">
        <v>151</v>
      </c>
      <c r="P2390">
        <v>23</v>
      </c>
      <c r="Q2390" t="s">
        <v>154</v>
      </c>
    </row>
    <row r="2391" spans="1:17" x14ac:dyDescent="0.2">
      <c r="A2391">
        <v>1616083</v>
      </c>
      <c r="B2391">
        <v>894</v>
      </c>
      <c r="C2391" s="1" t="s">
        <v>101</v>
      </c>
      <c r="D2391" s="11">
        <v>45090.037499999999</v>
      </c>
      <c r="E2391" t="s">
        <v>97</v>
      </c>
      <c r="F2391" t="s">
        <v>76</v>
      </c>
      <c r="G2391">
        <v>9153</v>
      </c>
      <c r="H2391" s="5" t="s">
        <v>101</v>
      </c>
      <c r="I2391" s="15">
        <v>45090</v>
      </c>
      <c r="J2391" s="15" t="s">
        <v>233</v>
      </c>
      <c r="K2391" s="6">
        <v>0.53749999999999998</v>
      </c>
      <c r="L2391" t="s">
        <v>142</v>
      </c>
      <c r="M2391">
        <v>80000</v>
      </c>
      <c r="N2391" t="s">
        <v>201</v>
      </c>
      <c r="O2391" t="s">
        <v>152</v>
      </c>
      <c r="P2391">
        <v>37</v>
      </c>
      <c r="Q2391" t="s">
        <v>155</v>
      </c>
    </row>
    <row r="2392" spans="1:17" x14ac:dyDescent="0.2">
      <c r="A2392">
        <v>1616804</v>
      </c>
      <c r="B2392">
        <v>902</v>
      </c>
      <c r="C2392" s="1" t="s">
        <v>99</v>
      </c>
      <c r="D2392" s="11">
        <v>45023.958333333336</v>
      </c>
      <c r="E2392" t="s">
        <v>97</v>
      </c>
      <c r="F2392" t="s">
        <v>27</v>
      </c>
      <c r="G2392">
        <v>8265</v>
      </c>
      <c r="H2392" s="5" t="s">
        <v>99</v>
      </c>
      <c r="I2392" s="15">
        <v>45023</v>
      </c>
      <c r="J2392" s="15" t="s">
        <v>233</v>
      </c>
      <c r="K2392" s="6">
        <v>0.45833333333333331</v>
      </c>
      <c r="L2392" t="s">
        <v>142</v>
      </c>
      <c r="M2392">
        <v>1000000</v>
      </c>
      <c r="N2392" t="s">
        <v>209</v>
      </c>
      <c r="O2392" t="s">
        <v>152</v>
      </c>
      <c r="P2392">
        <v>82</v>
      </c>
      <c r="Q2392" t="s">
        <v>155</v>
      </c>
    </row>
    <row r="2393" spans="1:17" x14ac:dyDescent="0.2">
      <c r="A2393">
        <v>1617273</v>
      </c>
      <c r="B2393">
        <v>547</v>
      </c>
      <c r="C2393" s="1" t="s">
        <v>99</v>
      </c>
      <c r="D2393" s="11">
        <v>45156.00277777778</v>
      </c>
      <c r="E2393" t="s">
        <v>97</v>
      </c>
      <c r="F2393" t="s">
        <v>69</v>
      </c>
      <c r="G2393">
        <v>2095</v>
      </c>
      <c r="H2393" s="5" t="s">
        <v>99</v>
      </c>
      <c r="I2393" s="15">
        <v>45156</v>
      </c>
      <c r="J2393" s="15" t="s">
        <v>234</v>
      </c>
      <c r="K2393" s="6">
        <v>0.50277777777777777</v>
      </c>
      <c r="L2393" t="s">
        <v>146</v>
      </c>
      <c r="M2393">
        <v>250000</v>
      </c>
      <c r="N2393" t="s">
        <v>225</v>
      </c>
      <c r="O2393" t="s">
        <v>152</v>
      </c>
      <c r="P2393">
        <v>69</v>
      </c>
      <c r="Q2393" t="s">
        <v>155</v>
      </c>
    </row>
    <row r="2394" spans="1:17" x14ac:dyDescent="0.2">
      <c r="A2394">
        <v>1617524</v>
      </c>
      <c r="B2394">
        <v>34</v>
      </c>
      <c r="C2394" s="1" t="s">
        <v>101</v>
      </c>
      <c r="D2394" s="11">
        <v>44968.987500000003</v>
      </c>
      <c r="E2394" t="s">
        <v>96</v>
      </c>
      <c r="F2394" t="s">
        <v>43</v>
      </c>
      <c r="G2394">
        <v>1527</v>
      </c>
      <c r="H2394" s="5" t="s">
        <v>101</v>
      </c>
      <c r="I2394" s="15">
        <v>44968</v>
      </c>
      <c r="J2394" s="15" t="s">
        <v>232</v>
      </c>
      <c r="K2394" s="6">
        <v>0.48749999999999999</v>
      </c>
      <c r="L2394" t="s">
        <v>145</v>
      </c>
      <c r="M2394">
        <v>1000000</v>
      </c>
      <c r="N2394" t="s">
        <v>203</v>
      </c>
      <c r="O2394" t="s">
        <v>152</v>
      </c>
      <c r="P2394">
        <v>20</v>
      </c>
      <c r="Q2394" t="s">
        <v>154</v>
      </c>
    </row>
    <row r="2395" spans="1:17" x14ac:dyDescent="0.2">
      <c r="A2395">
        <v>1620752</v>
      </c>
      <c r="B2395">
        <v>1687</v>
      </c>
      <c r="C2395" s="1" t="s">
        <v>101</v>
      </c>
      <c r="D2395" s="11">
        <v>45212.984027777777</v>
      </c>
      <c r="E2395" t="s">
        <v>96</v>
      </c>
      <c r="F2395" t="s">
        <v>43</v>
      </c>
      <c r="G2395">
        <v>7191</v>
      </c>
      <c r="H2395" s="5" t="s">
        <v>101</v>
      </c>
      <c r="I2395" s="15">
        <v>45212</v>
      </c>
      <c r="J2395" s="15" t="s">
        <v>295</v>
      </c>
      <c r="K2395" s="6">
        <v>0.48402777777777778</v>
      </c>
      <c r="L2395" t="s">
        <v>145</v>
      </c>
      <c r="M2395">
        <v>1000000</v>
      </c>
      <c r="N2395" t="s">
        <v>203</v>
      </c>
      <c r="O2395" t="s">
        <v>151</v>
      </c>
      <c r="P2395">
        <v>38</v>
      </c>
      <c r="Q2395" t="s">
        <v>157</v>
      </c>
    </row>
    <row r="2396" spans="1:17" x14ac:dyDescent="0.2">
      <c r="A2396">
        <v>1622340</v>
      </c>
      <c r="B2396">
        <v>1487</v>
      </c>
      <c r="C2396" s="1" t="s">
        <v>107</v>
      </c>
      <c r="D2396" s="11">
        <v>45052.009722222225</v>
      </c>
      <c r="E2396" t="s">
        <v>191</v>
      </c>
      <c r="F2396" t="s">
        <v>4</v>
      </c>
      <c r="G2396">
        <v>4769</v>
      </c>
      <c r="H2396" s="5" t="s">
        <v>107</v>
      </c>
      <c r="I2396" s="15">
        <v>45052</v>
      </c>
      <c r="J2396" s="15" t="s">
        <v>233</v>
      </c>
      <c r="K2396" s="6">
        <v>0.50972222222222219</v>
      </c>
      <c r="L2396" t="s">
        <v>142</v>
      </c>
      <c r="M2396">
        <v>200000</v>
      </c>
      <c r="N2396" t="s">
        <v>197</v>
      </c>
      <c r="O2396" t="s">
        <v>151</v>
      </c>
      <c r="P2396">
        <v>76</v>
      </c>
      <c r="Q2396" t="s">
        <v>156</v>
      </c>
    </row>
    <row r="2397" spans="1:17" x14ac:dyDescent="0.2">
      <c r="A2397">
        <v>1622599</v>
      </c>
      <c r="B2397">
        <v>453</v>
      </c>
      <c r="C2397" s="1" t="s">
        <v>100</v>
      </c>
      <c r="D2397" s="11">
        <v>44940.993750000001</v>
      </c>
      <c r="E2397" t="s">
        <v>97</v>
      </c>
      <c r="F2397" t="s">
        <v>19</v>
      </c>
      <c r="G2397">
        <v>8568</v>
      </c>
      <c r="H2397" s="5" t="s">
        <v>100</v>
      </c>
      <c r="I2397" s="15">
        <v>44940</v>
      </c>
      <c r="J2397" s="15" t="s">
        <v>232</v>
      </c>
      <c r="K2397" s="6">
        <v>0.49375000000000002</v>
      </c>
      <c r="L2397" t="s">
        <v>142</v>
      </c>
      <c r="M2397">
        <v>150000</v>
      </c>
      <c r="N2397" t="s">
        <v>211</v>
      </c>
      <c r="O2397" t="s">
        <v>151</v>
      </c>
      <c r="P2397">
        <v>52</v>
      </c>
      <c r="Q2397" t="s">
        <v>154</v>
      </c>
    </row>
    <row r="2398" spans="1:17" x14ac:dyDescent="0.2">
      <c r="A2398">
        <v>1624567</v>
      </c>
      <c r="B2398">
        <v>977</v>
      </c>
      <c r="C2398" s="1" t="s">
        <v>113</v>
      </c>
      <c r="D2398" s="11">
        <v>45127.081944444442</v>
      </c>
      <c r="E2398" t="s">
        <v>98</v>
      </c>
      <c r="F2398" t="s">
        <v>82</v>
      </c>
      <c r="G2398">
        <v>1814</v>
      </c>
      <c r="H2398" s="5" t="s">
        <v>113</v>
      </c>
      <c r="I2398" s="15">
        <v>45127</v>
      </c>
      <c r="J2398" s="15" t="s">
        <v>234</v>
      </c>
      <c r="K2398" s="6">
        <v>8.1944444444444445E-2</v>
      </c>
      <c r="L2398" t="s">
        <v>142</v>
      </c>
      <c r="M2398">
        <v>100000</v>
      </c>
      <c r="N2398" t="s">
        <v>209</v>
      </c>
      <c r="O2398" t="s">
        <v>151</v>
      </c>
      <c r="P2398">
        <v>31</v>
      </c>
      <c r="Q2398" t="s">
        <v>155</v>
      </c>
    </row>
    <row r="2399" spans="1:17" x14ac:dyDescent="0.2">
      <c r="A2399">
        <v>1625256</v>
      </c>
      <c r="B2399">
        <v>1551</v>
      </c>
      <c r="C2399" s="1" t="s">
        <v>99</v>
      </c>
      <c r="D2399" s="11">
        <v>45168.078472222223</v>
      </c>
      <c r="E2399" t="s">
        <v>191</v>
      </c>
      <c r="F2399" t="s">
        <v>21</v>
      </c>
      <c r="G2399">
        <v>2960</v>
      </c>
      <c r="H2399" s="5" t="s">
        <v>99</v>
      </c>
      <c r="I2399" s="15">
        <v>45168</v>
      </c>
      <c r="J2399" s="15" t="s">
        <v>234</v>
      </c>
      <c r="K2399" s="6">
        <v>7.8472222222222221E-2</v>
      </c>
      <c r="L2399" t="s">
        <v>142</v>
      </c>
      <c r="M2399">
        <v>150000</v>
      </c>
      <c r="N2399" t="s">
        <v>211</v>
      </c>
      <c r="O2399" t="s">
        <v>151</v>
      </c>
      <c r="P2399">
        <v>21</v>
      </c>
      <c r="Q2399" t="s">
        <v>157</v>
      </c>
    </row>
    <row r="2400" spans="1:17" x14ac:dyDescent="0.2">
      <c r="A2400">
        <v>1625678</v>
      </c>
      <c r="B2400">
        <v>239</v>
      </c>
      <c r="C2400" s="1" t="s">
        <v>113</v>
      </c>
      <c r="D2400" s="11">
        <v>45078.008333333331</v>
      </c>
      <c r="E2400" t="s">
        <v>96</v>
      </c>
      <c r="F2400" t="s">
        <v>66</v>
      </c>
      <c r="G2400">
        <v>1366</v>
      </c>
      <c r="H2400" s="5" t="s">
        <v>113</v>
      </c>
      <c r="I2400" s="15">
        <v>45078</v>
      </c>
      <c r="J2400" s="15" t="s">
        <v>233</v>
      </c>
      <c r="K2400" s="6">
        <v>0.5083333333333333</v>
      </c>
      <c r="L2400" t="s">
        <v>144</v>
      </c>
      <c r="M2400">
        <v>150000</v>
      </c>
      <c r="N2400" t="s">
        <v>224</v>
      </c>
      <c r="O2400" t="s">
        <v>152</v>
      </c>
      <c r="P2400">
        <v>77</v>
      </c>
      <c r="Q2400" t="s">
        <v>154</v>
      </c>
    </row>
    <row r="2401" spans="1:17" x14ac:dyDescent="0.2">
      <c r="A2401">
        <v>1625859</v>
      </c>
      <c r="B2401">
        <v>1409</v>
      </c>
      <c r="C2401" s="1" t="s">
        <v>99</v>
      </c>
      <c r="D2401" s="11">
        <v>45124.994444444441</v>
      </c>
      <c r="E2401" t="s">
        <v>97</v>
      </c>
      <c r="F2401" t="s">
        <v>27</v>
      </c>
      <c r="G2401">
        <v>3766</v>
      </c>
      <c r="H2401" s="5" t="s">
        <v>99</v>
      </c>
      <c r="I2401" s="15">
        <v>45124</v>
      </c>
      <c r="J2401" s="15" t="s">
        <v>234</v>
      </c>
      <c r="K2401" s="6">
        <v>0.49444444444444446</v>
      </c>
      <c r="L2401" t="s">
        <v>142</v>
      </c>
      <c r="M2401">
        <v>1000000</v>
      </c>
      <c r="N2401" t="s">
        <v>209</v>
      </c>
      <c r="O2401" t="s">
        <v>152</v>
      </c>
      <c r="P2401">
        <v>63</v>
      </c>
      <c r="Q2401" t="s">
        <v>156</v>
      </c>
    </row>
    <row r="2402" spans="1:17" x14ac:dyDescent="0.2">
      <c r="A2402">
        <v>1626780</v>
      </c>
      <c r="B2402">
        <v>230</v>
      </c>
      <c r="C2402" s="1" t="s">
        <v>99</v>
      </c>
      <c r="D2402" s="11">
        <v>45285.977777777778</v>
      </c>
      <c r="E2402" t="s">
        <v>98</v>
      </c>
      <c r="F2402" t="s">
        <v>5</v>
      </c>
      <c r="G2402">
        <v>3369</v>
      </c>
      <c r="H2402" s="5" t="s">
        <v>99</v>
      </c>
      <c r="I2402" s="15">
        <v>45285</v>
      </c>
      <c r="J2402" s="15" t="s">
        <v>295</v>
      </c>
      <c r="K2402" s="6">
        <v>0.4777777777777778</v>
      </c>
      <c r="L2402" t="s">
        <v>143</v>
      </c>
      <c r="M2402">
        <v>200000</v>
      </c>
      <c r="N2402" t="s">
        <v>198</v>
      </c>
      <c r="O2402" t="s">
        <v>151</v>
      </c>
      <c r="P2402">
        <v>79</v>
      </c>
      <c r="Q2402" t="s">
        <v>154</v>
      </c>
    </row>
    <row r="2403" spans="1:17" x14ac:dyDescent="0.2">
      <c r="A2403">
        <v>1627081</v>
      </c>
      <c r="B2403">
        <v>741</v>
      </c>
      <c r="C2403" s="1" t="s">
        <v>99</v>
      </c>
      <c r="D2403" s="11">
        <v>44935.066666666666</v>
      </c>
      <c r="E2403" t="s">
        <v>96</v>
      </c>
      <c r="F2403" t="s">
        <v>43</v>
      </c>
      <c r="G2403">
        <v>5636</v>
      </c>
      <c r="H2403" s="5" t="s">
        <v>99</v>
      </c>
      <c r="I2403" s="15">
        <v>44935</v>
      </c>
      <c r="J2403" s="15" t="s">
        <v>232</v>
      </c>
      <c r="K2403" s="6">
        <v>6.6666666666666666E-2</v>
      </c>
      <c r="L2403" t="s">
        <v>145</v>
      </c>
      <c r="M2403">
        <v>1000000</v>
      </c>
      <c r="N2403" t="s">
        <v>203</v>
      </c>
      <c r="O2403" t="s">
        <v>152</v>
      </c>
      <c r="P2403">
        <v>25</v>
      </c>
      <c r="Q2403" t="s">
        <v>155</v>
      </c>
    </row>
    <row r="2404" spans="1:17" x14ac:dyDescent="0.2">
      <c r="A2404">
        <v>1628939</v>
      </c>
      <c r="B2404">
        <v>1474</v>
      </c>
      <c r="C2404" s="1" t="s">
        <v>99</v>
      </c>
      <c r="D2404" s="11">
        <v>45174.037499999999</v>
      </c>
      <c r="E2404" t="s">
        <v>98</v>
      </c>
      <c r="F2404" t="s">
        <v>27</v>
      </c>
      <c r="G2404">
        <v>4675</v>
      </c>
      <c r="H2404" s="5" t="s">
        <v>99</v>
      </c>
      <c r="I2404" s="15">
        <v>45174</v>
      </c>
      <c r="J2404" s="15" t="s">
        <v>234</v>
      </c>
      <c r="K2404" s="6">
        <v>0.53749999999999998</v>
      </c>
      <c r="L2404" t="s">
        <v>142</v>
      </c>
      <c r="M2404">
        <v>1000000</v>
      </c>
      <c r="N2404" t="s">
        <v>209</v>
      </c>
      <c r="O2404" t="s">
        <v>151</v>
      </c>
      <c r="P2404">
        <v>25</v>
      </c>
      <c r="Q2404" t="s">
        <v>156</v>
      </c>
    </row>
    <row r="2405" spans="1:17" x14ac:dyDescent="0.2">
      <c r="A2405">
        <v>1629259</v>
      </c>
      <c r="B2405">
        <v>1982</v>
      </c>
      <c r="C2405" s="1" t="s">
        <v>107</v>
      </c>
      <c r="D2405" s="11">
        <v>45166.054861111108</v>
      </c>
      <c r="E2405" t="s">
        <v>97</v>
      </c>
      <c r="F2405" t="s">
        <v>6</v>
      </c>
      <c r="G2405">
        <v>9052</v>
      </c>
      <c r="H2405" s="5" t="s">
        <v>107</v>
      </c>
      <c r="I2405" s="15">
        <v>45166</v>
      </c>
      <c r="J2405" s="15" t="s">
        <v>234</v>
      </c>
      <c r="K2405" s="6">
        <v>5.486111111111111E-2</v>
      </c>
      <c r="L2405" t="s">
        <v>144</v>
      </c>
      <c r="M2405">
        <v>100000</v>
      </c>
      <c r="N2405" t="s">
        <v>199</v>
      </c>
      <c r="O2405" t="s">
        <v>152</v>
      </c>
      <c r="P2405">
        <v>74</v>
      </c>
      <c r="Q2405" t="s">
        <v>157</v>
      </c>
    </row>
    <row r="2406" spans="1:17" x14ac:dyDescent="0.2">
      <c r="A2406">
        <v>1629885</v>
      </c>
      <c r="B2406">
        <v>366</v>
      </c>
      <c r="C2406" s="1" t="s">
        <v>113</v>
      </c>
      <c r="D2406" s="11">
        <v>45169.997916666667</v>
      </c>
      <c r="E2406" t="s">
        <v>96</v>
      </c>
      <c r="F2406" t="s">
        <v>27</v>
      </c>
      <c r="G2406">
        <v>6675</v>
      </c>
      <c r="H2406" s="5" t="s">
        <v>113</v>
      </c>
      <c r="I2406" s="15">
        <v>45169</v>
      </c>
      <c r="J2406" s="15" t="s">
        <v>234</v>
      </c>
      <c r="K2406" s="6">
        <v>0.49791666666666667</v>
      </c>
      <c r="L2406" t="s">
        <v>142</v>
      </c>
      <c r="M2406">
        <v>1000000</v>
      </c>
      <c r="N2406" t="s">
        <v>209</v>
      </c>
      <c r="O2406" t="s">
        <v>152</v>
      </c>
      <c r="P2406">
        <v>79</v>
      </c>
      <c r="Q2406" t="s">
        <v>154</v>
      </c>
    </row>
    <row r="2407" spans="1:17" x14ac:dyDescent="0.2">
      <c r="A2407">
        <v>1629891</v>
      </c>
      <c r="B2407">
        <v>1088</v>
      </c>
      <c r="C2407" s="1" t="s">
        <v>113</v>
      </c>
      <c r="D2407" s="11">
        <v>45097.015972222223</v>
      </c>
      <c r="E2407" t="s">
        <v>96</v>
      </c>
      <c r="F2407" t="s">
        <v>18</v>
      </c>
      <c r="G2407">
        <v>5428</v>
      </c>
      <c r="H2407" s="5" t="s">
        <v>113</v>
      </c>
      <c r="I2407" s="15">
        <v>45097</v>
      </c>
      <c r="J2407" s="15" t="s">
        <v>233</v>
      </c>
      <c r="K2407" s="6">
        <v>0.51597222222222228</v>
      </c>
      <c r="L2407" t="s">
        <v>145</v>
      </c>
      <c r="M2407">
        <v>200000</v>
      </c>
      <c r="N2407" t="s">
        <v>210</v>
      </c>
      <c r="O2407" t="s">
        <v>152</v>
      </c>
      <c r="P2407">
        <v>72</v>
      </c>
      <c r="Q2407" t="s">
        <v>156</v>
      </c>
    </row>
    <row r="2408" spans="1:17" x14ac:dyDescent="0.2">
      <c r="A2408">
        <v>1630533</v>
      </c>
      <c r="B2408">
        <v>450</v>
      </c>
      <c r="C2408" s="1" t="s">
        <v>107</v>
      </c>
      <c r="D2408" s="11">
        <v>45027.031944444447</v>
      </c>
      <c r="E2408" t="s">
        <v>96</v>
      </c>
      <c r="F2408" t="s">
        <v>27</v>
      </c>
      <c r="G2408">
        <v>1269</v>
      </c>
      <c r="H2408" s="5" t="s">
        <v>107</v>
      </c>
      <c r="I2408" s="15">
        <v>45027</v>
      </c>
      <c r="J2408" s="15" t="s">
        <v>233</v>
      </c>
      <c r="K2408" s="6">
        <v>0.53194444444444444</v>
      </c>
      <c r="L2408" t="s">
        <v>142</v>
      </c>
      <c r="M2408">
        <v>1000000</v>
      </c>
      <c r="N2408" t="s">
        <v>209</v>
      </c>
      <c r="O2408" t="s">
        <v>152</v>
      </c>
      <c r="P2408">
        <v>53</v>
      </c>
      <c r="Q2408" t="s">
        <v>154</v>
      </c>
    </row>
    <row r="2409" spans="1:17" x14ac:dyDescent="0.2">
      <c r="A2409">
        <v>1630634</v>
      </c>
      <c r="B2409">
        <v>400</v>
      </c>
      <c r="C2409" s="1" t="s">
        <v>101</v>
      </c>
      <c r="D2409" s="11">
        <v>44995.044444444444</v>
      </c>
      <c r="E2409" t="s">
        <v>191</v>
      </c>
      <c r="F2409" t="s">
        <v>30</v>
      </c>
      <c r="G2409">
        <v>4641</v>
      </c>
      <c r="H2409" s="5" t="s">
        <v>101</v>
      </c>
      <c r="I2409" s="15">
        <v>44995</v>
      </c>
      <c r="J2409" s="15" t="s">
        <v>232</v>
      </c>
      <c r="K2409" s="6">
        <v>4.4444444444444446E-2</v>
      </c>
      <c r="L2409" t="s">
        <v>144</v>
      </c>
      <c r="M2409">
        <v>200000</v>
      </c>
      <c r="N2409" t="s">
        <v>216</v>
      </c>
      <c r="O2409" t="s">
        <v>151</v>
      </c>
      <c r="P2409">
        <v>80</v>
      </c>
      <c r="Q2409" t="s">
        <v>154</v>
      </c>
    </row>
    <row r="2410" spans="1:17" x14ac:dyDescent="0.2">
      <c r="A2410">
        <v>1631258</v>
      </c>
      <c r="B2410">
        <v>1613</v>
      </c>
      <c r="C2410" s="1" t="s">
        <v>99</v>
      </c>
      <c r="D2410" s="11">
        <v>45262.995833333334</v>
      </c>
      <c r="E2410" t="s">
        <v>98</v>
      </c>
      <c r="F2410" t="s">
        <v>78</v>
      </c>
      <c r="G2410">
        <v>382</v>
      </c>
      <c r="H2410" s="5" t="s">
        <v>99</v>
      </c>
      <c r="I2410" s="15">
        <v>45262</v>
      </c>
      <c r="J2410" s="15" t="s">
        <v>295</v>
      </c>
      <c r="K2410" s="6">
        <v>0.49583333333333335</v>
      </c>
      <c r="L2410" t="s">
        <v>143</v>
      </c>
      <c r="M2410">
        <v>200000</v>
      </c>
      <c r="N2410" t="s">
        <v>215</v>
      </c>
      <c r="O2410" t="s">
        <v>151</v>
      </c>
      <c r="P2410">
        <v>71</v>
      </c>
      <c r="Q2410" t="s">
        <v>157</v>
      </c>
    </row>
    <row r="2411" spans="1:17" x14ac:dyDescent="0.2">
      <c r="A2411">
        <v>1631401</v>
      </c>
      <c r="B2411">
        <v>932</v>
      </c>
      <c r="C2411" s="1" t="s">
        <v>110</v>
      </c>
      <c r="D2411" s="11">
        <v>45102.07916666667</v>
      </c>
      <c r="E2411" t="s">
        <v>191</v>
      </c>
      <c r="F2411" t="s">
        <v>43</v>
      </c>
      <c r="G2411">
        <v>638</v>
      </c>
      <c r="H2411" s="5" t="s">
        <v>110</v>
      </c>
      <c r="I2411" s="15">
        <v>45102</v>
      </c>
      <c r="J2411" s="15" t="s">
        <v>233</v>
      </c>
      <c r="K2411" s="6">
        <v>7.9166666666666663E-2</v>
      </c>
      <c r="L2411" t="s">
        <v>145</v>
      </c>
      <c r="M2411">
        <v>1000000</v>
      </c>
      <c r="N2411" t="s">
        <v>203</v>
      </c>
      <c r="O2411" t="s">
        <v>152</v>
      </c>
      <c r="P2411">
        <v>61</v>
      </c>
      <c r="Q2411" t="s">
        <v>155</v>
      </c>
    </row>
    <row r="2412" spans="1:17" x14ac:dyDescent="0.2">
      <c r="A2412">
        <v>1632433</v>
      </c>
      <c r="B2412">
        <v>520</v>
      </c>
      <c r="C2412" s="1" t="s">
        <v>105</v>
      </c>
      <c r="D2412" s="11">
        <v>45204.003472222219</v>
      </c>
      <c r="E2412" t="s">
        <v>98</v>
      </c>
      <c r="F2412" t="s">
        <v>27</v>
      </c>
      <c r="G2412">
        <v>2927</v>
      </c>
      <c r="H2412" s="5" t="s">
        <v>105</v>
      </c>
      <c r="I2412" s="15">
        <v>45204</v>
      </c>
      <c r="J2412" s="15" t="s">
        <v>295</v>
      </c>
      <c r="K2412" s="6">
        <v>0.50347222222222221</v>
      </c>
      <c r="L2412" t="s">
        <v>142</v>
      </c>
      <c r="M2412">
        <v>1000000</v>
      </c>
      <c r="N2412" t="s">
        <v>209</v>
      </c>
      <c r="O2412" t="s">
        <v>151</v>
      </c>
      <c r="P2412">
        <v>81</v>
      </c>
      <c r="Q2412" t="s">
        <v>155</v>
      </c>
    </row>
    <row r="2413" spans="1:17" x14ac:dyDescent="0.2">
      <c r="A2413">
        <v>1632791</v>
      </c>
      <c r="B2413">
        <v>1581</v>
      </c>
      <c r="C2413" s="1" t="s">
        <v>99</v>
      </c>
      <c r="D2413" s="11">
        <v>45209.977083333331</v>
      </c>
      <c r="E2413" t="s">
        <v>96</v>
      </c>
      <c r="F2413" t="s">
        <v>30</v>
      </c>
      <c r="G2413">
        <v>3408</v>
      </c>
      <c r="H2413" s="5" t="s">
        <v>99</v>
      </c>
      <c r="I2413" s="15">
        <v>45209</v>
      </c>
      <c r="J2413" s="15" t="s">
        <v>295</v>
      </c>
      <c r="K2413" s="6">
        <v>0.47708333333333336</v>
      </c>
      <c r="L2413" t="s">
        <v>144</v>
      </c>
      <c r="M2413">
        <v>200000</v>
      </c>
      <c r="N2413" t="s">
        <v>216</v>
      </c>
      <c r="O2413" t="s">
        <v>151</v>
      </c>
      <c r="P2413">
        <v>79</v>
      </c>
      <c r="Q2413" t="s">
        <v>157</v>
      </c>
    </row>
    <row r="2414" spans="1:17" x14ac:dyDescent="0.2">
      <c r="A2414">
        <v>1633524</v>
      </c>
      <c r="B2414">
        <v>1801</v>
      </c>
      <c r="C2414" s="1" t="s">
        <v>105</v>
      </c>
      <c r="D2414" s="11">
        <v>45119.007638888892</v>
      </c>
      <c r="E2414" t="s">
        <v>97</v>
      </c>
      <c r="F2414" t="s">
        <v>74</v>
      </c>
      <c r="G2414">
        <v>6028</v>
      </c>
      <c r="H2414" s="5" t="s">
        <v>105</v>
      </c>
      <c r="I2414" s="15">
        <v>45119</v>
      </c>
      <c r="J2414" s="15" t="s">
        <v>234</v>
      </c>
      <c r="K2414" s="6">
        <v>0.50763888888888886</v>
      </c>
      <c r="L2414" t="s">
        <v>145</v>
      </c>
      <c r="M2414">
        <v>150000</v>
      </c>
      <c r="N2414" t="s">
        <v>226</v>
      </c>
      <c r="O2414" t="s">
        <v>152</v>
      </c>
      <c r="P2414">
        <v>53</v>
      </c>
      <c r="Q2414" t="s">
        <v>157</v>
      </c>
    </row>
    <row r="2415" spans="1:17" x14ac:dyDescent="0.2">
      <c r="A2415">
        <v>1635379</v>
      </c>
      <c r="B2415">
        <v>1673</v>
      </c>
      <c r="C2415" s="1" t="s">
        <v>105</v>
      </c>
      <c r="D2415" s="11">
        <v>45028.033333333333</v>
      </c>
      <c r="E2415" t="s">
        <v>191</v>
      </c>
      <c r="F2415" t="s">
        <v>54</v>
      </c>
      <c r="G2415">
        <v>5543</v>
      </c>
      <c r="H2415" s="5" t="s">
        <v>105</v>
      </c>
      <c r="I2415" s="15">
        <v>45028</v>
      </c>
      <c r="J2415" s="15" t="s">
        <v>233</v>
      </c>
      <c r="K2415" s="6">
        <v>0.53333333333333333</v>
      </c>
      <c r="L2415" t="s">
        <v>144</v>
      </c>
      <c r="M2415">
        <v>100000</v>
      </c>
      <c r="N2415" t="s">
        <v>224</v>
      </c>
      <c r="O2415" t="s">
        <v>151</v>
      </c>
      <c r="P2415">
        <v>30</v>
      </c>
      <c r="Q2415" t="s">
        <v>157</v>
      </c>
    </row>
    <row r="2416" spans="1:17" x14ac:dyDescent="0.2">
      <c r="A2416">
        <v>1635597</v>
      </c>
      <c r="B2416">
        <v>1235</v>
      </c>
      <c r="C2416" s="1" t="s">
        <v>106</v>
      </c>
      <c r="D2416" s="11">
        <v>45172.964583333334</v>
      </c>
      <c r="E2416" t="s">
        <v>191</v>
      </c>
      <c r="F2416" t="s">
        <v>38</v>
      </c>
      <c r="G2416">
        <v>7590</v>
      </c>
      <c r="H2416" s="5" t="s">
        <v>106</v>
      </c>
      <c r="I2416" s="15">
        <v>45172</v>
      </c>
      <c r="J2416" s="15" t="s">
        <v>234</v>
      </c>
      <c r="K2416" s="6">
        <v>0.46458333333333335</v>
      </c>
      <c r="L2416" t="s">
        <v>143</v>
      </c>
      <c r="M2416">
        <v>100000</v>
      </c>
      <c r="N2416" t="s">
        <v>221</v>
      </c>
      <c r="O2416" t="s">
        <v>151</v>
      </c>
      <c r="P2416">
        <v>69</v>
      </c>
      <c r="Q2416" t="s">
        <v>156</v>
      </c>
    </row>
    <row r="2417" spans="1:17" x14ac:dyDescent="0.2">
      <c r="A2417">
        <v>1635802</v>
      </c>
      <c r="B2417">
        <v>1031</v>
      </c>
      <c r="C2417" s="1" t="s">
        <v>101</v>
      </c>
      <c r="D2417" s="11">
        <v>45287.994444444441</v>
      </c>
      <c r="E2417" t="s">
        <v>98</v>
      </c>
      <c r="F2417" t="s">
        <v>34</v>
      </c>
      <c r="G2417">
        <v>67</v>
      </c>
      <c r="H2417" s="5" t="s">
        <v>101</v>
      </c>
      <c r="I2417" s="15">
        <v>45287</v>
      </c>
      <c r="J2417" s="15" t="s">
        <v>295</v>
      </c>
      <c r="K2417" s="6">
        <v>0.49444444444444446</v>
      </c>
      <c r="L2417" t="s">
        <v>144</v>
      </c>
      <c r="M2417">
        <v>150000</v>
      </c>
      <c r="N2417" t="s">
        <v>218</v>
      </c>
      <c r="O2417" t="s">
        <v>151</v>
      </c>
      <c r="P2417">
        <v>40</v>
      </c>
      <c r="Q2417" t="s">
        <v>156</v>
      </c>
    </row>
    <row r="2418" spans="1:17" x14ac:dyDescent="0.2">
      <c r="A2418">
        <v>1638003</v>
      </c>
      <c r="B2418">
        <v>291</v>
      </c>
      <c r="C2418" s="1" t="s">
        <v>113</v>
      </c>
      <c r="D2418" s="11">
        <v>45260.949305555558</v>
      </c>
      <c r="E2418" t="s">
        <v>191</v>
      </c>
      <c r="F2418" t="s">
        <v>79</v>
      </c>
      <c r="G2418">
        <v>4753</v>
      </c>
      <c r="H2418" s="5" t="s">
        <v>113</v>
      </c>
      <c r="I2418" s="15">
        <v>45260</v>
      </c>
      <c r="J2418" s="15" t="s">
        <v>295</v>
      </c>
      <c r="K2418" s="6">
        <v>0.44930555555555557</v>
      </c>
      <c r="L2418" t="s">
        <v>143</v>
      </c>
      <c r="M2418">
        <v>50000</v>
      </c>
      <c r="N2418" t="s">
        <v>204</v>
      </c>
      <c r="O2418" t="s">
        <v>152</v>
      </c>
      <c r="P2418">
        <v>44</v>
      </c>
      <c r="Q2418" t="s">
        <v>154</v>
      </c>
    </row>
    <row r="2419" spans="1:17" x14ac:dyDescent="0.2">
      <c r="A2419">
        <v>1638963</v>
      </c>
      <c r="B2419">
        <v>1152</v>
      </c>
      <c r="C2419" s="1" t="s">
        <v>105</v>
      </c>
      <c r="D2419" s="11">
        <v>44991.063888888886</v>
      </c>
      <c r="E2419" t="s">
        <v>98</v>
      </c>
      <c r="F2419" t="s">
        <v>76</v>
      </c>
      <c r="G2419">
        <v>1352</v>
      </c>
      <c r="H2419" s="5" t="s">
        <v>105</v>
      </c>
      <c r="I2419" s="15">
        <v>44991</v>
      </c>
      <c r="J2419" s="15" t="s">
        <v>232</v>
      </c>
      <c r="K2419" s="6">
        <v>6.3888888888888884E-2</v>
      </c>
      <c r="L2419" t="s">
        <v>142</v>
      </c>
      <c r="M2419">
        <v>80000</v>
      </c>
      <c r="N2419" t="s">
        <v>201</v>
      </c>
      <c r="O2419" t="s">
        <v>151</v>
      </c>
      <c r="P2419">
        <v>67</v>
      </c>
      <c r="Q2419" t="s">
        <v>156</v>
      </c>
    </row>
    <row r="2420" spans="1:17" x14ac:dyDescent="0.2">
      <c r="A2420">
        <v>1639546</v>
      </c>
      <c r="B2420">
        <v>1491</v>
      </c>
      <c r="C2420" s="1" t="s">
        <v>99</v>
      </c>
      <c r="D2420" s="11">
        <v>45045.958333333336</v>
      </c>
      <c r="E2420" t="s">
        <v>97</v>
      </c>
      <c r="F2420" t="s">
        <v>77</v>
      </c>
      <c r="G2420">
        <v>4460</v>
      </c>
      <c r="H2420" s="5" t="s">
        <v>99</v>
      </c>
      <c r="I2420" s="15">
        <v>45045</v>
      </c>
      <c r="J2420" s="15" t="s">
        <v>233</v>
      </c>
      <c r="K2420" s="6">
        <v>0.45833333333333331</v>
      </c>
      <c r="L2420" t="s">
        <v>146</v>
      </c>
      <c r="M2420">
        <v>100000</v>
      </c>
      <c r="N2420" t="s">
        <v>222</v>
      </c>
      <c r="O2420" t="s">
        <v>152</v>
      </c>
      <c r="P2420">
        <v>67</v>
      </c>
      <c r="Q2420" t="s">
        <v>156</v>
      </c>
    </row>
    <row r="2421" spans="1:17" x14ac:dyDescent="0.2">
      <c r="A2421">
        <v>1639990</v>
      </c>
      <c r="B2421">
        <v>1616</v>
      </c>
      <c r="C2421" s="1" t="s">
        <v>99</v>
      </c>
      <c r="D2421" s="11">
        <v>45046.05972222222</v>
      </c>
      <c r="E2421" t="s">
        <v>191</v>
      </c>
      <c r="F2421" t="s">
        <v>22</v>
      </c>
      <c r="G2421">
        <v>3972</v>
      </c>
      <c r="H2421" s="5" t="s">
        <v>99</v>
      </c>
      <c r="I2421" s="15">
        <v>45046</v>
      </c>
      <c r="J2421" s="15" t="s">
        <v>233</v>
      </c>
      <c r="K2421" s="6">
        <v>5.9722222222222225E-2</v>
      </c>
      <c r="L2421" t="s">
        <v>144</v>
      </c>
      <c r="M2421">
        <v>100000</v>
      </c>
      <c r="N2421" t="s">
        <v>202</v>
      </c>
      <c r="O2421" t="s">
        <v>152</v>
      </c>
      <c r="P2421">
        <v>38</v>
      </c>
      <c r="Q2421" t="s">
        <v>157</v>
      </c>
    </row>
    <row r="2422" spans="1:17" x14ac:dyDescent="0.2">
      <c r="A2422">
        <v>1640444</v>
      </c>
      <c r="B2422">
        <v>823</v>
      </c>
      <c r="C2422" s="1" t="s">
        <v>100</v>
      </c>
      <c r="D2422" s="11">
        <v>44960.995833333334</v>
      </c>
      <c r="E2422" t="s">
        <v>98</v>
      </c>
      <c r="F2422" t="s">
        <v>43</v>
      </c>
      <c r="G2422">
        <v>6055</v>
      </c>
      <c r="H2422" s="5" t="s">
        <v>100</v>
      </c>
      <c r="I2422" s="15">
        <v>44960</v>
      </c>
      <c r="J2422" s="15" t="s">
        <v>232</v>
      </c>
      <c r="K2422" s="6">
        <v>0.49583333333333335</v>
      </c>
      <c r="L2422" t="s">
        <v>145</v>
      </c>
      <c r="M2422">
        <v>1000000</v>
      </c>
      <c r="N2422" t="s">
        <v>203</v>
      </c>
      <c r="O2422" t="s">
        <v>152</v>
      </c>
      <c r="P2422">
        <v>63</v>
      </c>
      <c r="Q2422" t="s">
        <v>155</v>
      </c>
    </row>
    <row r="2423" spans="1:17" x14ac:dyDescent="0.2">
      <c r="A2423">
        <v>1641043</v>
      </c>
      <c r="B2423">
        <v>42</v>
      </c>
      <c r="C2423" s="1" t="s">
        <v>105</v>
      </c>
      <c r="D2423" s="11">
        <v>44976.959722222222</v>
      </c>
      <c r="E2423" t="s">
        <v>96</v>
      </c>
      <c r="F2423" t="s">
        <v>4</v>
      </c>
      <c r="G2423">
        <v>8182</v>
      </c>
      <c r="H2423" s="5" t="s">
        <v>105</v>
      </c>
      <c r="I2423" s="15">
        <v>44976</v>
      </c>
      <c r="J2423" s="15" t="s">
        <v>232</v>
      </c>
      <c r="K2423" s="6">
        <v>0.4597222222222222</v>
      </c>
      <c r="L2423" t="s">
        <v>142</v>
      </c>
      <c r="M2423">
        <v>200000</v>
      </c>
      <c r="N2423" t="s">
        <v>197</v>
      </c>
      <c r="O2423" t="s">
        <v>152</v>
      </c>
      <c r="P2423">
        <v>43</v>
      </c>
      <c r="Q2423" t="s">
        <v>154</v>
      </c>
    </row>
    <row r="2424" spans="1:17" x14ac:dyDescent="0.2">
      <c r="A2424">
        <v>1641217</v>
      </c>
      <c r="B2424">
        <v>1098</v>
      </c>
      <c r="C2424" s="1" t="s">
        <v>106</v>
      </c>
      <c r="D2424" s="11">
        <v>45052.030555555553</v>
      </c>
      <c r="E2424" t="s">
        <v>98</v>
      </c>
      <c r="F2424" t="s">
        <v>81</v>
      </c>
      <c r="G2424">
        <v>8834</v>
      </c>
      <c r="H2424" s="5" t="s">
        <v>106</v>
      </c>
      <c r="I2424" s="15">
        <v>45052</v>
      </c>
      <c r="J2424" s="15" t="s">
        <v>233</v>
      </c>
      <c r="K2424" s="6">
        <v>0.53055555555555556</v>
      </c>
      <c r="L2424" t="s">
        <v>143</v>
      </c>
      <c r="M2424">
        <v>250000</v>
      </c>
      <c r="N2424" t="s">
        <v>221</v>
      </c>
      <c r="O2424" t="s">
        <v>151</v>
      </c>
      <c r="P2424">
        <v>31</v>
      </c>
      <c r="Q2424" t="s">
        <v>156</v>
      </c>
    </row>
    <row r="2425" spans="1:17" x14ac:dyDescent="0.2">
      <c r="A2425">
        <v>1642122</v>
      </c>
      <c r="B2425">
        <v>143</v>
      </c>
      <c r="C2425" s="1" t="s">
        <v>99</v>
      </c>
      <c r="D2425" s="11">
        <v>45227.011805555558</v>
      </c>
      <c r="E2425" t="s">
        <v>97</v>
      </c>
      <c r="F2425" t="s">
        <v>82</v>
      </c>
      <c r="G2425">
        <v>819</v>
      </c>
      <c r="H2425" s="5" t="s">
        <v>99</v>
      </c>
      <c r="I2425" s="15">
        <v>45227</v>
      </c>
      <c r="J2425" s="15" t="s">
        <v>295</v>
      </c>
      <c r="K2425" s="6">
        <v>0.51180555555555551</v>
      </c>
      <c r="L2425" t="s">
        <v>142</v>
      </c>
      <c r="M2425">
        <v>100000</v>
      </c>
      <c r="N2425" t="s">
        <v>209</v>
      </c>
      <c r="O2425" t="s">
        <v>151</v>
      </c>
      <c r="P2425">
        <v>46</v>
      </c>
      <c r="Q2425" t="s">
        <v>154</v>
      </c>
    </row>
    <row r="2426" spans="1:17" x14ac:dyDescent="0.2">
      <c r="A2426">
        <v>1642131</v>
      </c>
      <c r="B2426">
        <v>368</v>
      </c>
      <c r="C2426" s="1" t="s">
        <v>102</v>
      </c>
      <c r="D2426" s="11">
        <v>45123.013888888891</v>
      </c>
      <c r="E2426" t="s">
        <v>96</v>
      </c>
      <c r="F2426" t="s">
        <v>21</v>
      </c>
      <c r="G2426">
        <v>419</v>
      </c>
      <c r="H2426" s="5" t="s">
        <v>102</v>
      </c>
      <c r="I2426" s="15">
        <v>45123</v>
      </c>
      <c r="J2426" s="15" t="s">
        <v>234</v>
      </c>
      <c r="K2426" s="6">
        <v>0.51388888888888884</v>
      </c>
      <c r="L2426" t="s">
        <v>142</v>
      </c>
      <c r="M2426">
        <v>150000</v>
      </c>
      <c r="N2426" t="s">
        <v>211</v>
      </c>
      <c r="O2426" t="s">
        <v>152</v>
      </c>
      <c r="P2426">
        <v>58</v>
      </c>
      <c r="Q2426" t="s">
        <v>154</v>
      </c>
    </row>
    <row r="2427" spans="1:17" x14ac:dyDescent="0.2">
      <c r="A2427">
        <v>1642677</v>
      </c>
      <c r="B2427">
        <v>387</v>
      </c>
      <c r="C2427" s="1" t="s">
        <v>101</v>
      </c>
      <c r="D2427" s="11">
        <v>44961.965277777781</v>
      </c>
      <c r="E2427" t="s">
        <v>97</v>
      </c>
      <c r="F2427" t="s">
        <v>31</v>
      </c>
      <c r="G2427">
        <v>8906</v>
      </c>
      <c r="H2427" s="5" t="s">
        <v>101</v>
      </c>
      <c r="I2427" s="15">
        <v>44961</v>
      </c>
      <c r="J2427" s="15" t="s">
        <v>232</v>
      </c>
      <c r="K2427" s="6">
        <v>0.46527777777777779</v>
      </c>
      <c r="L2427" t="s">
        <v>143</v>
      </c>
      <c r="M2427">
        <v>80000</v>
      </c>
      <c r="N2427" t="s">
        <v>204</v>
      </c>
      <c r="O2427" t="s">
        <v>152</v>
      </c>
      <c r="P2427">
        <v>41</v>
      </c>
      <c r="Q2427" t="s">
        <v>154</v>
      </c>
    </row>
    <row r="2428" spans="1:17" x14ac:dyDescent="0.2">
      <c r="A2428">
        <v>1643238</v>
      </c>
      <c r="B2428">
        <v>455</v>
      </c>
      <c r="C2428" s="1" t="s">
        <v>109</v>
      </c>
      <c r="D2428" s="11">
        <v>45016.083333333336</v>
      </c>
      <c r="E2428" t="s">
        <v>191</v>
      </c>
      <c r="F2428" t="s">
        <v>27</v>
      </c>
      <c r="G2428">
        <v>3777</v>
      </c>
      <c r="H2428" s="5" t="s">
        <v>109</v>
      </c>
      <c r="I2428" s="15">
        <v>45016</v>
      </c>
      <c r="J2428" s="15" t="s">
        <v>232</v>
      </c>
      <c r="K2428" s="6">
        <v>8.3333333333333329E-2</v>
      </c>
      <c r="L2428" t="s">
        <v>142</v>
      </c>
      <c r="M2428">
        <v>1000000</v>
      </c>
      <c r="N2428" t="s">
        <v>209</v>
      </c>
      <c r="O2428" t="s">
        <v>152</v>
      </c>
      <c r="P2428">
        <v>52</v>
      </c>
      <c r="Q2428" t="s">
        <v>154</v>
      </c>
    </row>
    <row r="2429" spans="1:17" x14ac:dyDescent="0.2">
      <c r="A2429">
        <v>1643298</v>
      </c>
      <c r="B2429">
        <v>1699</v>
      </c>
      <c r="C2429" s="1" t="s">
        <v>101</v>
      </c>
      <c r="D2429" s="11">
        <v>45035.989583333336</v>
      </c>
      <c r="E2429" t="s">
        <v>98</v>
      </c>
      <c r="F2429" t="s">
        <v>5</v>
      </c>
      <c r="G2429">
        <v>6207</v>
      </c>
      <c r="H2429" s="5" t="s">
        <v>101</v>
      </c>
      <c r="I2429" s="15">
        <v>45035</v>
      </c>
      <c r="J2429" s="15" t="s">
        <v>233</v>
      </c>
      <c r="K2429" s="6">
        <v>0.48958333333333331</v>
      </c>
      <c r="L2429" t="s">
        <v>143</v>
      </c>
      <c r="M2429">
        <v>200000</v>
      </c>
      <c r="N2429" t="s">
        <v>198</v>
      </c>
      <c r="O2429" t="s">
        <v>152</v>
      </c>
      <c r="P2429">
        <v>21</v>
      </c>
      <c r="Q2429" t="s">
        <v>157</v>
      </c>
    </row>
    <row r="2430" spans="1:17" x14ac:dyDescent="0.2">
      <c r="A2430">
        <v>1644933</v>
      </c>
      <c r="B2430">
        <v>164</v>
      </c>
      <c r="C2430" s="1" t="s">
        <v>99</v>
      </c>
      <c r="D2430" s="11">
        <v>45127.020138888889</v>
      </c>
      <c r="E2430" t="s">
        <v>97</v>
      </c>
      <c r="F2430" t="s">
        <v>39</v>
      </c>
      <c r="G2430">
        <v>3831</v>
      </c>
      <c r="H2430" s="5" t="s">
        <v>99</v>
      </c>
      <c r="I2430" s="15">
        <v>45127</v>
      </c>
      <c r="J2430" s="15" t="s">
        <v>234</v>
      </c>
      <c r="K2430" s="6">
        <v>0.52013888888888893</v>
      </c>
      <c r="L2430" t="s">
        <v>146</v>
      </c>
      <c r="M2430">
        <v>100000</v>
      </c>
      <c r="N2430" t="s">
        <v>212</v>
      </c>
      <c r="O2430" t="s">
        <v>151</v>
      </c>
      <c r="P2430">
        <v>36</v>
      </c>
      <c r="Q2430" t="s">
        <v>154</v>
      </c>
    </row>
    <row r="2431" spans="1:17" x14ac:dyDescent="0.2">
      <c r="A2431">
        <v>1644988</v>
      </c>
      <c r="B2431">
        <v>1400</v>
      </c>
      <c r="C2431" s="1" t="s">
        <v>99</v>
      </c>
      <c r="D2431" s="11">
        <v>45226.024305555555</v>
      </c>
      <c r="E2431" t="s">
        <v>98</v>
      </c>
      <c r="F2431" t="s">
        <v>27</v>
      </c>
      <c r="G2431">
        <v>523</v>
      </c>
      <c r="H2431" s="5" t="s">
        <v>99</v>
      </c>
      <c r="I2431" s="15">
        <v>45226</v>
      </c>
      <c r="J2431" s="15" t="s">
        <v>295</v>
      </c>
      <c r="K2431" s="6">
        <v>0.52430555555555558</v>
      </c>
      <c r="L2431" t="s">
        <v>142</v>
      </c>
      <c r="M2431">
        <v>1000000</v>
      </c>
      <c r="N2431" t="s">
        <v>209</v>
      </c>
      <c r="O2431" t="s">
        <v>152</v>
      </c>
      <c r="P2431">
        <v>34</v>
      </c>
      <c r="Q2431" t="s">
        <v>156</v>
      </c>
    </row>
    <row r="2432" spans="1:17" x14ac:dyDescent="0.2">
      <c r="A2432">
        <v>1646606</v>
      </c>
      <c r="B2432">
        <v>654</v>
      </c>
      <c r="C2432" s="1" t="s">
        <v>100</v>
      </c>
      <c r="D2432" s="11">
        <v>45243.981249999997</v>
      </c>
      <c r="E2432" t="s">
        <v>97</v>
      </c>
      <c r="F2432" t="s">
        <v>6</v>
      </c>
      <c r="G2432">
        <v>673</v>
      </c>
      <c r="H2432" s="5" t="s">
        <v>100</v>
      </c>
      <c r="I2432" s="15">
        <v>45243</v>
      </c>
      <c r="J2432" s="15" t="s">
        <v>295</v>
      </c>
      <c r="K2432" s="6">
        <v>0.48125000000000001</v>
      </c>
      <c r="L2432" t="s">
        <v>144</v>
      </c>
      <c r="M2432">
        <v>100000</v>
      </c>
      <c r="N2432" t="s">
        <v>199</v>
      </c>
      <c r="O2432" t="s">
        <v>151</v>
      </c>
      <c r="P2432">
        <v>51</v>
      </c>
      <c r="Q2432" t="s">
        <v>155</v>
      </c>
    </row>
    <row r="2433" spans="1:17" x14ac:dyDescent="0.2">
      <c r="A2433">
        <v>1646930</v>
      </c>
      <c r="B2433">
        <v>146</v>
      </c>
      <c r="C2433" s="1" t="s">
        <v>103</v>
      </c>
      <c r="D2433" s="11">
        <v>45087.04791666667</v>
      </c>
      <c r="E2433" t="s">
        <v>96</v>
      </c>
      <c r="F2433" t="s">
        <v>17</v>
      </c>
      <c r="G2433">
        <v>5619</v>
      </c>
      <c r="H2433" s="5" t="s">
        <v>103</v>
      </c>
      <c r="I2433" s="15">
        <v>45087</v>
      </c>
      <c r="J2433" s="15" t="s">
        <v>233</v>
      </c>
      <c r="K2433" s="6">
        <v>4.791666666666667E-2</v>
      </c>
      <c r="L2433" t="s">
        <v>142</v>
      </c>
      <c r="M2433">
        <v>100000</v>
      </c>
      <c r="N2433" t="s">
        <v>209</v>
      </c>
      <c r="O2433" t="s">
        <v>151</v>
      </c>
      <c r="P2433">
        <v>85</v>
      </c>
      <c r="Q2433" t="s">
        <v>154</v>
      </c>
    </row>
    <row r="2434" spans="1:17" x14ac:dyDescent="0.2">
      <c r="A2434">
        <v>1646954</v>
      </c>
      <c r="B2434">
        <v>275</v>
      </c>
      <c r="C2434" s="1" t="s">
        <v>107</v>
      </c>
      <c r="D2434" s="11">
        <v>44949.023611111108</v>
      </c>
      <c r="E2434" t="s">
        <v>98</v>
      </c>
      <c r="F2434" t="s">
        <v>70</v>
      </c>
      <c r="G2434">
        <v>4944</v>
      </c>
      <c r="H2434" s="5" t="s">
        <v>107</v>
      </c>
      <c r="I2434" s="15">
        <v>44949</v>
      </c>
      <c r="J2434" s="15" t="s">
        <v>232</v>
      </c>
      <c r="K2434" s="6">
        <v>0.52361111111111114</v>
      </c>
      <c r="L2434" t="s">
        <v>143</v>
      </c>
      <c r="M2434">
        <v>100000</v>
      </c>
      <c r="N2434" t="s">
        <v>205</v>
      </c>
      <c r="O2434" t="s">
        <v>152</v>
      </c>
      <c r="P2434">
        <v>42</v>
      </c>
      <c r="Q2434" t="s">
        <v>154</v>
      </c>
    </row>
    <row r="2435" spans="1:17" x14ac:dyDescent="0.2">
      <c r="A2435">
        <v>1647290</v>
      </c>
      <c r="B2435">
        <v>1451</v>
      </c>
      <c r="C2435" s="1" t="s">
        <v>99</v>
      </c>
      <c r="D2435" s="11">
        <v>45236.00277777778</v>
      </c>
      <c r="E2435" t="s">
        <v>96</v>
      </c>
      <c r="F2435" t="s">
        <v>5</v>
      </c>
      <c r="G2435">
        <v>4573</v>
      </c>
      <c r="H2435" s="5" t="s">
        <v>99</v>
      </c>
      <c r="I2435" s="15">
        <v>45236</v>
      </c>
      <c r="J2435" s="15" t="s">
        <v>295</v>
      </c>
      <c r="K2435" s="6">
        <v>0.50277777777777777</v>
      </c>
      <c r="L2435" t="s">
        <v>143</v>
      </c>
      <c r="M2435">
        <v>200000</v>
      </c>
      <c r="N2435" t="s">
        <v>198</v>
      </c>
      <c r="O2435" t="s">
        <v>152</v>
      </c>
      <c r="P2435">
        <v>51</v>
      </c>
      <c r="Q2435" t="s">
        <v>156</v>
      </c>
    </row>
    <row r="2436" spans="1:17" x14ac:dyDescent="0.2">
      <c r="A2436">
        <v>1648180</v>
      </c>
      <c r="B2436">
        <v>993</v>
      </c>
      <c r="C2436" s="1" t="s">
        <v>102</v>
      </c>
      <c r="D2436" s="11">
        <v>44928.019444444442</v>
      </c>
      <c r="E2436" t="s">
        <v>97</v>
      </c>
      <c r="F2436" t="s">
        <v>43</v>
      </c>
      <c r="G2436">
        <v>4526</v>
      </c>
      <c r="H2436" s="5" t="s">
        <v>102</v>
      </c>
      <c r="I2436" s="15">
        <v>44928</v>
      </c>
      <c r="J2436" s="15" t="s">
        <v>232</v>
      </c>
      <c r="K2436" s="6">
        <v>0.51944444444444449</v>
      </c>
      <c r="L2436" t="s">
        <v>145</v>
      </c>
      <c r="M2436">
        <v>1000000</v>
      </c>
      <c r="N2436" t="s">
        <v>203</v>
      </c>
      <c r="O2436" t="s">
        <v>152</v>
      </c>
      <c r="P2436">
        <v>86</v>
      </c>
      <c r="Q2436" t="s">
        <v>155</v>
      </c>
    </row>
    <row r="2437" spans="1:17" x14ac:dyDescent="0.2">
      <c r="A2437">
        <v>1648466</v>
      </c>
      <c r="B2437">
        <v>842</v>
      </c>
      <c r="C2437" s="1" t="s">
        <v>100</v>
      </c>
      <c r="D2437" s="11">
        <v>44948.990972222222</v>
      </c>
      <c r="E2437" t="s">
        <v>191</v>
      </c>
      <c r="F2437" t="s">
        <v>7</v>
      </c>
      <c r="G2437">
        <v>3076</v>
      </c>
      <c r="H2437" s="5" t="s">
        <v>100</v>
      </c>
      <c r="I2437" s="15">
        <v>44948</v>
      </c>
      <c r="J2437" s="15" t="s">
        <v>232</v>
      </c>
      <c r="K2437" s="6">
        <v>0.4909722222222222</v>
      </c>
      <c r="L2437" t="s">
        <v>144</v>
      </c>
      <c r="M2437">
        <v>150000</v>
      </c>
      <c r="N2437" t="s">
        <v>200</v>
      </c>
      <c r="O2437" t="s">
        <v>151</v>
      </c>
      <c r="P2437">
        <v>41</v>
      </c>
      <c r="Q2437" t="s">
        <v>155</v>
      </c>
    </row>
    <row r="2438" spans="1:17" x14ac:dyDescent="0.2">
      <c r="A2438">
        <v>1649120</v>
      </c>
      <c r="B2438">
        <v>74</v>
      </c>
      <c r="C2438" s="1" t="s">
        <v>99</v>
      </c>
      <c r="D2438" s="11">
        <v>45030.019444444442</v>
      </c>
      <c r="E2438" t="s">
        <v>97</v>
      </c>
      <c r="F2438" t="s">
        <v>8</v>
      </c>
      <c r="G2438">
        <v>4798</v>
      </c>
      <c r="H2438" s="5" t="s">
        <v>99</v>
      </c>
      <c r="I2438" s="15">
        <v>45030</v>
      </c>
      <c r="J2438" s="15" t="s">
        <v>233</v>
      </c>
      <c r="K2438" s="6">
        <v>0.51944444444444449</v>
      </c>
      <c r="L2438" t="s">
        <v>142</v>
      </c>
      <c r="M2438">
        <v>200000</v>
      </c>
      <c r="N2438" t="s">
        <v>201</v>
      </c>
      <c r="O2438" t="s">
        <v>152</v>
      </c>
      <c r="P2438">
        <v>28</v>
      </c>
      <c r="Q2438" t="s">
        <v>154</v>
      </c>
    </row>
    <row r="2439" spans="1:17" x14ac:dyDescent="0.2">
      <c r="A2439">
        <v>1649225</v>
      </c>
      <c r="B2439">
        <v>859</v>
      </c>
      <c r="C2439" s="1" t="s">
        <v>99</v>
      </c>
      <c r="D2439" s="11">
        <v>45181.961805555555</v>
      </c>
      <c r="E2439" t="s">
        <v>96</v>
      </c>
      <c r="F2439" t="s">
        <v>46</v>
      </c>
      <c r="G2439">
        <v>811</v>
      </c>
      <c r="H2439" s="5" t="s">
        <v>99</v>
      </c>
      <c r="I2439" s="15">
        <v>45181</v>
      </c>
      <c r="J2439" s="15" t="s">
        <v>234</v>
      </c>
      <c r="K2439" s="6">
        <v>0.46180555555555558</v>
      </c>
      <c r="L2439" t="s">
        <v>142</v>
      </c>
      <c r="M2439">
        <v>200000</v>
      </c>
      <c r="N2439" t="s">
        <v>211</v>
      </c>
      <c r="O2439" t="s">
        <v>151</v>
      </c>
      <c r="P2439">
        <v>34</v>
      </c>
      <c r="Q2439" t="s">
        <v>155</v>
      </c>
    </row>
    <row r="2440" spans="1:17" x14ac:dyDescent="0.2">
      <c r="A2440">
        <v>1650492</v>
      </c>
      <c r="B2440">
        <v>473</v>
      </c>
      <c r="C2440" s="1" t="s">
        <v>111</v>
      </c>
      <c r="D2440" s="11">
        <v>45262.011805555558</v>
      </c>
      <c r="E2440" t="s">
        <v>191</v>
      </c>
      <c r="F2440" t="s">
        <v>10</v>
      </c>
      <c r="G2440">
        <v>8148</v>
      </c>
      <c r="H2440" s="5" t="s">
        <v>111</v>
      </c>
      <c r="I2440" s="15">
        <v>45262</v>
      </c>
      <c r="J2440" s="15" t="s">
        <v>295</v>
      </c>
      <c r="K2440" s="6">
        <v>0.51180555555555551</v>
      </c>
      <c r="L2440" t="s">
        <v>145</v>
      </c>
      <c r="M2440">
        <v>150000</v>
      </c>
      <c r="N2440" t="s">
        <v>203</v>
      </c>
      <c r="O2440" t="s">
        <v>152</v>
      </c>
      <c r="P2440">
        <v>19</v>
      </c>
      <c r="Q2440" t="s">
        <v>154</v>
      </c>
    </row>
    <row r="2441" spans="1:17" x14ac:dyDescent="0.2">
      <c r="A2441">
        <v>1650779</v>
      </c>
      <c r="B2441">
        <v>1034</v>
      </c>
      <c r="C2441" s="1" t="s">
        <v>107</v>
      </c>
      <c r="D2441" s="11">
        <v>45028.033333333333</v>
      </c>
      <c r="E2441" t="s">
        <v>96</v>
      </c>
      <c r="F2441" t="s">
        <v>27</v>
      </c>
      <c r="G2441">
        <v>8843</v>
      </c>
      <c r="H2441" s="5" t="s">
        <v>107</v>
      </c>
      <c r="I2441" s="15">
        <v>45028</v>
      </c>
      <c r="J2441" s="15" t="s">
        <v>233</v>
      </c>
      <c r="K2441" s="6">
        <v>0.53333333333333333</v>
      </c>
      <c r="L2441" t="s">
        <v>142</v>
      </c>
      <c r="M2441">
        <v>1000000</v>
      </c>
      <c r="N2441" t="s">
        <v>209</v>
      </c>
      <c r="O2441" t="s">
        <v>152</v>
      </c>
      <c r="P2441">
        <v>31</v>
      </c>
      <c r="Q2441" t="s">
        <v>156</v>
      </c>
    </row>
    <row r="2442" spans="1:17" x14ac:dyDescent="0.2">
      <c r="A2442">
        <v>1651135</v>
      </c>
      <c r="B2442">
        <v>1845</v>
      </c>
      <c r="C2442" s="1" t="s">
        <v>102</v>
      </c>
      <c r="D2442" s="11">
        <v>45267.006249999999</v>
      </c>
      <c r="E2442" t="s">
        <v>96</v>
      </c>
      <c r="F2442" t="s">
        <v>13</v>
      </c>
      <c r="G2442">
        <v>2721</v>
      </c>
      <c r="H2442" s="5" t="s">
        <v>102</v>
      </c>
      <c r="I2442" s="15">
        <v>45267</v>
      </c>
      <c r="J2442" s="15" t="s">
        <v>295</v>
      </c>
      <c r="K2442" s="6">
        <v>0.50624999999999998</v>
      </c>
      <c r="L2442" t="s">
        <v>143</v>
      </c>
      <c r="M2442">
        <v>150000</v>
      </c>
      <c r="N2442" t="s">
        <v>206</v>
      </c>
      <c r="O2442" t="s">
        <v>152</v>
      </c>
      <c r="P2442">
        <v>83</v>
      </c>
      <c r="Q2442" t="s">
        <v>157</v>
      </c>
    </row>
    <row r="2443" spans="1:17" x14ac:dyDescent="0.2">
      <c r="A2443">
        <v>1653886</v>
      </c>
      <c r="B2443">
        <v>1518</v>
      </c>
      <c r="C2443" s="1" t="s">
        <v>99</v>
      </c>
      <c r="D2443" s="11">
        <v>45054.063194444447</v>
      </c>
      <c r="E2443" t="s">
        <v>96</v>
      </c>
      <c r="F2443" t="s">
        <v>10</v>
      </c>
      <c r="G2443">
        <v>8879</v>
      </c>
      <c r="H2443" s="5" t="s">
        <v>99</v>
      </c>
      <c r="I2443" s="15">
        <v>45054</v>
      </c>
      <c r="J2443" s="15" t="s">
        <v>233</v>
      </c>
      <c r="K2443" s="6">
        <v>6.3194444444444442E-2</v>
      </c>
      <c r="L2443" t="s">
        <v>145</v>
      </c>
      <c r="M2443">
        <v>150000</v>
      </c>
      <c r="N2443" t="s">
        <v>203</v>
      </c>
      <c r="O2443" t="s">
        <v>152</v>
      </c>
      <c r="P2443">
        <v>66</v>
      </c>
      <c r="Q2443" t="s">
        <v>157</v>
      </c>
    </row>
    <row r="2444" spans="1:17" x14ac:dyDescent="0.2">
      <c r="A2444">
        <v>1654315</v>
      </c>
      <c r="B2444">
        <v>762</v>
      </c>
      <c r="C2444" s="1" t="s">
        <v>108</v>
      </c>
      <c r="D2444" s="11">
        <v>45169.013888888891</v>
      </c>
      <c r="E2444" t="s">
        <v>97</v>
      </c>
      <c r="F2444" t="s">
        <v>15</v>
      </c>
      <c r="G2444">
        <v>4846</v>
      </c>
      <c r="H2444" s="5" t="s">
        <v>108</v>
      </c>
      <c r="I2444" s="15">
        <v>45169</v>
      </c>
      <c r="J2444" s="15" t="s">
        <v>234</v>
      </c>
      <c r="K2444" s="6">
        <v>0.51388888888888884</v>
      </c>
      <c r="L2444" t="s">
        <v>143</v>
      </c>
      <c r="M2444">
        <v>150000</v>
      </c>
      <c r="N2444" t="s">
        <v>198</v>
      </c>
      <c r="O2444" t="s">
        <v>152</v>
      </c>
      <c r="P2444">
        <v>21</v>
      </c>
      <c r="Q2444" t="s">
        <v>155</v>
      </c>
    </row>
    <row r="2445" spans="1:17" x14ac:dyDescent="0.2">
      <c r="A2445">
        <v>1654344</v>
      </c>
      <c r="B2445">
        <v>1851</v>
      </c>
      <c r="C2445" s="1" t="s">
        <v>105</v>
      </c>
      <c r="D2445" s="11">
        <v>44961.034722222219</v>
      </c>
      <c r="E2445" t="s">
        <v>97</v>
      </c>
      <c r="F2445" t="s">
        <v>13</v>
      </c>
      <c r="G2445">
        <v>1085</v>
      </c>
      <c r="H2445" s="5" t="s">
        <v>105</v>
      </c>
      <c r="I2445" s="15">
        <v>44961</v>
      </c>
      <c r="J2445" s="15" t="s">
        <v>232</v>
      </c>
      <c r="K2445" s="6">
        <v>0.53472222222222221</v>
      </c>
      <c r="L2445" t="s">
        <v>143</v>
      </c>
      <c r="M2445">
        <v>150000</v>
      </c>
      <c r="N2445" t="s">
        <v>206</v>
      </c>
      <c r="O2445" t="s">
        <v>152</v>
      </c>
      <c r="P2445">
        <v>76</v>
      </c>
      <c r="Q2445" t="s">
        <v>157</v>
      </c>
    </row>
    <row r="2446" spans="1:17" x14ac:dyDescent="0.2">
      <c r="A2446">
        <v>1654679</v>
      </c>
      <c r="B2446">
        <v>804</v>
      </c>
      <c r="C2446" s="1" t="s">
        <v>109</v>
      </c>
      <c r="D2446" s="11">
        <v>45095.98541666667</v>
      </c>
      <c r="E2446" t="s">
        <v>96</v>
      </c>
      <c r="F2446" t="s">
        <v>62</v>
      </c>
      <c r="G2446">
        <v>8264</v>
      </c>
      <c r="H2446" s="5" t="s">
        <v>109</v>
      </c>
      <c r="I2446" s="15">
        <v>45095</v>
      </c>
      <c r="J2446" s="15" t="s">
        <v>233</v>
      </c>
      <c r="K2446" s="6">
        <v>0.48541666666666666</v>
      </c>
      <c r="L2446" t="s">
        <v>145</v>
      </c>
      <c r="M2446">
        <v>100000</v>
      </c>
      <c r="N2446" t="s">
        <v>217</v>
      </c>
      <c r="O2446" t="s">
        <v>152</v>
      </c>
      <c r="P2446">
        <v>56</v>
      </c>
      <c r="Q2446" t="s">
        <v>155</v>
      </c>
    </row>
    <row r="2447" spans="1:17" x14ac:dyDescent="0.2">
      <c r="A2447">
        <v>1655697</v>
      </c>
      <c r="B2447">
        <v>499</v>
      </c>
      <c r="C2447" s="1" t="s">
        <v>101</v>
      </c>
      <c r="D2447" s="11">
        <v>45051.038888888892</v>
      </c>
      <c r="E2447" t="s">
        <v>96</v>
      </c>
      <c r="F2447" t="s">
        <v>75</v>
      </c>
      <c r="G2447">
        <v>3864</v>
      </c>
      <c r="H2447" s="5" t="s">
        <v>101</v>
      </c>
      <c r="I2447" s="15">
        <v>45051</v>
      </c>
      <c r="J2447" s="15" t="s">
        <v>233</v>
      </c>
      <c r="K2447" s="6">
        <v>0.53888888888888886</v>
      </c>
      <c r="L2447" t="s">
        <v>143</v>
      </c>
      <c r="M2447">
        <v>50000</v>
      </c>
      <c r="N2447" t="s">
        <v>205</v>
      </c>
      <c r="O2447" t="s">
        <v>151</v>
      </c>
      <c r="P2447">
        <v>89</v>
      </c>
      <c r="Q2447" t="s">
        <v>154</v>
      </c>
    </row>
    <row r="2448" spans="1:17" x14ac:dyDescent="0.2">
      <c r="A2448">
        <v>1656071</v>
      </c>
      <c r="B2448">
        <v>901</v>
      </c>
      <c r="C2448" s="1" t="s">
        <v>99</v>
      </c>
      <c r="D2448" s="11">
        <v>45235.000694444447</v>
      </c>
      <c r="E2448" t="s">
        <v>97</v>
      </c>
      <c r="F2448" t="s">
        <v>19</v>
      </c>
      <c r="G2448">
        <v>634</v>
      </c>
      <c r="H2448" s="5" t="s">
        <v>99</v>
      </c>
      <c r="I2448" s="15">
        <v>45235</v>
      </c>
      <c r="J2448" s="15" t="s">
        <v>295</v>
      </c>
      <c r="K2448" s="6">
        <v>0.50069444444444444</v>
      </c>
      <c r="L2448" t="s">
        <v>142</v>
      </c>
      <c r="M2448">
        <v>150000</v>
      </c>
      <c r="N2448" t="s">
        <v>211</v>
      </c>
      <c r="O2448" t="s">
        <v>152</v>
      </c>
      <c r="P2448">
        <v>44</v>
      </c>
      <c r="Q2448" t="s">
        <v>155</v>
      </c>
    </row>
    <row r="2449" spans="1:17" x14ac:dyDescent="0.2">
      <c r="A2449">
        <v>1656749</v>
      </c>
      <c r="B2449">
        <v>316</v>
      </c>
      <c r="C2449" s="1" t="s">
        <v>113</v>
      </c>
      <c r="D2449" s="11">
        <v>45083.013888888891</v>
      </c>
      <c r="E2449" t="s">
        <v>97</v>
      </c>
      <c r="F2449" t="s">
        <v>20</v>
      </c>
      <c r="G2449">
        <v>7917</v>
      </c>
      <c r="H2449" s="5" t="s">
        <v>113</v>
      </c>
      <c r="I2449" s="15">
        <v>45083</v>
      </c>
      <c r="J2449" s="15" t="s">
        <v>233</v>
      </c>
      <c r="K2449" s="6">
        <v>0.51388888888888884</v>
      </c>
      <c r="L2449" t="s">
        <v>146</v>
      </c>
      <c r="M2449">
        <v>150000</v>
      </c>
      <c r="N2449" t="s">
        <v>212</v>
      </c>
      <c r="O2449" t="s">
        <v>152</v>
      </c>
      <c r="P2449">
        <v>89</v>
      </c>
      <c r="Q2449" t="s">
        <v>154</v>
      </c>
    </row>
    <row r="2450" spans="1:17" x14ac:dyDescent="0.2">
      <c r="A2450">
        <v>1657013</v>
      </c>
      <c r="B2450">
        <v>1799</v>
      </c>
      <c r="C2450" s="1" t="s">
        <v>100</v>
      </c>
      <c r="D2450" s="11">
        <v>45031.013194444444</v>
      </c>
      <c r="E2450" t="s">
        <v>191</v>
      </c>
      <c r="F2450" t="s">
        <v>21</v>
      </c>
      <c r="G2450">
        <v>5240</v>
      </c>
      <c r="H2450" s="5" t="s">
        <v>100</v>
      </c>
      <c r="I2450" s="15">
        <v>45031</v>
      </c>
      <c r="J2450" s="15" t="s">
        <v>233</v>
      </c>
      <c r="K2450" s="6">
        <v>0.5131944444444444</v>
      </c>
      <c r="L2450" t="s">
        <v>142</v>
      </c>
      <c r="M2450">
        <v>150000</v>
      </c>
      <c r="N2450" t="s">
        <v>211</v>
      </c>
      <c r="O2450" t="s">
        <v>152</v>
      </c>
      <c r="P2450">
        <v>75</v>
      </c>
      <c r="Q2450" t="s">
        <v>157</v>
      </c>
    </row>
    <row r="2451" spans="1:17" x14ac:dyDescent="0.2">
      <c r="A2451">
        <v>1657910</v>
      </c>
      <c r="B2451">
        <v>853</v>
      </c>
      <c r="C2451" s="1" t="s">
        <v>99</v>
      </c>
      <c r="D2451" s="11">
        <v>45102.027083333334</v>
      </c>
      <c r="E2451" t="s">
        <v>98</v>
      </c>
      <c r="F2451" t="s">
        <v>83</v>
      </c>
      <c r="G2451">
        <v>8403</v>
      </c>
      <c r="H2451" s="5" t="s">
        <v>99</v>
      </c>
      <c r="I2451" s="15">
        <v>45102</v>
      </c>
      <c r="J2451" s="15" t="s">
        <v>233</v>
      </c>
      <c r="K2451" s="6">
        <v>0.52708333333333335</v>
      </c>
      <c r="L2451" t="s">
        <v>143</v>
      </c>
      <c r="M2451">
        <v>200000</v>
      </c>
      <c r="N2451" t="s">
        <v>206</v>
      </c>
      <c r="O2451" t="s">
        <v>151</v>
      </c>
      <c r="P2451">
        <v>57</v>
      </c>
      <c r="Q2451" t="s">
        <v>155</v>
      </c>
    </row>
    <row r="2452" spans="1:17" x14ac:dyDescent="0.2">
      <c r="A2452">
        <v>1659401</v>
      </c>
      <c r="B2452">
        <v>214</v>
      </c>
      <c r="C2452" s="1" t="s">
        <v>99</v>
      </c>
      <c r="D2452" s="11">
        <v>45118.973611111112</v>
      </c>
      <c r="E2452" t="s">
        <v>96</v>
      </c>
      <c r="F2452" t="s">
        <v>49</v>
      </c>
      <c r="G2452">
        <v>1671</v>
      </c>
      <c r="H2452" s="5" t="s">
        <v>99</v>
      </c>
      <c r="I2452" s="15">
        <v>45118</v>
      </c>
      <c r="J2452" s="15" t="s">
        <v>234</v>
      </c>
      <c r="K2452" s="6">
        <v>0.47361111111111109</v>
      </c>
      <c r="L2452" t="s">
        <v>146</v>
      </c>
      <c r="M2452">
        <v>100000</v>
      </c>
      <c r="N2452" t="s">
        <v>222</v>
      </c>
      <c r="O2452" t="s">
        <v>152</v>
      </c>
      <c r="P2452">
        <v>18</v>
      </c>
      <c r="Q2452" t="s">
        <v>154</v>
      </c>
    </row>
    <row r="2453" spans="1:17" x14ac:dyDescent="0.2">
      <c r="A2453">
        <v>1659771</v>
      </c>
      <c r="B2453">
        <v>597</v>
      </c>
      <c r="C2453" s="1" t="s">
        <v>100</v>
      </c>
      <c r="D2453" s="11">
        <v>45247.051388888889</v>
      </c>
      <c r="E2453" t="s">
        <v>97</v>
      </c>
      <c r="F2453" t="s">
        <v>23</v>
      </c>
      <c r="G2453">
        <v>2382</v>
      </c>
      <c r="H2453" s="5" t="s">
        <v>100</v>
      </c>
      <c r="I2453" s="15">
        <v>45247</v>
      </c>
      <c r="J2453" s="15" t="s">
        <v>295</v>
      </c>
      <c r="K2453" s="6">
        <v>5.1388888888888887E-2</v>
      </c>
      <c r="L2453" t="s">
        <v>142</v>
      </c>
      <c r="M2453">
        <v>150000</v>
      </c>
      <c r="N2453" t="s">
        <v>213</v>
      </c>
      <c r="O2453" t="s">
        <v>152</v>
      </c>
      <c r="P2453">
        <v>43</v>
      </c>
      <c r="Q2453" t="s">
        <v>155</v>
      </c>
    </row>
    <row r="2454" spans="1:17" x14ac:dyDescent="0.2">
      <c r="A2454">
        <v>1659887</v>
      </c>
      <c r="B2454">
        <v>1854</v>
      </c>
      <c r="C2454" s="1" t="s">
        <v>99</v>
      </c>
      <c r="D2454" s="11">
        <v>45271.00277777778</v>
      </c>
      <c r="E2454" t="s">
        <v>98</v>
      </c>
      <c r="F2454" t="s">
        <v>6</v>
      </c>
      <c r="G2454">
        <v>3461</v>
      </c>
      <c r="H2454" s="5" t="s">
        <v>99</v>
      </c>
      <c r="I2454" s="15">
        <v>45271</v>
      </c>
      <c r="J2454" s="15" t="s">
        <v>295</v>
      </c>
      <c r="K2454" s="6">
        <v>0.50277777777777777</v>
      </c>
      <c r="L2454" t="s">
        <v>144</v>
      </c>
      <c r="M2454">
        <v>100000</v>
      </c>
      <c r="N2454" t="s">
        <v>199</v>
      </c>
      <c r="O2454" t="s">
        <v>152</v>
      </c>
      <c r="P2454">
        <v>87</v>
      </c>
      <c r="Q2454" t="s">
        <v>157</v>
      </c>
    </row>
    <row r="2455" spans="1:17" x14ac:dyDescent="0.2">
      <c r="A2455">
        <v>1660154</v>
      </c>
      <c r="B2455">
        <v>105</v>
      </c>
      <c r="C2455" s="1" t="s">
        <v>99</v>
      </c>
      <c r="D2455" s="11">
        <v>45056.069444444445</v>
      </c>
      <c r="E2455" t="s">
        <v>97</v>
      </c>
      <c r="F2455" t="s">
        <v>54</v>
      </c>
      <c r="G2455">
        <v>9184</v>
      </c>
      <c r="H2455" s="5" t="s">
        <v>99</v>
      </c>
      <c r="I2455" s="15">
        <v>45056</v>
      </c>
      <c r="J2455" s="15" t="s">
        <v>233</v>
      </c>
      <c r="K2455" s="6">
        <v>6.9444444444444448E-2</v>
      </c>
      <c r="L2455" t="s">
        <v>144</v>
      </c>
      <c r="M2455">
        <v>100000</v>
      </c>
      <c r="N2455" t="s">
        <v>224</v>
      </c>
      <c r="O2455" t="s">
        <v>151</v>
      </c>
      <c r="P2455">
        <v>80</v>
      </c>
      <c r="Q2455" t="s">
        <v>154</v>
      </c>
    </row>
    <row r="2456" spans="1:17" x14ac:dyDescent="0.2">
      <c r="A2456">
        <v>1660467</v>
      </c>
      <c r="B2456">
        <v>46</v>
      </c>
      <c r="C2456" s="1" t="s">
        <v>102</v>
      </c>
      <c r="D2456" s="11">
        <v>45176.02847222222</v>
      </c>
      <c r="E2456" t="s">
        <v>96</v>
      </c>
      <c r="F2456" t="s">
        <v>18</v>
      </c>
      <c r="G2456">
        <v>7481</v>
      </c>
      <c r="H2456" s="5" t="s">
        <v>102</v>
      </c>
      <c r="I2456" s="15">
        <v>45176</v>
      </c>
      <c r="J2456" s="15" t="s">
        <v>234</v>
      </c>
      <c r="K2456" s="6">
        <v>0.52847222222222223</v>
      </c>
      <c r="L2456" t="s">
        <v>145</v>
      </c>
      <c r="M2456">
        <v>200000</v>
      </c>
      <c r="N2456" t="s">
        <v>210</v>
      </c>
      <c r="O2456" t="s">
        <v>152</v>
      </c>
      <c r="P2456">
        <v>66</v>
      </c>
      <c r="Q2456" t="s">
        <v>154</v>
      </c>
    </row>
    <row r="2457" spans="1:17" x14ac:dyDescent="0.2">
      <c r="A2457">
        <v>1661217</v>
      </c>
      <c r="B2457">
        <v>1025</v>
      </c>
      <c r="C2457" s="1" t="s">
        <v>101</v>
      </c>
      <c r="D2457" s="11">
        <v>45172.972916666666</v>
      </c>
      <c r="E2457" t="s">
        <v>98</v>
      </c>
      <c r="F2457" t="s">
        <v>43</v>
      </c>
      <c r="G2457">
        <v>9380</v>
      </c>
      <c r="H2457" s="5" t="s">
        <v>101</v>
      </c>
      <c r="I2457" s="15">
        <v>45172</v>
      </c>
      <c r="J2457" s="15" t="s">
        <v>234</v>
      </c>
      <c r="K2457" s="6">
        <v>0.47291666666666665</v>
      </c>
      <c r="L2457" t="s">
        <v>145</v>
      </c>
      <c r="M2457">
        <v>1000000</v>
      </c>
      <c r="N2457" t="s">
        <v>203</v>
      </c>
      <c r="O2457" t="s">
        <v>151</v>
      </c>
      <c r="P2457">
        <v>48</v>
      </c>
      <c r="Q2457" t="s">
        <v>156</v>
      </c>
    </row>
    <row r="2458" spans="1:17" x14ac:dyDescent="0.2">
      <c r="A2458">
        <v>1662668</v>
      </c>
      <c r="B2458">
        <v>1000</v>
      </c>
      <c r="C2458" s="1" t="s">
        <v>113</v>
      </c>
      <c r="D2458" s="11">
        <v>45205.010416666664</v>
      </c>
      <c r="E2458" t="s">
        <v>98</v>
      </c>
      <c r="F2458" t="s">
        <v>26</v>
      </c>
      <c r="G2458">
        <v>4805</v>
      </c>
      <c r="H2458" s="5" t="s">
        <v>113</v>
      </c>
      <c r="I2458" s="15">
        <v>45205</v>
      </c>
      <c r="J2458" s="15" t="s">
        <v>295</v>
      </c>
      <c r="K2458" s="6">
        <v>0.51041666666666663</v>
      </c>
      <c r="L2458" t="s">
        <v>145</v>
      </c>
      <c r="M2458">
        <v>100000</v>
      </c>
      <c r="N2458" t="s">
        <v>210</v>
      </c>
      <c r="O2458" t="s">
        <v>152</v>
      </c>
      <c r="P2458">
        <v>69</v>
      </c>
      <c r="Q2458" t="s">
        <v>155</v>
      </c>
    </row>
    <row r="2459" spans="1:17" x14ac:dyDescent="0.2">
      <c r="A2459">
        <v>1662944</v>
      </c>
      <c r="B2459">
        <v>1488</v>
      </c>
      <c r="C2459" s="1" t="s">
        <v>99</v>
      </c>
      <c r="D2459" s="11">
        <v>45280.032638888886</v>
      </c>
      <c r="E2459" t="s">
        <v>98</v>
      </c>
      <c r="F2459" t="s">
        <v>52</v>
      </c>
      <c r="G2459">
        <v>9411</v>
      </c>
      <c r="H2459" s="5" t="s">
        <v>99</v>
      </c>
      <c r="I2459" s="15">
        <v>45280</v>
      </c>
      <c r="J2459" s="15" t="s">
        <v>295</v>
      </c>
      <c r="K2459" s="6">
        <v>0.53263888888888888</v>
      </c>
      <c r="L2459" t="s">
        <v>143</v>
      </c>
      <c r="M2459">
        <v>100000</v>
      </c>
      <c r="N2459" t="s">
        <v>206</v>
      </c>
      <c r="O2459" t="s">
        <v>151</v>
      </c>
      <c r="P2459">
        <v>35</v>
      </c>
      <c r="Q2459" t="s">
        <v>156</v>
      </c>
    </row>
    <row r="2460" spans="1:17" x14ac:dyDescent="0.2">
      <c r="A2460">
        <v>1664960</v>
      </c>
      <c r="B2460">
        <v>754</v>
      </c>
      <c r="C2460" s="1" t="s">
        <v>107</v>
      </c>
      <c r="D2460" s="11">
        <v>45070.953472222223</v>
      </c>
      <c r="E2460" t="s">
        <v>98</v>
      </c>
      <c r="F2460" t="s">
        <v>23</v>
      </c>
      <c r="G2460">
        <v>4918</v>
      </c>
      <c r="H2460" s="5" t="s">
        <v>107</v>
      </c>
      <c r="I2460" s="15">
        <v>45070</v>
      </c>
      <c r="J2460" s="15" t="s">
        <v>233</v>
      </c>
      <c r="K2460" s="6">
        <v>0.45347222222222222</v>
      </c>
      <c r="L2460" t="s">
        <v>142</v>
      </c>
      <c r="M2460">
        <v>150000</v>
      </c>
      <c r="N2460" t="s">
        <v>213</v>
      </c>
      <c r="O2460" t="s">
        <v>152</v>
      </c>
      <c r="P2460">
        <v>58</v>
      </c>
      <c r="Q2460" t="s">
        <v>155</v>
      </c>
    </row>
    <row r="2461" spans="1:17" x14ac:dyDescent="0.2">
      <c r="A2461">
        <v>1664973</v>
      </c>
      <c r="B2461">
        <v>698</v>
      </c>
      <c r="C2461" s="1" t="s">
        <v>101</v>
      </c>
      <c r="D2461" s="11">
        <v>45148.037499999999</v>
      </c>
      <c r="E2461" t="s">
        <v>191</v>
      </c>
      <c r="F2461" t="s">
        <v>53</v>
      </c>
      <c r="G2461">
        <v>1301</v>
      </c>
      <c r="H2461" s="5" t="s">
        <v>101</v>
      </c>
      <c r="I2461" s="15">
        <v>45148</v>
      </c>
      <c r="J2461" s="15" t="s">
        <v>234</v>
      </c>
      <c r="K2461" s="6">
        <v>0.53749999999999998</v>
      </c>
      <c r="L2461" t="s">
        <v>142</v>
      </c>
      <c r="M2461">
        <v>100000</v>
      </c>
      <c r="N2461" t="s">
        <v>207</v>
      </c>
      <c r="O2461" t="s">
        <v>151</v>
      </c>
      <c r="P2461">
        <v>61</v>
      </c>
      <c r="Q2461" t="s">
        <v>155</v>
      </c>
    </row>
    <row r="2462" spans="1:17" x14ac:dyDescent="0.2">
      <c r="A2462">
        <v>1665135</v>
      </c>
      <c r="B2462">
        <v>818</v>
      </c>
      <c r="C2462" s="1" t="s">
        <v>100</v>
      </c>
      <c r="D2462" s="11">
        <v>45291.051388888889</v>
      </c>
      <c r="E2462" t="s">
        <v>191</v>
      </c>
      <c r="F2462" t="s">
        <v>43</v>
      </c>
      <c r="G2462">
        <v>4905</v>
      </c>
      <c r="H2462" s="5" t="s">
        <v>100</v>
      </c>
      <c r="I2462" s="15">
        <v>45291</v>
      </c>
      <c r="J2462" s="15" t="s">
        <v>295</v>
      </c>
      <c r="K2462" s="6">
        <v>5.1388888888888887E-2</v>
      </c>
      <c r="L2462" t="s">
        <v>145</v>
      </c>
      <c r="M2462">
        <v>1000000</v>
      </c>
      <c r="N2462" t="s">
        <v>203</v>
      </c>
      <c r="O2462" t="s">
        <v>152</v>
      </c>
      <c r="P2462">
        <v>87</v>
      </c>
      <c r="Q2462" t="s">
        <v>155</v>
      </c>
    </row>
    <row r="2463" spans="1:17" x14ac:dyDescent="0.2">
      <c r="A2463">
        <v>1665167</v>
      </c>
      <c r="B2463">
        <v>479</v>
      </c>
      <c r="C2463" s="1" t="s">
        <v>102</v>
      </c>
      <c r="D2463" s="11">
        <v>44989.073611111111</v>
      </c>
      <c r="E2463" t="s">
        <v>97</v>
      </c>
      <c r="F2463" t="s">
        <v>27</v>
      </c>
      <c r="G2463">
        <v>6692</v>
      </c>
      <c r="H2463" s="5" t="s">
        <v>102</v>
      </c>
      <c r="I2463" s="15">
        <v>44989</v>
      </c>
      <c r="J2463" s="15" t="s">
        <v>232</v>
      </c>
      <c r="K2463" s="6">
        <v>7.3611111111111113E-2</v>
      </c>
      <c r="L2463" t="s">
        <v>142</v>
      </c>
      <c r="M2463">
        <v>1000000</v>
      </c>
      <c r="N2463" t="s">
        <v>209</v>
      </c>
      <c r="O2463" t="s">
        <v>151</v>
      </c>
      <c r="P2463">
        <v>81</v>
      </c>
      <c r="Q2463" t="s">
        <v>154</v>
      </c>
    </row>
    <row r="2464" spans="1:17" x14ac:dyDescent="0.2">
      <c r="A2464">
        <v>1665250</v>
      </c>
      <c r="B2464">
        <v>329</v>
      </c>
      <c r="C2464" s="1" t="s">
        <v>105</v>
      </c>
      <c r="D2464" s="11">
        <v>45048.022222222222</v>
      </c>
      <c r="E2464" t="s">
        <v>191</v>
      </c>
      <c r="F2464" t="s">
        <v>41</v>
      </c>
      <c r="G2464">
        <v>6153</v>
      </c>
      <c r="H2464" s="5" t="s">
        <v>105</v>
      </c>
      <c r="I2464" s="15">
        <v>45048</v>
      </c>
      <c r="J2464" s="15" t="s">
        <v>233</v>
      </c>
      <c r="K2464" s="6">
        <v>0.52222222222222225</v>
      </c>
      <c r="L2464" t="s">
        <v>145</v>
      </c>
      <c r="M2464">
        <v>150000</v>
      </c>
      <c r="N2464" t="s">
        <v>203</v>
      </c>
      <c r="O2464" t="s">
        <v>152</v>
      </c>
      <c r="P2464">
        <v>55</v>
      </c>
      <c r="Q2464" t="s">
        <v>154</v>
      </c>
    </row>
    <row r="2465" spans="1:17" x14ac:dyDescent="0.2">
      <c r="A2465">
        <v>1665582</v>
      </c>
      <c r="B2465">
        <v>1022</v>
      </c>
      <c r="C2465" s="1" t="s">
        <v>113</v>
      </c>
      <c r="D2465" s="11">
        <v>45101.011111111111</v>
      </c>
      <c r="E2465" t="s">
        <v>96</v>
      </c>
      <c r="F2465" t="s">
        <v>80</v>
      </c>
      <c r="G2465">
        <v>7517</v>
      </c>
      <c r="H2465" s="5" t="s">
        <v>113</v>
      </c>
      <c r="I2465" s="15">
        <v>45101</v>
      </c>
      <c r="J2465" s="15" t="s">
        <v>233</v>
      </c>
      <c r="K2465" s="6">
        <v>0.51111111111111107</v>
      </c>
      <c r="L2465" t="s">
        <v>146</v>
      </c>
      <c r="M2465">
        <v>50000</v>
      </c>
      <c r="N2465" t="s">
        <v>212</v>
      </c>
      <c r="O2465" t="s">
        <v>152</v>
      </c>
      <c r="P2465">
        <v>60</v>
      </c>
      <c r="Q2465" t="s">
        <v>156</v>
      </c>
    </row>
    <row r="2466" spans="1:17" x14ac:dyDescent="0.2">
      <c r="A2466">
        <v>1665843</v>
      </c>
      <c r="B2466">
        <v>1411</v>
      </c>
      <c r="C2466" s="1" t="s">
        <v>105</v>
      </c>
      <c r="D2466" s="11">
        <v>45108.073611111111</v>
      </c>
      <c r="E2466" t="s">
        <v>97</v>
      </c>
      <c r="F2466" t="s">
        <v>54</v>
      </c>
      <c r="G2466">
        <v>687</v>
      </c>
      <c r="H2466" s="5" t="s">
        <v>105</v>
      </c>
      <c r="I2466" s="15">
        <v>45108</v>
      </c>
      <c r="J2466" s="15" t="s">
        <v>234</v>
      </c>
      <c r="K2466" s="6">
        <v>7.3611111111111113E-2</v>
      </c>
      <c r="L2466" t="s">
        <v>144</v>
      </c>
      <c r="M2466">
        <v>100000</v>
      </c>
      <c r="N2466" t="s">
        <v>224</v>
      </c>
      <c r="O2466" t="s">
        <v>152</v>
      </c>
      <c r="P2466">
        <v>52</v>
      </c>
      <c r="Q2466" t="s">
        <v>156</v>
      </c>
    </row>
    <row r="2467" spans="1:17" x14ac:dyDescent="0.2">
      <c r="A2467">
        <v>1665934</v>
      </c>
      <c r="B2467">
        <v>89</v>
      </c>
      <c r="C2467" s="1" t="s">
        <v>107</v>
      </c>
      <c r="D2467" s="11">
        <v>45189.052777777775</v>
      </c>
      <c r="E2467" t="s">
        <v>96</v>
      </c>
      <c r="F2467" t="s">
        <v>57</v>
      </c>
      <c r="G2467">
        <v>4910</v>
      </c>
      <c r="H2467" s="5" t="s">
        <v>107</v>
      </c>
      <c r="I2467" s="15">
        <v>45189</v>
      </c>
      <c r="J2467" s="15" t="s">
        <v>234</v>
      </c>
      <c r="K2467" s="6">
        <v>5.2777777777777778E-2</v>
      </c>
      <c r="L2467" t="s">
        <v>142</v>
      </c>
      <c r="M2467">
        <v>50000</v>
      </c>
      <c r="N2467" t="s">
        <v>208</v>
      </c>
      <c r="O2467" t="s">
        <v>151</v>
      </c>
      <c r="P2467">
        <v>33</v>
      </c>
      <c r="Q2467" t="s">
        <v>154</v>
      </c>
    </row>
    <row r="2468" spans="1:17" x14ac:dyDescent="0.2">
      <c r="A2468">
        <v>1666083</v>
      </c>
      <c r="B2468">
        <v>1307</v>
      </c>
      <c r="C2468" s="1" t="s">
        <v>100</v>
      </c>
      <c r="D2468" s="11">
        <v>44945.047222222223</v>
      </c>
      <c r="E2468" t="s">
        <v>96</v>
      </c>
      <c r="F2468" t="s">
        <v>34</v>
      </c>
      <c r="G2468">
        <v>4117</v>
      </c>
      <c r="H2468" s="5" t="s">
        <v>100</v>
      </c>
      <c r="I2468" s="15">
        <v>44945</v>
      </c>
      <c r="J2468" s="15" t="s">
        <v>232</v>
      </c>
      <c r="K2468" s="6">
        <v>4.7222222222222221E-2</v>
      </c>
      <c r="L2468" t="s">
        <v>144</v>
      </c>
      <c r="M2468">
        <v>150000</v>
      </c>
      <c r="N2468" t="s">
        <v>218</v>
      </c>
      <c r="O2468" t="s">
        <v>152</v>
      </c>
      <c r="P2468">
        <v>78</v>
      </c>
      <c r="Q2468" t="s">
        <v>156</v>
      </c>
    </row>
    <row r="2469" spans="1:17" x14ac:dyDescent="0.2">
      <c r="A2469">
        <v>1666505</v>
      </c>
      <c r="B2469">
        <v>1736</v>
      </c>
      <c r="C2469" s="1" t="s">
        <v>99</v>
      </c>
      <c r="D2469" s="11">
        <v>44948.056250000001</v>
      </c>
      <c r="E2469" t="s">
        <v>97</v>
      </c>
      <c r="F2469" t="s">
        <v>59</v>
      </c>
      <c r="G2469">
        <v>2955</v>
      </c>
      <c r="H2469" s="5" t="s">
        <v>99</v>
      </c>
      <c r="I2469" s="15">
        <v>44948</v>
      </c>
      <c r="J2469" s="15" t="s">
        <v>232</v>
      </c>
      <c r="K2469" s="6">
        <v>5.6250000000000001E-2</v>
      </c>
      <c r="L2469" t="s">
        <v>144</v>
      </c>
      <c r="M2469">
        <v>80000</v>
      </c>
      <c r="N2469" t="s">
        <v>224</v>
      </c>
      <c r="O2469" t="s">
        <v>151</v>
      </c>
      <c r="P2469">
        <v>23</v>
      </c>
      <c r="Q2469" t="s">
        <v>157</v>
      </c>
    </row>
    <row r="2470" spans="1:17" x14ac:dyDescent="0.2">
      <c r="A2470">
        <v>1666521</v>
      </c>
      <c r="B2470">
        <v>1386</v>
      </c>
      <c r="C2470" s="1" t="s">
        <v>104</v>
      </c>
      <c r="D2470" s="11">
        <v>45137.988194444442</v>
      </c>
      <c r="E2470" t="s">
        <v>98</v>
      </c>
      <c r="F2470" t="s">
        <v>16</v>
      </c>
      <c r="G2470">
        <v>4645</v>
      </c>
      <c r="H2470" s="5" t="s">
        <v>104</v>
      </c>
      <c r="I2470" s="15">
        <v>45137</v>
      </c>
      <c r="J2470" s="15" t="s">
        <v>234</v>
      </c>
      <c r="K2470" s="6">
        <v>0.48819444444444443</v>
      </c>
      <c r="L2470" t="s">
        <v>142</v>
      </c>
      <c r="M2470">
        <v>80000</v>
      </c>
      <c r="N2470" t="s">
        <v>208</v>
      </c>
      <c r="O2470" t="s">
        <v>151</v>
      </c>
      <c r="P2470">
        <v>18</v>
      </c>
      <c r="Q2470" t="s">
        <v>156</v>
      </c>
    </row>
    <row r="2471" spans="1:17" x14ac:dyDescent="0.2">
      <c r="A2471">
        <v>1666856</v>
      </c>
      <c r="B2471">
        <v>1370</v>
      </c>
      <c r="C2471" s="1" t="s">
        <v>111</v>
      </c>
      <c r="D2471" s="11">
        <v>45203.055555555555</v>
      </c>
      <c r="E2471" t="s">
        <v>96</v>
      </c>
      <c r="F2471" t="s">
        <v>4</v>
      </c>
      <c r="G2471">
        <v>148</v>
      </c>
      <c r="H2471" s="5" t="s">
        <v>111</v>
      </c>
      <c r="I2471" s="15">
        <v>45203</v>
      </c>
      <c r="J2471" s="15" t="s">
        <v>295</v>
      </c>
      <c r="K2471" s="6">
        <v>5.5555555555555552E-2</v>
      </c>
      <c r="L2471" t="s">
        <v>142</v>
      </c>
      <c r="M2471">
        <v>200000</v>
      </c>
      <c r="N2471" t="s">
        <v>197</v>
      </c>
      <c r="O2471" t="s">
        <v>151</v>
      </c>
      <c r="P2471">
        <v>89</v>
      </c>
      <c r="Q2471" t="s">
        <v>156</v>
      </c>
    </row>
    <row r="2472" spans="1:17" x14ac:dyDescent="0.2">
      <c r="A2472">
        <v>1667133</v>
      </c>
      <c r="B2472">
        <v>1173</v>
      </c>
      <c r="C2472" s="1" t="s">
        <v>99</v>
      </c>
      <c r="D2472" s="11">
        <v>45152.007638888892</v>
      </c>
      <c r="E2472" t="s">
        <v>96</v>
      </c>
      <c r="F2472" t="s">
        <v>47</v>
      </c>
      <c r="G2472">
        <v>8164</v>
      </c>
      <c r="H2472" s="5" t="s">
        <v>99</v>
      </c>
      <c r="I2472" s="15">
        <v>45152</v>
      </c>
      <c r="J2472" s="15" t="s">
        <v>234</v>
      </c>
      <c r="K2472" s="6">
        <v>0.50763888888888886</v>
      </c>
      <c r="L2472" t="s">
        <v>144</v>
      </c>
      <c r="M2472">
        <v>100000</v>
      </c>
      <c r="N2472" t="s">
        <v>218</v>
      </c>
      <c r="O2472" t="s">
        <v>151</v>
      </c>
      <c r="P2472">
        <v>84</v>
      </c>
      <c r="Q2472" t="s">
        <v>156</v>
      </c>
    </row>
    <row r="2473" spans="1:17" x14ac:dyDescent="0.2">
      <c r="A2473">
        <v>1667673</v>
      </c>
      <c r="B2473">
        <v>991</v>
      </c>
      <c r="C2473" s="1" t="s">
        <v>99</v>
      </c>
      <c r="D2473" s="11">
        <v>45178.979861111111</v>
      </c>
      <c r="E2473" t="s">
        <v>97</v>
      </c>
      <c r="F2473" t="s">
        <v>60</v>
      </c>
      <c r="G2473">
        <v>1581</v>
      </c>
      <c r="H2473" s="5" t="s">
        <v>99</v>
      </c>
      <c r="I2473" s="15">
        <v>45178</v>
      </c>
      <c r="J2473" s="15" t="s">
        <v>234</v>
      </c>
      <c r="K2473" s="6">
        <v>0.47986111111111113</v>
      </c>
      <c r="L2473" t="s">
        <v>146</v>
      </c>
      <c r="M2473">
        <v>100000</v>
      </c>
      <c r="N2473" t="s">
        <v>225</v>
      </c>
      <c r="O2473" t="s">
        <v>152</v>
      </c>
      <c r="P2473">
        <v>55</v>
      </c>
      <c r="Q2473" t="s">
        <v>155</v>
      </c>
    </row>
    <row r="2474" spans="1:17" x14ac:dyDescent="0.2">
      <c r="A2474">
        <v>1668081</v>
      </c>
      <c r="B2474">
        <v>1858</v>
      </c>
      <c r="C2474" s="1" t="s">
        <v>99</v>
      </c>
      <c r="D2474" s="11">
        <v>44990.044444444444</v>
      </c>
      <c r="E2474" t="s">
        <v>97</v>
      </c>
      <c r="F2474" t="s">
        <v>61</v>
      </c>
      <c r="G2474">
        <v>7774</v>
      </c>
      <c r="H2474" s="5" t="s">
        <v>99</v>
      </c>
      <c r="I2474" s="15">
        <v>44990</v>
      </c>
      <c r="J2474" s="15" t="s">
        <v>232</v>
      </c>
      <c r="K2474" s="6">
        <v>4.4444444444444446E-2</v>
      </c>
      <c r="L2474" t="s">
        <v>142</v>
      </c>
      <c r="M2474">
        <v>80000</v>
      </c>
      <c r="N2474" t="s">
        <v>197</v>
      </c>
      <c r="O2474" t="s">
        <v>152</v>
      </c>
      <c r="P2474">
        <v>59</v>
      </c>
      <c r="Q2474" t="s">
        <v>157</v>
      </c>
    </row>
    <row r="2475" spans="1:17" x14ac:dyDescent="0.2">
      <c r="A2475">
        <v>1668581</v>
      </c>
      <c r="B2475">
        <v>186</v>
      </c>
      <c r="C2475" s="1" t="s">
        <v>106</v>
      </c>
      <c r="D2475" s="11">
        <v>45193.03402777778</v>
      </c>
      <c r="E2475" t="s">
        <v>98</v>
      </c>
      <c r="F2475" t="s">
        <v>62</v>
      </c>
      <c r="G2475">
        <v>6296</v>
      </c>
      <c r="H2475" s="5" t="s">
        <v>106</v>
      </c>
      <c r="I2475" s="15">
        <v>45193</v>
      </c>
      <c r="J2475" s="15" t="s">
        <v>234</v>
      </c>
      <c r="K2475" s="6">
        <v>0.53402777777777777</v>
      </c>
      <c r="L2475" t="s">
        <v>145</v>
      </c>
      <c r="M2475">
        <v>100000</v>
      </c>
      <c r="N2475" t="s">
        <v>217</v>
      </c>
      <c r="O2475" t="s">
        <v>152</v>
      </c>
      <c r="P2475">
        <v>63</v>
      </c>
      <c r="Q2475" t="s">
        <v>154</v>
      </c>
    </row>
    <row r="2476" spans="1:17" x14ac:dyDescent="0.2">
      <c r="A2476">
        <v>1669169</v>
      </c>
      <c r="B2476">
        <v>1146</v>
      </c>
      <c r="C2476" s="1" t="s">
        <v>99</v>
      </c>
      <c r="D2476" s="11">
        <v>45058.98333333333</v>
      </c>
      <c r="E2476" t="s">
        <v>98</v>
      </c>
      <c r="F2476" t="s">
        <v>81</v>
      </c>
      <c r="G2476">
        <v>8796</v>
      </c>
      <c r="H2476" s="5" t="s">
        <v>99</v>
      </c>
      <c r="I2476" s="15">
        <v>45058</v>
      </c>
      <c r="J2476" s="15" t="s">
        <v>233</v>
      </c>
      <c r="K2476" s="6">
        <v>0.48333333333333334</v>
      </c>
      <c r="L2476" t="s">
        <v>143</v>
      </c>
      <c r="M2476">
        <v>250000</v>
      </c>
      <c r="N2476" t="s">
        <v>221</v>
      </c>
      <c r="O2476" t="s">
        <v>151</v>
      </c>
      <c r="P2476">
        <v>23</v>
      </c>
      <c r="Q2476" t="s">
        <v>156</v>
      </c>
    </row>
    <row r="2477" spans="1:17" x14ac:dyDescent="0.2">
      <c r="A2477">
        <v>1669358</v>
      </c>
      <c r="B2477">
        <v>351</v>
      </c>
      <c r="C2477" s="1" t="s">
        <v>101</v>
      </c>
      <c r="D2477" s="11">
        <v>44962.077777777777</v>
      </c>
      <c r="E2477" t="s">
        <v>98</v>
      </c>
      <c r="F2477" t="s">
        <v>18</v>
      </c>
      <c r="G2477">
        <v>462</v>
      </c>
      <c r="H2477" s="5" t="s">
        <v>101</v>
      </c>
      <c r="I2477" s="15">
        <v>44962</v>
      </c>
      <c r="J2477" s="15" t="s">
        <v>232</v>
      </c>
      <c r="K2477" s="6">
        <v>7.7777777777777779E-2</v>
      </c>
      <c r="L2477" t="s">
        <v>145</v>
      </c>
      <c r="M2477">
        <v>200000</v>
      </c>
      <c r="N2477" t="s">
        <v>210</v>
      </c>
      <c r="O2477" t="s">
        <v>152</v>
      </c>
      <c r="P2477">
        <v>87</v>
      </c>
      <c r="Q2477" t="s">
        <v>154</v>
      </c>
    </row>
    <row r="2478" spans="1:17" x14ac:dyDescent="0.2">
      <c r="A2478">
        <v>1670695</v>
      </c>
      <c r="B2478">
        <v>48</v>
      </c>
      <c r="C2478" s="1" t="s">
        <v>99</v>
      </c>
      <c r="D2478" s="11">
        <v>44993.023611111108</v>
      </c>
      <c r="E2478" t="s">
        <v>97</v>
      </c>
      <c r="F2478" t="s">
        <v>28</v>
      </c>
      <c r="G2478">
        <v>8888</v>
      </c>
      <c r="H2478" s="5" t="s">
        <v>99</v>
      </c>
      <c r="I2478" s="15">
        <v>44993</v>
      </c>
      <c r="J2478" s="15" t="s">
        <v>232</v>
      </c>
      <c r="K2478" s="6">
        <v>0.52361111111111114</v>
      </c>
      <c r="L2478" t="s">
        <v>143</v>
      </c>
      <c r="M2478">
        <v>100000</v>
      </c>
      <c r="N2478" t="s">
        <v>215</v>
      </c>
      <c r="O2478" t="s">
        <v>152</v>
      </c>
      <c r="P2478">
        <v>66</v>
      </c>
      <c r="Q2478" t="s">
        <v>154</v>
      </c>
    </row>
    <row r="2479" spans="1:17" x14ac:dyDescent="0.2">
      <c r="A2479">
        <v>1670797</v>
      </c>
      <c r="B2479">
        <v>1465</v>
      </c>
      <c r="C2479" s="1" t="s">
        <v>100</v>
      </c>
      <c r="D2479" s="11">
        <v>45096.067361111112</v>
      </c>
      <c r="E2479" t="s">
        <v>96</v>
      </c>
      <c r="F2479" t="s">
        <v>39</v>
      </c>
      <c r="G2479">
        <v>556</v>
      </c>
      <c r="H2479" s="5" t="s">
        <v>100</v>
      </c>
      <c r="I2479" s="15">
        <v>45096</v>
      </c>
      <c r="J2479" s="15" t="s">
        <v>233</v>
      </c>
      <c r="K2479" s="6">
        <v>6.7361111111111108E-2</v>
      </c>
      <c r="L2479" t="s">
        <v>146</v>
      </c>
      <c r="M2479">
        <v>100000</v>
      </c>
      <c r="N2479" t="s">
        <v>212</v>
      </c>
      <c r="O2479" t="s">
        <v>151</v>
      </c>
      <c r="P2479">
        <v>71</v>
      </c>
      <c r="Q2479" t="s">
        <v>156</v>
      </c>
    </row>
    <row r="2480" spans="1:17" x14ac:dyDescent="0.2">
      <c r="A2480">
        <v>1671351</v>
      </c>
      <c r="B2480">
        <v>861</v>
      </c>
      <c r="C2480" s="1" t="s">
        <v>99</v>
      </c>
      <c r="D2480" s="11">
        <v>45255.005555555559</v>
      </c>
      <c r="E2480" t="s">
        <v>191</v>
      </c>
      <c r="F2480" t="s">
        <v>27</v>
      </c>
      <c r="G2480">
        <v>4300</v>
      </c>
      <c r="H2480" s="5" t="s">
        <v>99</v>
      </c>
      <c r="I2480" s="15">
        <v>45255</v>
      </c>
      <c r="J2480" s="15" t="s">
        <v>295</v>
      </c>
      <c r="K2480" s="6">
        <v>0.50555555555555554</v>
      </c>
      <c r="L2480" t="s">
        <v>142</v>
      </c>
      <c r="M2480">
        <v>1000000</v>
      </c>
      <c r="N2480" t="s">
        <v>209</v>
      </c>
      <c r="O2480" t="s">
        <v>152</v>
      </c>
      <c r="P2480">
        <v>78</v>
      </c>
      <c r="Q2480" t="s">
        <v>155</v>
      </c>
    </row>
    <row r="2481" spans="1:17" x14ac:dyDescent="0.2">
      <c r="A2481">
        <v>1672350</v>
      </c>
      <c r="B2481">
        <v>1440</v>
      </c>
      <c r="C2481" s="1" t="s">
        <v>105</v>
      </c>
      <c r="D2481" s="11">
        <v>45006.036805555559</v>
      </c>
      <c r="E2481" t="s">
        <v>98</v>
      </c>
      <c r="F2481" t="s">
        <v>64</v>
      </c>
      <c r="G2481">
        <v>4066</v>
      </c>
      <c r="H2481" s="5" t="s">
        <v>105</v>
      </c>
      <c r="I2481" s="15">
        <v>45006</v>
      </c>
      <c r="J2481" s="15" t="s">
        <v>232</v>
      </c>
      <c r="K2481" s="6">
        <v>0.53680555555555554</v>
      </c>
      <c r="L2481" t="s">
        <v>143</v>
      </c>
      <c r="M2481">
        <v>100000</v>
      </c>
      <c r="N2481" t="s">
        <v>223</v>
      </c>
      <c r="O2481" t="s">
        <v>152</v>
      </c>
      <c r="P2481">
        <v>60</v>
      </c>
      <c r="Q2481" t="s">
        <v>156</v>
      </c>
    </row>
    <row r="2482" spans="1:17" x14ac:dyDescent="0.2">
      <c r="A2482">
        <v>1672683</v>
      </c>
      <c r="B2482">
        <v>727</v>
      </c>
      <c r="C2482" s="1" t="s">
        <v>100</v>
      </c>
      <c r="D2482" s="11">
        <v>45263.939583333333</v>
      </c>
      <c r="E2482" t="s">
        <v>191</v>
      </c>
      <c r="F2482" t="s">
        <v>43</v>
      </c>
      <c r="G2482">
        <v>8160</v>
      </c>
      <c r="H2482" s="5" t="s">
        <v>100</v>
      </c>
      <c r="I2482" s="15">
        <v>45263</v>
      </c>
      <c r="J2482" s="15" t="s">
        <v>295</v>
      </c>
      <c r="K2482" s="6">
        <v>0.43958333333333333</v>
      </c>
      <c r="L2482" t="s">
        <v>145</v>
      </c>
      <c r="M2482">
        <v>1000000</v>
      </c>
      <c r="N2482" t="s">
        <v>203</v>
      </c>
      <c r="O2482" t="s">
        <v>151</v>
      </c>
      <c r="P2482">
        <v>64</v>
      </c>
      <c r="Q2482" t="s">
        <v>155</v>
      </c>
    </row>
    <row r="2483" spans="1:17" x14ac:dyDescent="0.2">
      <c r="A2483">
        <v>1673913</v>
      </c>
      <c r="B2483">
        <v>1434</v>
      </c>
      <c r="C2483" s="1" t="s">
        <v>99</v>
      </c>
      <c r="D2483" s="11">
        <v>45103.052777777775</v>
      </c>
      <c r="E2483" t="s">
        <v>96</v>
      </c>
      <c r="F2483" t="s">
        <v>43</v>
      </c>
      <c r="G2483">
        <v>4928</v>
      </c>
      <c r="H2483" s="5" t="s">
        <v>99</v>
      </c>
      <c r="I2483" s="15">
        <v>45103</v>
      </c>
      <c r="J2483" s="15" t="s">
        <v>233</v>
      </c>
      <c r="K2483" s="6">
        <v>5.2777777777777778E-2</v>
      </c>
      <c r="L2483" t="s">
        <v>145</v>
      </c>
      <c r="M2483">
        <v>1000000</v>
      </c>
      <c r="N2483" t="s">
        <v>203</v>
      </c>
      <c r="O2483" t="s">
        <v>152</v>
      </c>
      <c r="P2483">
        <v>65</v>
      </c>
      <c r="Q2483" t="s">
        <v>156</v>
      </c>
    </row>
    <row r="2484" spans="1:17" x14ac:dyDescent="0.2">
      <c r="A2484">
        <v>1674149</v>
      </c>
      <c r="B2484">
        <v>1974</v>
      </c>
      <c r="C2484" s="1" t="s">
        <v>99</v>
      </c>
      <c r="D2484" s="11">
        <v>45159.04791666667</v>
      </c>
      <c r="E2484" t="s">
        <v>97</v>
      </c>
      <c r="F2484" t="s">
        <v>62</v>
      </c>
      <c r="G2484">
        <v>2019</v>
      </c>
      <c r="H2484" s="5" t="s">
        <v>99</v>
      </c>
      <c r="I2484" s="15">
        <v>45159</v>
      </c>
      <c r="J2484" s="15" t="s">
        <v>234</v>
      </c>
      <c r="K2484" s="6">
        <v>4.791666666666667E-2</v>
      </c>
      <c r="L2484" t="s">
        <v>145</v>
      </c>
      <c r="M2484">
        <v>100000</v>
      </c>
      <c r="N2484" t="s">
        <v>217</v>
      </c>
      <c r="O2484" t="s">
        <v>152</v>
      </c>
      <c r="P2484">
        <v>74</v>
      </c>
      <c r="Q2484" t="s">
        <v>157</v>
      </c>
    </row>
    <row r="2485" spans="1:17" x14ac:dyDescent="0.2">
      <c r="A2485">
        <v>1674723</v>
      </c>
      <c r="B2485">
        <v>1511</v>
      </c>
      <c r="C2485" s="1" t="s">
        <v>99</v>
      </c>
      <c r="D2485" s="11">
        <v>45178.949305555558</v>
      </c>
      <c r="E2485" t="s">
        <v>98</v>
      </c>
      <c r="F2485" t="s">
        <v>90</v>
      </c>
      <c r="G2485">
        <v>3096</v>
      </c>
      <c r="H2485" s="5" t="s">
        <v>99</v>
      </c>
      <c r="I2485" s="15">
        <v>45178</v>
      </c>
      <c r="J2485" s="15" t="s">
        <v>234</v>
      </c>
      <c r="K2485" s="6">
        <v>0.44930555555555557</v>
      </c>
      <c r="L2485" t="s">
        <v>142</v>
      </c>
      <c r="M2485">
        <v>150000</v>
      </c>
      <c r="N2485" t="s">
        <v>208</v>
      </c>
      <c r="O2485" t="s">
        <v>151</v>
      </c>
      <c r="P2485">
        <v>19</v>
      </c>
      <c r="Q2485" t="s">
        <v>157</v>
      </c>
    </row>
    <row r="2486" spans="1:17" x14ac:dyDescent="0.2">
      <c r="A2486">
        <v>1675193</v>
      </c>
      <c r="B2486">
        <v>552</v>
      </c>
      <c r="C2486" s="1" t="s">
        <v>113</v>
      </c>
      <c r="D2486" s="11">
        <v>45242.990972222222</v>
      </c>
      <c r="E2486" t="s">
        <v>191</v>
      </c>
      <c r="F2486" t="s">
        <v>14</v>
      </c>
      <c r="G2486">
        <v>2913</v>
      </c>
      <c r="H2486" s="5" t="s">
        <v>113</v>
      </c>
      <c r="I2486" s="15">
        <v>45242</v>
      </c>
      <c r="J2486" s="15" t="s">
        <v>295</v>
      </c>
      <c r="K2486" s="6">
        <v>0.4909722222222222</v>
      </c>
      <c r="L2486" t="s">
        <v>142</v>
      </c>
      <c r="M2486">
        <v>250000</v>
      </c>
      <c r="N2486" t="s">
        <v>207</v>
      </c>
      <c r="O2486" t="s">
        <v>152</v>
      </c>
      <c r="P2486">
        <v>67</v>
      </c>
      <c r="Q2486" t="s">
        <v>155</v>
      </c>
    </row>
    <row r="2487" spans="1:17" x14ac:dyDescent="0.2">
      <c r="A2487">
        <v>1675253</v>
      </c>
      <c r="B2487">
        <v>632</v>
      </c>
      <c r="C2487" s="1" t="s">
        <v>99</v>
      </c>
      <c r="D2487" s="11">
        <v>45164.012499999997</v>
      </c>
      <c r="E2487" t="s">
        <v>98</v>
      </c>
      <c r="F2487" t="s">
        <v>27</v>
      </c>
      <c r="G2487">
        <v>3340</v>
      </c>
      <c r="H2487" s="5" t="s">
        <v>99</v>
      </c>
      <c r="I2487" s="15">
        <v>45164</v>
      </c>
      <c r="J2487" s="15" t="s">
        <v>234</v>
      </c>
      <c r="K2487" s="6">
        <v>0.51249999999999996</v>
      </c>
      <c r="L2487" t="s">
        <v>142</v>
      </c>
      <c r="M2487">
        <v>1000000</v>
      </c>
      <c r="N2487" t="s">
        <v>209</v>
      </c>
      <c r="O2487" t="s">
        <v>152</v>
      </c>
      <c r="P2487">
        <v>67</v>
      </c>
      <c r="Q2487" t="s">
        <v>155</v>
      </c>
    </row>
    <row r="2488" spans="1:17" x14ac:dyDescent="0.2">
      <c r="A2488">
        <v>1675528</v>
      </c>
      <c r="B2488">
        <v>360</v>
      </c>
      <c r="C2488" s="1" t="s">
        <v>113</v>
      </c>
      <c r="D2488" s="11">
        <v>45137.008333333331</v>
      </c>
      <c r="E2488" t="s">
        <v>191</v>
      </c>
      <c r="F2488" t="s">
        <v>54</v>
      </c>
      <c r="G2488">
        <v>3204</v>
      </c>
      <c r="H2488" s="5" t="s">
        <v>113</v>
      </c>
      <c r="I2488" s="15">
        <v>45137</v>
      </c>
      <c r="J2488" s="15" t="s">
        <v>234</v>
      </c>
      <c r="K2488" s="6">
        <v>0.5083333333333333</v>
      </c>
      <c r="L2488" t="s">
        <v>144</v>
      </c>
      <c r="M2488">
        <v>100000</v>
      </c>
      <c r="N2488" t="s">
        <v>224</v>
      </c>
      <c r="O2488" t="s">
        <v>151</v>
      </c>
      <c r="P2488">
        <v>32</v>
      </c>
      <c r="Q2488" t="s">
        <v>154</v>
      </c>
    </row>
    <row r="2489" spans="1:17" x14ac:dyDescent="0.2">
      <c r="A2489">
        <v>1676930</v>
      </c>
      <c r="B2489">
        <v>640</v>
      </c>
      <c r="C2489" s="1" t="s">
        <v>100</v>
      </c>
      <c r="D2489" s="11">
        <v>45254.986805555556</v>
      </c>
      <c r="E2489" t="s">
        <v>98</v>
      </c>
      <c r="F2489" t="s">
        <v>27</v>
      </c>
      <c r="G2489">
        <v>598</v>
      </c>
      <c r="H2489" s="5" t="s">
        <v>100</v>
      </c>
      <c r="I2489" s="15">
        <v>45254</v>
      </c>
      <c r="J2489" s="15" t="s">
        <v>295</v>
      </c>
      <c r="K2489" s="6">
        <v>0.48680555555555555</v>
      </c>
      <c r="L2489" t="s">
        <v>142</v>
      </c>
      <c r="M2489">
        <v>1000000</v>
      </c>
      <c r="N2489" t="s">
        <v>209</v>
      </c>
      <c r="O2489" t="s">
        <v>152</v>
      </c>
      <c r="P2489">
        <v>51</v>
      </c>
      <c r="Q2489" t="s">
        <v>155</v>
      </c>
    </row>
    <row r="2490" spans="1:17" x14ac:dyDescent="0.2">
      <c r="A2490">
        <v>1677048</v>
      </c>
      <c r="B2490">
        <v>1415</v>
      </c>
      <c r="C2490" s="1" t="s">
        <v>100</v>
      </c>
      <c r="D2490" s="11">
        <v>45218.103472222225</v>
      </c>
      <c r="E2490" t="s">
        <v>191</v>
      </c>
      <c r="F2490" t="s">
        <v>9</v>
      </c>
      <c r="G2490">
        <v>598</v>
      </c>
      <c r="H2490" s="5" t="s">
        <v>100</v>
      </c>
      <c r="I2490" s="15">
        <v>45218</v>
      </c>
      <c r="J2490" s="15" t="s">
        <v>295</v>
      </c>
      <c r="K2490" s="6">
        <v>0.10347222222222222</v>
      </c>
      <c r="L2490" t="s">
        <v>144</v>
      </c>
      <c r="M2490">
        <v>150000</v>
      </c>
      <c r="N2490" t="s">
        <v>202</v>
      </c>
      <c r="O2490" t="s">
        <v>152</v>
      </c>
      <c r="P2490">
        <v>71</v>
      </c>
      <c r="Q2490" t="s">
        <v>156</v>
      </c>
    </row>
    <row r="2491" spans="1:17" x14ac:dyDescent="0.2">
      <c r="A2491">
        <v>1677075</v>
      </c>
      <c r="B2491">
        <v>460</v>
      </c>
      <c r="C2491" s="1" t="s">
        <v>101</v>
      </c>
      <c r="D2491" s="11">
        <v>45211.997916666667</v>
      </c>
      <c r="E2491" t="s">
        <v>97</v>
      </c>
      <c r="F2491" t="s">
        <v>36</v>
      </c>
      <c r="G2491">
        <v>7376</v>
      </c>
      <c r="H2491" s="5" t="s">
        <v>101</v>
      </c>
      <c r="I2491" s="15">
        <v>45211</v>
      </c>
      <c r="J2491" s="15" t="s">
        <v>295</v>
      </c>
      <c r="K2491" s="6">
        <v>0.49791666666666667</v>
      </c>
      <c r="L2491" t="s">
        <v>146</v>
      </c>
      <c r="M2491">
        <v>100000</v>
      </c>
      <c r="N2491" t="s">
        <v>220</v>
      </c>
      <c r="O2491" t="s">
        <v>152</v>
      </c>
      <c r="P2491">
        <v>58</v>
      </c>
      <c r="Q2491" t="s">
        <v>154</v>
      </c>
    </row>
    <row r="2492" spans="1:17" x14ac:dyDescent="0.2">
      <c r="A2492">
        <v>1677682</v>
      </c>
      <c r="B2492">
        <v>1224</v>
      </c>
      <c r="C2492" s="1" t="s">
        <v>100</v>
      </c>
      <c r="D2492" s="11">
        <v>45011.954861111109</v>
      </c>
      <c r="E2492" t="s">
        <v>96</v>
      </c>
      <c r="F2492" t="s">
        <v>48</v>
      </c>
      <c r="G2492">
        <v>8833</v>
      </c>
      <c r="H2492" s="5" t="s">
        <v>100</v>
      </c>
      <c r="I2492" s="15">
        <v>45011</v>
      </c>
      <c r="J2492" s="15" t="s">
        <v>232</v>
      </c>
      <c r="K2492" s="6">
        <v>0.4548611111111111</v>
      </c>
      <c r="L2492" t="s">
        <v>142</v>
      </c>
      <c r="M2492">
        <v>100000</v>
      </c>
      <c r="N2492" t="s">
        <v>209</v>
      </c>
      <c r="O2492" t="s">
        <v>152</v>
      </c>
      <c r="P2492">
        <v>71</v>
      </c>
      <c r="Q2492" t="s">
        <v>156</v>
      </c>
    </row>
    <row r="2493" spans="1:17" x14ac:dyDescent="0.2">
      <c r="A2493">
        <v>1677717</v>
      </c>
      <c r="B2493">
        <v>376</v>
      </c>
      <c r="C2493" s="1" t="s">
        <v>113</v>
      </c>
      <c r="D2493" s="11">
        <v>45098.99722222222</v>
      </c>
      <c r="E2493" t="s">
        <v>96</v>
      </c>
      <c r="F2493" t="s">
        <v>14</v>
      </c>
      <c r="G2493">
        <v>8542</v>
      </c>
      <c r="H2493" s="5" t="s">
        <v>113</v>
      </c>
      <c r="I2493" s="15">
        <v>45098</v>
      </c>
      <c r="J2493" s="15" t="s">
        <v>233</v>
      </c>
      <c r="K2493" s="6">
        <v>0.49722222222222223</v>
      </c>
      <c r="L2493" t="s">
        <v>142</v>
      </c>
      <c r="M2493">
        <v>250000</v>
      </c>
      <c r="N2493" t="s">
        <v>207</v>
      </c>
      <c r="O2493" t="s">
        <v>152</v>
      </c>
      <c r="P2493">
        <v>89</v>
      </c>
      <c r="Q2493" t="s">
        <v>154</v>
      </c>
    </row>
    <row r="2494" spans="1:17" x14ac:dyDescent="0.2">
      <c r="A2494">
        <v>1678550</v>
      </c>
      <c r="B2494">
        <v>1521</v>
      </c>
      <c r="C2494" s="1" t="s">
        <v>99</v>
      </c>
      <c r="D2494" s="11">
        <v>45236.031944444447</v>
      </c>
      <c r="E2494" t="s">
        <v>96</v>
      </c>
      <c r="F2494" t="s">
        <v>61</v>
      </c>
      <c r="G2494">
        <v>8554</v>
      </c>
      <c r="H2494" s="5" t="s">
        <v>99</v>
      </c>
      <c r="I2494" s="15">
        <v>45236</v>
      </c>
      <c r="J2494" s="15" t="s">
        <v>295</v>
      </c>
      <c r="K2494" s="6">
        <v>0.53194444444444444</v>
      </c>
      <c r="L2494" t="s">
        <v>142</v>
      </c>
      <c r="M2494">
        <v>80000</v>
      </c>
      <c r="N2494" t="s">
        <v>197</v>
      </c>
      <c r="O2494" t="s">
        <v>152</v>
      </c>
      <c r="P2494">
        <v>88</v>
      </c>
      <c r="Q2494" t="s">
        <v>157</v>
      </c>
    </row>
    <row r="2495" spans="1:17" x14ac:dyDescent="0.2">
      <c r="A2495">
        <v>1679147</v>
      </c>
      <c r="B2495">
        <v>696</v>
      </c>
      <c r="C2495" s="1" t="s">
        <v>100</v>
      </c>
      <c r="D2495" s="11">
        <v>45032.98333333333</v>
      </c>
      <c r="E2495" t="s">
        <v>96</v>
      </c>
      <c r="F2495" t="s">
        <v>65</v>
      </c>
      <c r="G2495">
        <v>4669</v>
      </c>
      <c r="H2495" s="5" t="s">
        <v>100</v>
      </c>
      <c r="I2495" s="15">
        <v>45032</v>
      </c>
      <c r="J2495" s="15" t="s">
        <v>233</v>
      </c>
      <c r="K2495" s="6">
        <v>0.48333333333333334</v>
      </c>
      <c r="L2495" t="s">
        <v>146</v>
      </c>
      <c r="M2495">
        <v>200000</v>
      </c>
      <c r="N2495" t="s">
        <v>225</v>
      </c>
      <c r="O2495" t="s">
        <v>152</v>
      </c>
      <c r="P2495">
        <v>30</v>
      </c>
      <c r="Q2495" t="s">
        <v>155</v>
      </c>
    </row>
    <row r="2496" spans="1:17" x14ac:dyDescent="0.2">
      <c r="A2496">
        <v>1679923</v>
      </c>
      <c r="B2496">
        <v>1835</v>
      </c>
      <c r="C2496" s="1" t="s">
        <v>102</v>
      </c>
      <c r="D2496" s="11">
        <v>44980.999305555553</v>
      </c>
      <c r="E2496" t="s">
        <v>191</v>
      </c>
      <c r="F2496" t="s">
        <v>27</v>
      </c>
      <c r="G2496">
        <v>2710</v>
      </c>
      <c r="H2496" s="5" t="s">
        <v>102</v>
      </c>
      <c r="I2496" s="15">
        <v>44980</v>
      </c>
      <c r="J2496" s="15" t="s">
        <v>232</v>
      </c>
      <c r="K2496" s="6">
        <v>0.49930555555555556</v>
      </c>
      <c r="L2496" t="s">
        <v>142</v>
      </c>
      <c r="M2496">
        <v>1000000</v>
      </c>
      <c r="N2496" t="s">
        <v>209</v>
      </c>
      <c r="O2496" t="s">
        <v>151</v>
      </c>
      <c r="P2496">
        <v>43</v>
      </c>
      <c r="Q2496" t="s">
        <v>157</v>
      </c>
    </row>
    <row r="2497" spans="1:17" x14ac:dyDescent="0.2">
      <c r="A2497">
        <v>1680806</v>
      </c>
      <c r="B2497">
        <v>1304</v>
      </c>
      <c r="C2497" s="1" t="s">
        <v>107</v>
      </c>
      <c r="D2497" s="11">
        <v>45100.020138888889</v>
      </c>
      <c r="E2497" t="s">
        <v>97</v>
      </c>
      <c r="F2497" t="s">
        <v>18</v>
      </c>
      <c r="G2497">
        <v>3072</v>
      </c>
      <c r="H2497" s="5" t="s">
        <v>107</v>
      </c>
      <c r="I2497" s="15">
        <v>45100</v>
      </c>
      <c r="J2497" s="15" t="s">
        <v>233</v>
      </c>
      <c r="K2497" s="6">
        <v>0.52013888888888893</v>
      </c>
      <c r="L2497" t="s">
        <v>145</v>
      </c>
      <c r="M2497">
        <v>200000</v>
      </c>
      <c r="N2497" t="s">
        <v>210</v>
      </c>
      <c r="O2497" t="s">
        <v>152</v>
      </c>
      <c r="P2497">
        <v>18</v>
      </c>
      <c r="Q2497" t="s">
        <v>156</v>
      </c>
    </row>
    <row r="2498" spans="1:17" x14ac:dyDescent="0.2">
      <c r="A2498">
        <v>1681214</v>
      </c>
      <c r="B2498">
        <v>291</v>
      </c>
      <c r="C2498" s="1" t="s">
        <v>113</v>
      </c>
      <c r="D2498" s="11">
        <v>45061.041666666664</v>
      </c>
      <c r="E2498" t="s">
        <v>98</v>
      </c>
      <c r="F2498" t="s">
        <v>89</v>
      </c>
      <c r="G2498">
        <v>8168</v>
      </c>
      <c r="H2498" s="5" t="s">
        <v>113</v>
      </c>
      <c r="I2498" s="15">
        <v>45061</v>
      </c>
      <c r="J2498" s="15" t="s">
        <v>233</v>
      </c>
      <c r="K2498" s="6">
        <v>4.1666666666666664E-2</v>
      </c>
      <c r="L2498" t="s">
        <v>144</v>
      </c>
      <c r="M2498">
        <v>150000</v>
      </c>
      <c r="N2498" t="s">
        <v>218</v>
      </c>
      <c r="O2498" t="s">
        <v>152</v>
      </c>
      <c r="P2498">
        <v>44</v>
      </c>
      <c r="Q2498" t="s">
        <v>154</v>
      </c>
    </row>
    <row r="2499" spans="1:17" x14ac:dyDescent="0.2">
      <c r="A2499">
        <v>1681720</v>
      </c>
      <c r="B2499">
        <v>71</v>
      </c>
      <c r="C2499" s="1" t="s">
        <v>113</v>
      </c>
      <c r="D2499" s="11">
        <v>45022.01666666667</v>
      </c>
      <c r="E2499" t="s">
        <v>96</v>
      </c>
      <c r="F2499" t="s">
        <v>93</v>
      </c>
      <c r="G2499">
        <v>1552</v>
      </c>
      <c r="H2499" s="5" t="s">
        <v>113</v>
      </c>
      <c r="I2499" s="15">
        <v>45022</v>
      </c>
      <c r="J2499" s="15" t="s">
        <v>233</v>
      </c>
      <c r="K2499" s="6">
        <v>0.51666666666666672</v>
      </c>
      <c r="L2499" t="s">
        <v>146</v>
      </c>
      <c r="M2499">
        <v>30000</v>
      </c>
      <c r="N2499" t="s">
        <v>220</v>
      </c>
      <c r="O2499" t="s">
        <v>151</v>
      </c>
      <c r="P2499">
        <v>48</v>
      </c>
      <c r="Q2499" t="s">
        <v>154</v>
      </c>
    </row>
    <row r="2500" spans="1:17" x14ac:dyDescent="0.2">
      <c r="A2500">
        <v>1682186</v>
      </c>
      <c r="B2500">
        <v>1537</v>
      </c>
      <c r="C2500" s="1" t="s">
        <v>99</v>
      </c>
      <c r="D2500" s="11">
        <v>45138.034722222219</v>
      </c>
      <c r="E2500" t="s">
        <v>97</v>
      </c>
      <c r="F2500" t="s">
        <v>51</v>
      </c>
      <c r="G2500">
        <v>9912</v>
      </c>
      <c r="H2500" s="5" t="s">
        <v>99</v>
      </c>
      <c r="I2500" s="15">
        <v>45138</v>
      </c>
      <c r="J2500" s="15" t="s">
        <v>234</v>
      </c>
      <c r="K2500" s="6">
        <v>0.53472222222222221</v>
      </c>
      <c r="L2500" t="s">
        <v>145</v>
      </c>
      <c r="M2500">
        <v>100000</v>
      </c>
      <c r="N2500" t="s">
        <v>217</v>
      </c>
      <c r="O2500" t="s">
        <v>152</v>
      </c>
      <c r="P2500">
        <v>83</v>
      </c>
      <c r="Q2500" t="s">
        <v>157</v>
      </c>
    </row>
    <row r="2501" spans="1:17" x14ac:dyDescent="0.2">
      <c r="A2501">
        <v>1682358</v>
      </c>
      <c r="B2501">
        <v>567</v>
      </c>
      <c r="C2501" s="1" t="s">
        <v>101</v>
      </c>
      <c r="D2501" s="11">
        <v>45012.97152777778</v>
      </c>
      <c r="E2501" t="s">
        <v>98</v>
      </c>
      <c r="F2501" t="s">
        <v>63</v>
      </c>
      <c r="G2501">
        <v>4540</v>
      </c>
      <c r="H2501" s="5" t="s">
        <v>101</v>
      </c>
      <c r="I2501" s="15">
        <v>45012</v>
      </c>
      <c r="J2501" s="15" t="s">
        <v>232</v>
      </c>
      <c r="K2501" s="6">
        <v>0.47152777777777777</v>
      </c>
      <c r="L2501" t="s">
        <v>143</v>
      </c>
      <c r="M2501">
        <v>100000</v>
      </c>
      <c r="N2501" t="s">
        <v>198</v>
      </c>
      <c r="O2501" t="s">
        <v>151</v>
      </c>
      <c r="P2501">
        <v>37</v>
      </c>
      <c r="Q2501" t="s">
        <v>155</v>
      </c>
    </row>
    <row r="2502" spans="1:17" x14ac:dyDescent="0.2">
      <c r="B2502" s="1"/>
      <c r="C2502" s="3"/>
    </row>
    <row r="2503" spans="1:17" x14ac:dyDescent="0.2">
      <c r="B2503" s="1"/>
      <c r="C2503" s="3"/>
    </row>
    <row r="2504" spans="1:17" x14ac:dyDescent="0.2">
      <c r="B2504" s="1"/>
      <c r="C2504" s="3"/>
    </row>
    <row r="2505" spans="1:17" x14ac:dyDescent="0.2">
      <c r="B2505" s="1"/>
      <c r="C2505" s="3"/>
    </row>
    <row r="2506" spans="1:17" x14ac:dyDescent="0.2">
      <c r="B2506" s="1"/>
      <c r="C2506" s="3"/>
    </row>
    <row r="2507" spans="1:17" x14ac:dyDescent="0.2">
      <c r="B2507" s="1"/>
      <c r="C2507" s="3"/>
    </row>
    <row r="2508" spans="1:17" x14ac:dyDescent="0.2">
      <c r="B2508" s="1"/>
      <c r="C2508" s="3"/>
    </row>
    <row r="2509" spans="1:17" x14ac:dyDescent="0.2">
      <c r="B2509" s="1"/>
      <c r="C2509" s="3"/>
    </row>
    <row r="2510" spans="1:17" x14ac:dyDescent="0.2">
      <c r="B2510" s="1"/>
      <c r="C2510" s="3"/>
    </row>
    <row r="2511" spans="1:17" x14ac:dyDescent="0.2">
      <c r="B2511" s="1"/>
      <c r="C2511" s="3"/>
    </row>
    <row r="2512" spans="1:17" x14ac:dyDescent="0.2">
      <c r="B2512" s="1"/>
      <c r="C2512" s="3"/>
    </row>
    <row r="2513" spans="2:3" x14ac:dyDescent="0.2">
      <c r="B2513" s="1"/>
      <c r="C2513" s="3"/>
    </row>
    <row r="2514" spans="2:3" x14ac:dyDescent="0.2">
      <c r="B2514" s="1"/>
      <c r="C2514" s="3"/>
    </row>
    <row r="2515" spans="2:3" x14ac:dyDescent="0.2">
      <c r="B2515" s="1"/>
      <c r="C2515" s="3"/>
    </row>
    <row r="2516" spans="2:3" x14ac:dyDescent="0.2">
      <c r="B2516" s="1"/>
      <c r="C2516" s="3"/>
    </row>
    <row r="2517" spans="2:3" x14ac:dyDescent="0.2">
      <c r="B2517" s="1"/>
      <c r="C2517" s="3"/>
    </row>
    <row r="2518" spans="2:3" x14ac:dyDescent="0.2">
      <c r="B2518" s="1"/>
      <c r="C2518" s="3"/>
    </row>
    <row r="2519" spans="2:3" x14ac:dyDescent="0.2">
      <c r="B2519" s="1"/>
      <c r="C2519" s="3"/>
    </row>
    <row r="2520" spans="2:3" x14ac:dyDescent="0.2">
      <c r="B2520" s="1"/>
      <c r="C2520" s="3"/>
    </row>
    <row r="2521" spans="2:3" x14ac:dyDescent="0.2">
      <c r="B2521" s="1"/>
      <c r="C2521" s="3"/>
    </row>
    <row r="2522" spans="2:3" x14ac:dyDescent="0.2">
      <c r="B2522" s="1"/>
      <c r="C2522" s="3"/>
    </row>
    <row r="2523" spans="2:3" x14ac:dyDescent="0.2">
      <c r="C2523" s="3"/>
    </row>
    <row r="2524" spans="2:3" x14ac:dyDescent="0.2">
      <c r="C2524" s="3"/>
    </row>
    <row r="2525" spans="2:3" x14ac:dyDescent="0.2">
      <c r="C2525" s="3"/>
    </row>
    <row r="2526" spans="2:3" x14ac:dyDescent="0.2">
      <c r="C2526" s="3"/>
    </row>
    <row r="2527" spans="2:3" x14ac:dyDescent="0.2">
      <c r="C2527" s="3"/>
    </row>
    <row r="2528" spans="2:3" x14ac:dyDescent="0.2">
      <c r="C2528" s="3"/>
    </row>
    <row r="2529" spans="3:3" x14ac:dyDescent="0.2">
      <c r="C2529" s="3"/>
    </row>
    <row r="2530" spans="3:3" x14ac:dyDescent="0.2">
      <c r="C2530" s="3"/>
    </row>
    <row r="2531" spans="3:3" x14ac:dyDescent="0.2">
      <c r="C2531" s="3"/>
    </row>
    <row r="2532" spans="3:3" x14ac:dyDescent="0.2">
      <c r="C2532" s="3"/>
    </row>
    <row r="2533" spans="3:3" x14ac:dyDescent="0.2">
      <c r="C2533" s="3"/>
    </row>
    <row r="2534" spans="3:3" x14ac:dyDescent="0.2">
      <c r="C2534" s="3"/>
    </row>
    <row r="2535" spans="3:3" x14ac:dyDescent="0.2">
      <c r="C2535" s="3"/>
    </row>
    <row r="2536" spans="3:3" x14ac:dyDescent="0.2">
      <c r="C2536" s="3"/>
    </row>
    <row r="2537" spans="3:3" x14ac:dyDescent="0.2">
      <c r="C2537" s="3"/>
    </row>
    <row r="2538" spans="3:3" x14ac:dyDescent="0.2">
      <c r="C2538" s="3"/>
    </row>
    <row r="2539" spans="3:3" x14ac:dyDescent="0.2">
      <c r="C2539" s="3"/>
    </row>
    <row r="2540" spans="3:3" x14ac:dyDescent="0.2">
      <c r="C2540" s="3"/>
    </row>
    <row r="2541" spans="3:3" x14ac:dyDescent="0.2">
      <c r="C2541" s="3"/>
    </row>
    <row r="2542" spans="3:3" x14ac:dyDescent="0.2">
      <c r="C2542" s="3"/>
    </row>
    <row r="2543" spans="3:3" x14ac:dyDescent="0.2">
      <c r="C2543" s="3"/>
    </row>
    <row r="2544" spans="3:3" x14ac:dyDescent="0.2">
      <c r="C2544" s="3"/>
    </row>
    <row r="2545" spans="3:3" x14ac:dyDescent="0.2">
      <c r="C2545" s="3"/>
    </row>
    <row r="2546" spans="3:3" x14ac:dyDescent="0.2">
      <c r="C2546" s="3"/>
    </row>
    <row r="2547" spans="3:3" x14ac:dyDescent="0.2">
      <c r="C2547" s="3"/>
    </row>
    <row r="2548" spans="3:3" x14ac:dyDescent="0.2">
      <c r="C2548" s="3"/>
    </row>
    <row r="2549" spans="3:3" x14ac:dyDescent="0.2">
      <c r="C2549" s="3"/>
    </row>
    <row r="2550" spans="3:3" x14ac:dyDescent="0.2">
      <c r="C2550" s="3"/>
    </row>
    <row r="2551" spans="3:3" x14ac:dyDescent="0.2">
      <c r="C2551" s="3"/>
    </row>
    <row r="2552" spans="3:3" x14ac:dyDescent="0.2">
      <c r="C2552" s="3"/>
    </row>
    <row r="2553" spans="3:3" x14ac:dyDescent="0.2">
      <c r="C2553" s="3"/>
    </row>
    <row r="2554" spans="3:3" x14ac:dyDescent="0.2">
      <c r="C2554" s="3"/>
    </row>
    <row r="2555" spans="3:3" x14ac:dyDescent="0.2">
      <c r="C2555" s="3"/>
    </row>
    <row r="2556" spans="3:3" x14ac:dyDescent="0.2">
      <c r="C2556" s="3"/>
    </row>
    <row r="2557" spans="3:3" x14ac:dyDescent="0.2">
      <c r="C2557" s="3"/>
    </row>
    <row r="2558" spans="3:3" x14ac:dyDescent="0.2">
      <c r="C2558" s="3"/>
    </row>
    <row r="2559" spans="3:3" x14ac:dyDescent="0.2">
      <c r="C2559" s="3"/>
    </row>
    <row r="2560" spans="3:3" x14ac:dyDescent="0.2">
      <c r="C2560" s="3"/>
    </row>
    <row r="2561" spans="3:3" x14ac:dyDescent="0.2">
      <c r="C2561" s="3"/>
    </row>
    <row r="2562" spans="3:3" x14ac:dyDescent="0.2">
      <c r="C2562" s="3"/>
    </row>
    <row r="2563" spans="3:3" x14ac:dyDescent="0.2">
      <c r="C2563" s="3"/>
    </row>
    <row r="2564" spans="3:3" x14ac:dyDescent="0.2">
      <c r="C2564" s="3"/>
    </row>
    <row r="2565" spans="3:3" x14ac:dyDescent="0.2">
      <c r="C2565" s="3"/>
    </row>
    <row r="2566" spans="3:3" x14ac:dyDescent="0.2">
      <c r="C2566" s="3"/>
    </row>
    <row r="2567" spans="3:3" x14ac:dyDescent="0.2">
      <c r="C2567" s="3"/>
    </row>
    <row r="2568" spans="3:3" x14ac:dyDescent="0.2">
      <c r="C2568" s="3"/>
    </row>
    <row r="2569" spans="3:3" x14ac:dyDescent="0.2">
      <c r="C2569" s="3"/>
    </row>
    <row r="2570" spans="3:3" x14ac:dyDescent="0.2">
      <c r="C2570" s="3"/>
    </row>
    <row r="2571" spans="3:3" x14ac:dyDescent="0.2">
      <c r="C2571" s="3"/>
    </row>
    <row r="2572" spans="3:3" x14ac:dyDescent="0.2">
      <c r="C2572" s="3"/>
    </row>
    <row r="2573" spans="3:3" x14ac:dyDescent="0.2">
      <c r="C2573" s="3"/>
    </row>
    <row r="2574" spans="3:3" x14ac:dyDescent="0.2">
      <c r="C2574" s="3"/>
    </row>
    <row r="2575" spans="3:3" x14ac:dyDescent="0.2">
      <c r="C2575" s="3"/>
    </row>
    <row r="2576" spans="3:3" x14ac:dyDescent="0.2">
      <c r="C2576" s="3"/>
    </row>
    <row r="2577" spans="3:3" x14ac:dyDescent="0.2">
      <c r="C2577" s="3"/>
    </row>
    <row r="2578" spans="3:3" x14ac:dyDescent="0.2">
      <c r="C2578" s="3"/>
    </row>
    <row r="2579" spans="3:3" x14ac:dyDescent="0.2">
      <c r="C2579" s="3"/>
    </row>
    <row r="2580" spans="3:3" x14ac:dyDescent="0.2">
      <c r="C2580" s="3"/>
    </row>
    <row r="2581" spans="3:3" x14ac:dyDescent="0.2">
      <c r="C2581" s="3"/>
    </row>
    <row r="2582" spans="3:3" x14ac:dyDescent="0.2">
      <c r="C2582" s="3"/>
    </row>
    <row r="2583" spans="3:3" x14ac:dyDescent="0.2">
      <c r="C2583" s="3"/>
    </row>
    <row r="2584" spans="3:3" x14ac:dyDescent="0.2">
      <c r="C2584" s="3"/>
    </row>
    <row r="2585" spans="3:3" x14ac:dyDescent="0.2">
      <c r="C2585" s="3"/>
    </row>
    <row r="2586" spans="3:3" x14ac:dyDescent="0.2">
      <c r="C2586" s="3"/>
    </row>
    <row r="2587" spans="3:3" x14ac:dyDescent="0.2">
      <c r="C2587" s="3"/>
    </row>
    <row r="2588" spans="3:3" x14ac:dyDescent="0.2">
      <c r="C2588" s="3"/>
    </row>
    <row r="2589" spans="3:3" x14ac:dyDescent="0.2">
      <c r="C2589" s="3"/>
    </row>
    <row r="2590" spans="3:3" x14ac:dyDescent="0.2">
      <c r="C2590" s="3"/>
    </row>
    <row r="2591" spans="3:3" x14ac:dyDescent="0.2">
      <c r="C2591" s="3"/>
    </row>
    <row r="2592" spans="3:3" x14ac:dyDescent="0.2">
      <c r="C2592" s="3"/>
    </row>
    <row r="2593" spans="3:3" x14ac:dyDescent="0.2">
      <c r="C2593" s="3"/>
    </row>
    <row r="2594" spans="3:3" x14ac:dyDescent="0.2">
      <c r="C2594" s="3"/>
    </row>
    <row r="2595" spans="3:3" x14ac:dyDescent="0.2">
      <c r="C2595" s="3"/>
    </row>
    <row r="2596" spans="3:3" x14ac:dyDescent="0.2">
      <c r="C2596" s="3"/>
    </row>
    <row r="2597" spans="3:3" x14ac:dyDescent="0.2">
      <c r="C2597" s="3"/>
    </row>
    <row r="2598" spans="3:3" x14ac:dyDescent="0.2">
      <c r="C2598" s="3"/>
    </row>
    <row r="2599" spans="3:3" x14ac:dyDescent="0.2">
      <c r="C2599" s="3"/>
    </row>
    <row r="2600" spans="3:3" x14ac:dyDescent="0.2">
      <c r="C2600" s="3"/>
    </row>
    <row r="2601" spans="3:3" x14ac:dyDescent="0.2">
      <c r="C2601" s="3"/>
    </row>
    <row r="2602" spans="3:3" x14ac:dyDescent="0.2">
      <c r="C2602" s="3"/>
    </row>
    <row r="2603" spans="3:3" x14ac:dyDescent="0.2">
      <c r="C2603" s="3"/>
    </row>
    <row r="2604" spans="3:3" x14ac:dyDescent="0.2">
      <c r="C2604" s="3"/>
    </row>
    <row r="2605" spans="3:3" x14ac:dyDescent="0.2">
      <c r="C2605" s="3"/>
    </row>
    <row r="2606" spans="3:3" x14ac:dyDescent="0.2">
      <c r="C2606" s="3"/>
    </row>
    <row r="2607" spans="3:3" x14ac:dyDescent="0.2">
      <c r="C2607" s="3"/>
    </row>
    <row r="2608" spans="3:3" x14ac:dyDescent="0.2">
      <c r="C2608" s="3"/>
    </row>
    <row r="2609" spans="3:3" x14ac:dyDescent="0.2">
      <c r="C2609" s="3"/>
    </row>
    <row r="2610" spans="3:3" x14ac:dyDescent="0.2">
      <c r="C2610" s="3"/>
    </row>
    <row r="2611" spans="3:3" x14ac:dyDescent="0.2">
      <c r="C2611" s="3"/>
    </row>
    <row r="2612" spans="3:3" x14ac:dyDescent="0.2">
      <c r="C2612" s="3"/>
    </row>
    <row r="2613" spans="3:3" x14ac:dyDescent="0.2">
      <c r="C2613" s="3"/>
    </row>
    <row r="2614" spans="3:3" x14ac:dyDescent="0.2">
      <c r="C2614" s="3"/>
    </row>
    <row r="2615" spans="3:3" x14ac:dyDescent="0.2">
      <c r="C2615" s="3"/>
    </row>
    <row r="2616" spans="3:3" x14ac:dyDescent="0.2">
      <c r="C2616" s="3"/>
    </row>
    <row r="2617" spans="3:3" x14ac:dyDescent="0.2">
      <c r="C2617" s="3"/>
    </row>
    <row r="2618" spans="3:3" x14ac:dyDescent="0.2">
      <c r="C2618" s="3"/>
    </row>
    <row r="2619" spans="3:3" x14ac:dyDescent="0.2">
      <c r="C2619" s="3"/>
    </row>
    <row r="2620" spans="3:3" x14ac:dyDescent="0.2">
      <c r="C2620" s="3"/>
    </row>
    <row r="2621" spans="3:3" x14ac:dyDescent="0.2">
      <c r="C2621" s="3"/>
    </row>
    <row r="2622" spans="3:3" x14ac:dyDescent="0.2">
      <c r="C2622" s="3"/>
    </row>
    <row r="2623" spans="3:3" x14ac:dyDescent="0.2">
      <c r="C2623" s="3"/>
    </row>
    <row r="2624" spans="3:3" x14ac:dyDescent="0.2">
      <c r="C2624" s="3"/>
    </row>
    <row r="2625" spans="3:3" x14ac:dyDescent="0.2">
      <c r="C2625" s="3"/>
    </row>
    <row r="2626" spans="3:3" x14ac:dyDescent="0.2">
      <c r="C2626" s="3"/>
    </row>
    <row r="2627" spans="3:3" x14ac:dyDescent="0.2">
      <c r="C2627" s="3"/>
    </row>
    <row r="2628" spans="3:3" x14ac:dyDescent="0.2">
      <c r="C2628" s="3"/>
    </row>
    <row r="2629" spans="3:3" x14ac:dyDescent="0.2">
      <c r="C2629" s="3"/>
    </row>
    <row r="2630" spans="3:3" x14ac:dyDescent="0.2">
      <c r="C2630" s="3"/>
    </row>
    <row r="2631" spans="3:3" x14ac:dyDescent="0.2">
      <c r="C2631" s="3"/>
    </row>
    <row r="2632" spans="3:3" x14ac:dyDescent="0.2">
      <c r="C2632" s="3"/>
    </row>
    <row r="2633" spans="3:3" x14ac:dyDescent="0.2">
      <c r="C2633" s="3"/>
    </row>
    <row r="2634" spans="3:3" x14ac:dyDescent="0.2">
      <c r="C2634" s="3"/>
    </row>
    <row r="2635" spans="3:3" x14ac:dyDescent="0.2">
      <c r="C2635" s="3"/>
    </row>
    <row r="2636" spans="3:3" x14ac:dyDescent="0.2">
      <c r="C2636" s="3"/>
    </row>
    <row r="2637" spans="3:3" x14ac:dyDescent="0.2">
      <c r="C2637" s="3"/>
    </row>
    <row r="2638" spans="3:3" x14ac:dyDescent="0.2">
      <c r="C2638" s="3"/>
    </row>
    <row r="2639" spans="3:3" x14ac:dyDescent="0.2">
      <c r="C2639" s="3"/>
    </row>
    <row r="2640" spans="3:3" x14ac:dyDescent="0.2">
      <c r="C2640" s="3"/>
    </row>
    <row r="2641" spans="3:3" x14ac:dyDescent="0.2">
      <c r="C2641" s="3"/>
    </row>
    <row r="2642" spans="3:3" x14ac:dyDescent="0.2">
      <c r="C2642" s="3"/>
    </row>
    <row r="2643" spans="3:3" x14ac:dyDescent="0.2">
      <c r="C2643" s="3"/>
    </row>
    <row r="2644" spans="3:3" x14ac:dyDescent="0.2">
      <c r="C2644" s="3"/>
    </row>
    <row r="2645" spans="3:3" x14ac:dyDescent="0.2">
      <c r="C2645" s="3"/>
    </row>
    <row r="2646" spans="3:3" x14ac:dyDescent="0.2">
      <c r="C2646" s="3"/>
    </row>
    <row r="2647" spans="3:3" x14ac:dyDescent="0.2">
      <c r="C2647" s="3"/>
    </row>
    <row r="2648" spans="3:3" x14ac:dyDescent="0.2">
      <c r="C2648" s="3"/>
    </row>
    <row r="2649" spans="3:3" x14ac:dyDescent="0.2">
      <c r="C2649" s="3"/>
    </row>
    <row r="2650" spans="3:3" x14ac:dyDescent="0.2">
      <c r="C2650" s="3"/>
    </row>
    <row r="2651" spans="3:3" x14ac:dyDescent="0.2">
      <c r="C2651" s="3"/>
    </row>
    <row r="2652" spans="3:3" x14ac:dyDescent="0.2">
      <c r="C2652" s="3"/>
    </row>
    <row r="2653" spans="3:3" x14ac:dyDescent="0.2">
      <c r="C2653" s="3"/>
    </row>
    <row r="2654" spans="3:3" x14ac:dyDescent="0.2">
      <c r="C2654" s="3"/>
    </row>
    <row r="2655" spans="3:3" x14ac:dyDescent="0.2">
      <c r="C2655" s="3"/>
    </row>
    <row r="2656" spans="3:3" x14ac:dyDescent="0.2">
      <c r="C2656" s="3"/>
    </row>
    <row r="2657" spans="3:3" x14ac:dyDescent="0.2">
      <c r="C2657" s="3"/>
    </row>
    <row r="2658" spans="3:3" x14ac:dyDescent="0.2">
      <c r="C2658" s="3"/>
    </row>
    <row r="2659" spans="3:3" x14ac:dyDescent="0.2">
      <c r="C2659" s="3"/>
    </row>
    <row r="2660" spans="3:3" x14ac:dyDescent="0.2">
      <c r="C2660" s="3"/>
    </row>
    <row r="2661" spans="3:3" x14ac:dyDescent="0.2">
      <c r="C2661" s="3"/>
    </row>
    <row r="2662" spans="3:3" x14ac:dyDescent="0.2">
      <c r="C2662" s="3"/>
    </row>
    <row r="2663" spans="3:3" x14ac:dyDescent="0.2">
      <c r="C2663" s="3"/>
    </row>
    <row r="2664" spans="3:3" x14ac:dyDescent="0.2">
      <c r="C2664" s="3"/>
    </row>
    <row r="2665" spans="3:3" x14ac:dyDescent="0.2">
      <c r="C2665" s="3"/>
    </row>
    <row r="2666" spans="3:3" x14ac:dyDescent="0.2">
      <c r="C2666" s="3"/>
    </row>
    <row r="2667" spans="3:3" x14ac:dyDescent="0.2">
      <c r="C2667" s="3"/>
    </row>
    <row r="2668" spans="3:3" x14ac:dyDescent="0.2">
      <c r="C2668" s="3"/>
    </row>
    <row r="2669" spans="3:3" x14ac:dyDescent="0.2">
      <c r="C2669" s="3"/>
    </row>
    <row r="2670" spans="3:3" x14ac:dyDescent="0.2">
      <c r="C2670" s="3"/>
    </row>
    <row r="2671" spans="3:3" x14ac:dyDescent="0.2">
      <c r="C2671" s="3"/>
    </row>
    <row r="2672" spans="3:3" x14ac:dyDescent="0.2">
      <c r="C2672" s="3"/>
    </row>
    <row r="2673" spans="3:3" x14ac:dyDescent="0.2">
      <c r="C2673" s="3"/>
    </row>
    <row r="2674" spans="3:3" x14ac:dyDescent="0.2">
      <c r="C2674" s="3"/>
    </row>
    <row r="2675" spans="3:3" x14ac:dyDescent="0.2">
      <c r="C2675" s="3"/>
    </row>
    <row r="2676" spans="3:3" x14ac:dyDescent="0.2">
      <c r="C2676" s="3"/>
    </row>
    <row r="2677" spans="3:3" x14ac:dyDescent="0.2">
      <c r="C2677" s="3"/>
    </row>
    <row r="2678" spans="3:3" x14ac:dyDescent="0.2">
      <c r="C2678" s="3"/>
    </row>
    <row r="2679" spans="3:3" x14ac:dyDescent="0.2">
      <c r="C2679" s="3"/>
    </row>
    <row r="2680" spans="3:3" x14ac:dyDescent="0.2">
      <c r="C2680" s="3"/>
    </row>
    <row r="2681" spans="3:3" x14ac:dyDescent="0.2">
      <c r="C2681" s="3"/>
    </row>
    <row r="2682" spans="3:3" x14ac:dyDescent="0.2">
      <c r="C2682" s="3"/>
    </row>
    <row r="2683" spans="3:3" x14ac:dyDescent="0.2">
      <c r="C2683" s="3"/>
    </row>
    <row r="2684" spans="3:3" x14ac:dyDescent="0.2">
      <c r="C2684" s="3"/>
    </row>
    <row r="2685" spans="3:3" x14ac:dyDescent="0.2">
      <c r="C2685" s="3"/>
    </row>
    <row r="2686" spans="3:3" x14ac:dyDescent="0.2">
      <c r="C2686" s="3"/>
    </row>
    <row r="2687" spans="3:3" x14ac:dyDescent="0.2">
      <c r="C2687" s="3"/>
    </row>
    <row r="2688" spans="3:3" x14ac:dyDescent="0.2">
      <c r="C2688" s="3"/>
    </row>
    <row r="2689" spans="3:3" x14ac:dyDescent="0.2">
      <c r="C2689" s="3"/>
    </row>
    <row r="2690" spans="3:3" x14ac:dyDescent="0.2">
      <c r="C2690" s="3"/>
    </row>
    <row r="2691" spans="3:3" x14ac:dyDescent="0.2">
      <c r="C2691" s="3"/>
    </row>
    <row r="2692" spans="3:3" x14ac:dyDescent="0.2">
      <c r="C2692" s="3"/>
    </row>
    <row r="2693" spans="3:3" x14ac:dyDescent="0.2">
      <c r="C2693" s="3"/>
    </row>
    <row r="2694" spans="3:3" x14ac:dyDescent="0.2">
      <c r="C2694" s="3"/>
    </row>
    <row r="2695" spans="3:3" x14ac:dyDescent="0.2">
      <c r="C2695" s="3"/>
    </row>
    <row r="2696" spans="3:3" x14ac:dyDescent="0.2">
      <c r="C2696" s="3"/>
    </row>
    <row r="2697" spans="3:3" x14ac:dyDescent="0.2">
      <c r="C2697" s="3"/>
    </row>
    <row r="2698" spans="3:3" x14ac:dyDescent="0.2">
      <c r="C2698" s="3"/>
    </row>
    <row r="2699" spans="3:3" x14ac:dyDescent="0.2">
      <c r="C2699" s="3"/>
    </row>
    <row r="2700" spans="3:3" x14ac:dyDescent="0.2">
      <c r="C2700" s="3"/>
    </row>
    <row r="2701" spans="3:3" x14ac:dyDescent="0.2">
      <c r="C2701" s="3"/>
    </row>
    <row r="2702" spans="3:3" x14ac:dyDescent="0.2">
      <c r="C2702" s="3"/>
    </row>
    <row r="2703" spans="3:3" x14ac:dyDescent="0.2">
      <c r="C2703" s="3"/>
    </row>
    <row r="2704" spans="3:3" x14ac:dyDescent="0.2">
      <c r="C2704" s="3"/>
    </row>
    <row r="2705" spans="3:3" x14ac:dyDescent="0.2">
      <c r="C2705" s="3"/>
    </row>
    <row r="2706" spans="3:3" x14ac:dyDescent="0.2">
      <c r="C2706" s="3"/>
    </row>
    <row r="2707" spans="3:3" x14ac:dyDescent="0.2">
      <c r="C2707" s="3"/>
    </row>
    <row r="2708" spans="3:3" x14ac:dyDescent="0.2">
      <c r="C2708" s="3"/>
    </row>
    <row r="2709" spans="3:3" x14ac:dyDescent="0.2">
      <c r="C2709" s="3"/>
    </row>
    <row r="2710" spans="3:3" x14ac:dyDescent="0.2">
      <c r="C2710" s="3"/>
    </row>
    <row r="2711" spans="3:3" x14ac:dyDescent="0.2">
      <c r="C2711" s="3"/>
    </row>
    <row r="2712" spans="3:3" x14ac:dyDescent="0.2">
      <c r="C2712" s="3"/>
    </row>
    <row r="2713" spans="3:3" x14ac:dyDescent="0.2">
      <c r="C2713" s="3"/>
    </row>
    <row r="2714" spans="3:3" x14ac:dyDescent="0.2">
      <c r="C2714" s="3"/>
    </row>
    <row r="2715" spans="3:3" x14ac:dyDescent="0.2">
      <c r="C2715" s="3"/>
    </row>
    <row r="2716" spans="3:3" x14ac:dyDescent="0.2">
      <c r="C2716" s="3"/>
    </row>
    <row r="2717" spans="3:3" x14ac:dyDescent="0.2">
      <c r="C2717" s="3"/>
    </row>
    <row r="2718" spans="3:3" x14ac:dyDescent="0.2">
      <c r="C2718" s="3"/>
    </row>
    <row r="2719" spans="3:3" x14ac:dyDescent="0.2">
      <c r="C2719" s="3"/>
    </row>
    <row r="2720" spans="3:3" x14ac:dyDescent="0.2">
      <c r="C2720" s="3"/>
    </row>
    <row r="2721" spans="3:3" x14ac:dyDescent="0.2">
      <c r="C2721" s="3"/>
    </row>
    <row r="2722" spans="3:3" x14ac:dyDescent="0.2">
      <c r="C2722" s="3"/>
    </row>
    <row r="2723" spans="3:3" x14ac:dyDescent="0.2">
      <c r="C2723" s="3"/>
    </row>
    <row r="2724" spans="3:3" x14ac:dyDescent="0.2">
      <c r="C2724" s="3"/>
    </row>
    <row r="2725" spans="3:3" x14ac:dyDescent="0.2">
      <c r="C2725" s="3"/>
    </row>
    <row r="2726" spans="3:3" x14ac:dyDescent="0.2">
      <c r="C2726" s="3"/>
    </row>
    <row r="2727" spans="3:3" x14ac:dyDescent="0.2">
      <c r="C2727" s="3"/>
    </row>
    <row r="2728" spans="3:3" x14ac:dyDescent="0.2">
      <c r="C2728" s="3"/>
    </row>
    <row r="2729" spans="3:3" x14ac:dyDescent="0.2">
      <c r="C2729" s="3"/>
    </row>
    <row r="2730" spans="3:3" x14ac:dyDescent="0.2">
      <c r="C2730" s="3"/>
    </row>
    <row r="2731" spans="3:3" x14ac:dyDescent="0.2">
      <c r="C2731" s="3"/>
    </row>
    <row r="2732" spans="3:3" x14ac:dyDescent="0.2">
      <c r="C2732" s="3"/>
    </row>
    <row r="2733" spans="3:3" x14ac:dyDescent="0.2">
      <c r="C2733" s="3"/>
    </row>
    <row r="2734" spans="3:3" x14ac:dyDescent="0.2">
      <c r="C2734" s="3"/>
    </row>
    <row r="2735" spans="3:3" x14ac:dyDescent="0.2">
      <c r="C2735" s="3"/>
    </row>
    <row r="2736" spans="3:3" x14ac:dyDescent="0.2">
      <c r="C2736" s="3"/>
    </row>
    <row r="2737" spans="3:3" x14ac:dyDescent="0.2">
      <c r="C2737" s="3"/>
    </row>
    <row r="2738" spans="3:3" x14ac:dyDescent="0.2">
      <c r="C2738" s="3"/>
    </row>
    <row r="2739" spans="3:3" x14ac:dyDescent="0.2">
      <c r="C2739" s="3"/>
    </row>
    <row r="2740" spans="3:3" x14ac:dyDescent="0.2">
      <c r="C2740" s="3"/>
    </row>
    <row r="2741" spans="3:3" x14ac:dyDescent="0.2">
      <c r="C2741" s="3"/>
    </row>
    <row r="2742" spans="3:3" x14ac:dyDescent="0.2">
      <c r="C2742" s="3"/>
    </row>
    <row r="2743" spans="3:3" x14ac:dyDescent="0.2">
      <c r="C2743" s="3"/>
    </row>
    <row r="2744" spans="3:3" x14ac:dyDescent="0.2">
      <c r="C2744" s="3"/>
    </row>
    <row r="2745" spans="3:3" x14ac:dyDescent="0.2">
      <c r="C2745" s="3"/>
    </row>
    <row r="2746" spans="3:3" x14ac:dyDescent="0.2">
      <c r="C2746" s="3"/>
    </row>
    <row r="2747" spans="3:3" x14ac:dyDescent="0.2">
      <c r="C2747" s="3"/>
    </row>
    <row r="2748" spans="3:3" x14ac:dyDescent="0.2">
      <c r="C2748" s="3"/>
    </row>
    <row r="2749" spans="3:3" x14ac:dyDescent="0.2">
      <c r="C2749" s="3"/>
    </row>
    <row r="2750" spans="3:3" x14ac:dyDescent="0.2">
      <c r="C2750" s="3"/>
    </row>
    <row r="2751" spans="3:3" x14ac:dyDescent="0.2">
      <c r="C2751" s="3"/>
    </row>
    <row r="2752" spans="3:3" x14ac:dyDescent="0.2">
      <c r="C2752" s="3"/>
    </row>
    <row r="2753" spans="3:3" x14ac:dyDescent="0.2">
      <c r="C2753" s="3"/>
    </row>
    <row r="2754" spans="3:3" x14ac:dyDescent="0.2">
      <c r="C2754" s="3"/>
    </row>
    <row r="2755" spans="3:3" x14ac:dyDescent="0.2">
      <c r="C2755" s="3"/>
    </row>
    <row r="2756" spans="3:3" x14ac:dyDescent="0.2">
      <c r="C2756" s="3"/>
    </row>
    <row r="2757" spans="3:3" x14ac:dyDescent="0.2">
      <c r="C2757" s="3"/>
    </row>
    <row r="2758" spans="3:3" x14ac:dyDescent="0.2">
      <c r="C2758" s="3"/>
    </row>
    <row r="2759" spans="3:3" x14ac:dyDescent="0.2">
      <c r="C2759" s="3"/>
    </row>
    <row r="2760" spans="3:3" x14ac:dyDescent="0.2">
      <c r="C2760" s="3"/>
    </row>
    <row r="2761" spans="3:3" x14ac:dyDescent="0.2">
      <c r="C2761" s="3"/>
    </row>
    <row r="2762" spans="3:3" x14ac:dyDescent="0.2">
      <c r="C2762" s="3"/>
    </row>
    <row r="2763" spans="3:3" x14ac:dyDescent="0.2">
      <c r="C2763" s="3"/>
    </row>
    <row r="2764" spans="3:3" x14ac:dyDescent="0.2">
      <c r="C2764" s="3"/>
    </row>
    <row r="2765" spans="3:3" x14ac:dyDescent="0.2">
      <c r="C2765" s="3"/>
    </row>
    <row r="2766" spans="3:3" x14ac:dyDescent="0.2">
      <c r="C2766" s="3"/>
    </row>
    <row r="2767" spans="3:3" x14ac:dyDescent="0.2">
      <c r="C2767" s="3"/>
    </row>
    <row r="2768" spans="3:3" x14ac:dyDescent="0.2">
      <c r="C2768" s="3"/>
    </row>
    <row r="2769" spans="3:3" x14ac:dyDescent="0.2">
      <c r="C2769" s="3"/>
    </row>
    <row r="2770" spans="3:3" x14ac:dyDescent="0.2">
      <c r="C2770" s="3"/>
    </row>
    <row r="2771" spans="3:3" x14ac:dyDescent="0.2">
      <c r="C2771" s="3"/>
    </row>
    <row r="2772" spans="3:3" x14ac:dyDescent="0.2">
      <c r="C2772" s="3"/>
    </row>
    <row r="2773" spans="3:3" x14ac:dyDescent="0.2">
      <c r="C2773" s="3"/>
    </row>
    <row r="2774" spans="3:3" x14ac:dyDescent="0.2">
      <c r="C2774" s="3"/>
    </row>
    <row r="2775" spans="3:3" x14ac:dyDescent="0.2">
      <c r="C2775" s="3"/>
    </row>
    <row r="2776" spans="3:3" x14ac:dyDescent="0.2">
      <c r="C2776" s="3"/>
    </row>
    <row r="2777" spans="3:3" x14ac:dyDescent="0.2">
      <c r="C2777" s="3"/>
    </row>
    <row r="2778" spans="3:3" x14ac:dyDescent="0.2">
      <c r="C2778" s="3"/>
    </row>
    <row r="2779" spans="3:3" x14ac:dyDescent="0.2">
      <c r="C2779" s="3"/>
    </row>
    <row r="2780" spans="3:3" x14ac:dyDescent="0.2">
      <c r="C2780" s="3"/>
    </row>
    <row r="2781" spans="3:3" x14ac:dyDescent="0.2">
      <c r="C2781" s="3"/>
    </row>
    <row r="2782" spans="3:3" x14ac:dyDescent="0.2">
      <c r="C2782" s="3"/>
    </row>
    <row r="2783" spans="3:3" x14ac:dyDescent="0.2">
      <c r="C2783" s="3"/>
    </row>
    <row r="2784" spans="3:3" x14ac:dyDescent="0.2">
      <c r="C2784" s="3"/>
    </row>
    <row r="2785" spans="3:3" x14ac:dyDescent="0.2">
      <c r="C2785" s="3"/>
    </row>
    <row r="2786" spans="3:3" x14ac:dyDescent="0.2">
      <c r="C2786" s="3"/>
    </row>
    <row r="2787" spans="3:3" x14ac:dyDescent="0.2">
      <c r="C2787" s="3"/>
    </row>
    <row r="2788" spans="3:3" x14ac:dyDescent="0.2">
      <c r="C2788" s="3"/>
    </row>
    <row r="2789" spans="3:3" x14ac:dyDescent="0.2">
      <c r="C2789" s="3"/>
    </row>
    <row r="2790" spans="3:3" x14ac:dyDescent="0.2">
      <c r="C2790" s="3"/>
    </row>
    <row r="2791" spans="3:3" x14ac:dyDescent="0.2">
      <c r="C2791" s="3"/>
    </row>
    <row r="2792" spans="3:3" x14ac:dyDescent="0.2">
      <c r="C2792" s="3"/>
    </row>
    <row r="2793" spans="3:3" x14ac:dyDescent="0.2">
      <c r="C2793" s="3"/>
    </row>
    <row r="2794" spans="3:3" x14ac:dyDescent="0.2">
      <c r="C2794" s="3"/>
    </row>
    <row r="2795" spans="3:3" x14ac:dyDescent="0.2">
      <c r="C2795" s="3"/>
    </row>
    <row r="2796" spans="3:3" x14ac:dyDescent="0.2">
      <c r="C2796" s="3"/>
    </row>
    <row r="2797" spans="3:3" x14ac:dyDescent="0.2">
      <c r="C2797" s="3"/>
    </row>
    <row r="2798" spans="3:3" x14ac:dyDescent="0.2">
      <c r="C2798" s="3"/>
    </row>
    <row r="2799" spans="3:3" x14ac:dyDescent="0.2">
      <c r="C2799" s="3"/>
    </row>
    <row r="2800" spans="3:3" x14ac:dyDescent="0.2">
      <c r="C2800" s="3"/>
    </row>
    <row r="2801" spans="3:3" x14ac:dyDescent="0.2">
      <c r="C2801" s="3"/>
    </row>
    <row r="2802" spans="3:3" x14ac:dyDescent="0.2">
      <c r="C2802" s="3"/>
    </row>
    <row r="2803" spans="3:3" x14ac:dyDescent="0.2">
      <c r="C2803" s="3"/>
    </row>
    <row r="2804" spans="3:3" x14ac:dyDescent="0.2">
      <c r="C2804" s="3"/>
    </row>
    <row r="2805" spans="3:3" x14ac:dyDescent="0.2">
      <c r="C2805" s="3"/>
    </row>
    <row r="2806" spans="3:3" x14ac:dyDescent="0.2">
      <c r="C2806" s="3"/>
    </row>
    <row r="2807" spans="3:3" x14ac:dyDescent="0.2">
      <c r="C2807" s="3"/>
    </row>
    <row r="2808" spans="3:3" x14ac:dyDescent="0.2">
      <c r="C2808" s="3"/>
    </row>
    <row r="2809" spans="3:3" x14ac:dyDescent="0.2">
      <c r="C2809" s="3"/>
    </row>
    <row r="2810" spans="3:3" x14ac:dyDescent="0.2">
      <c r="C2810" s="3"/>
    </row>
    <row r="2811" spans="3:3" x14ac:dyDescent="0.2">
      <c r="C2811" s="3"/>
    </row>
    <row r="2812" spans="3:3" x14ac:dyDescent="0.2">
      <c r="C2812" s="3"/>
    </row>
    <row r="2813" spans="3:3" x14ac:dyDescent="0.2">
      <c r="C2813" s="3"/>
    </row>
    <row r="2814" spans="3:3" x14ac:dyDescent="0.2">
      <c r="C2814" s="3"/>
    </row>
    <row r="2815" spans="3:3" x14ac:dyDescent="0.2">
      <c r="C2815" s="3"/>
    </row>
    <row r="2816" spans="3:3" x14ac:dyDescent="0.2">
      <c r="C2816" s="3"/>
    </row>
    <row r="2817" spans="3:3" x14ac:dyDescent="0.2">
      <c r="C2817" s="3"/>
    </row>
    <row r="2818" spans="3:3" x14ac:dyDescent="0.2">
      <c r="C2818" s="3"/>
    </row>
    <row r="2819" spans="3:3" x14ac:dyDescent="0.2">
      <c r="C2819" s="3"/>
    </row>
    <row r="2820" spans="3:3" x14ac:dyDescent="0.2">
      <c r="C2820" s="3"/>
    </row>
    <row r="2821" spans="3:3" x14ac:dyDescent="0.2">
      <c r="C2821" s="3"/>
    </row>
    <row r="2822" spans="3:3" x14ac:dyDescent="0.2">
      <c r="C2822" s="3"/>
    </row>
    <row r="2823" spans="3:3" x14ac:dyDescent="0.2">
      <c r="C2823" s="3"/>
    </row>
  </sheetData>
  <sortState xmlns:xlrd2="http://schemas.microsoft.com/office/spreadsheetml/2017/richdata2" ref="A2:G2501">
    <sortCondition ref="B1:B2501"/>
  </sortState>
  <conditionalFormatting sqref="G2:G2501">
    <cfRule type="top10" dxfId="1" priority="1" bottom="1" rank="10"/>
    <cfRule type="top10" dxfId="0" priority="2" rank="10"/>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8097F-60C5-4D3D-86B3-23A725C3CF40}">
  <sheetPr>
    <tabColor theme="7"/>
  </sheetPr>
  <dimension ref="A1:E2501"/>
  <sheetViews>
    <sheetView zoomScaleNormal="100" workbookViewId="0">
      <selection activeCell="H3" sqref="H3"/>
    </sheetView>
  </sheetViews>
  <sheetFormatPr baseColWidth="10" defaultColWidth="8.83203125" defaultRowHeight="15" x14ac:dyDescent="0.2"/>
  <cols>
    <col min="1" max="1" width="11.33203125" bestFit="1" customWidth="1"/>
    <col min="2" max="2" width="16.33203125" bestFit="1" customWidth="1"/>
  </cols>
  <sheetData>
    <row r="1" spans="1:5" x14ac:dyDescent="0.2">
      <c r="A1" s="4" t="s">
        <v>2</v>
      </c>
      <c r="B1" s="4" t="s">
        <v>114</v>
      </c>
      <c r="C1" s="12" t="s">
        <v>149</v>
      </c>
      <c r="D1" s="12" t="s">
        <v>150</v>
      </c>
      <c r="E1" s="12" t="s">
        <v>153</v>
      </c>
    </row>
    <row r="2" spans="1:5" x14ac:dyDescent="0.2">
      <c r="A2">
        <v>1</v>
      </c>
      <c r="B2" s="1" t="s">
        <v>100</v>
      </c>
      <c r="C2" t="s">
        <v>151</v>
      </c>
      <c r="D2">
        <v>31</v>
      </c>
      <c r="E2" t="s">
        <v>154</v>
      </c>
    </row>
    <row r="3" spans="1:5" x14ac:dyDescent="0.2">
      <c r="A3">
        <v>2</v>
      </c>
      <c r="B3" s="1" t="s">
        <v>105</v>
      </c>
      <c r="C3" t="s">
        <v>151</v>
      </c>
      <c r="D3">
        <v>49</v>
      </c>
      <c r="E3" t="s">
        <v>154</v>
      </c>
    </row>
    <row r="4" spans="1:5" x14ac:dyDescent="0.2">
      <c r="A4">
        <v>3</v>
      </c>
      <c r="B4" s="1" t="s">
        <v>99</v>
      </c>
      <c r="C4" t="s">
        <v>151</v>
      </c>
      <c r="D4">
        <v>39</v>
      </c>
      <c r="E4" t="s">
        <v>154</v>
      </c>
    </row>
    <row r="5" spans="1:5" x14ac:dyDescent="0.2">
      <c r="A5">
        <v>4</v>
      </c>
      <c r="B5" s="1" t="s">
        <v>101</v>
      </c>
      <c r="C5" t="s">
        <v>151</v>
      </c>
      <c r="D5">
        <v>44</v>
      </c>
      <c r="E5" t="s">
        <v>154</v>
      </c>
    </row>
    <row r="6" spans="1:5" x14ac:dyDescent="0.2">
      <c r="A6">
        <v>5</v>
      </c>
      <c r="B6" s="1" t="s">
        <v>108</v>
      </c>
      <c r="C6" t="s">
        <v>151</v>
      </c>
      <c r="D6">
        <v>81</v>
      </c>
      <c r="E6" t="s">
        <v>154</v>
      </c>
    </row>
    <row r="7" spans="1:5" x14ac:dyDescent="0.2">
      <c r="A7">
        <v>6</v>
      </c>
      <c r="B7" s="1" t="s">
        <v>99</v>
      </c>
      <c r="C7" t="s">
        <v>152</v>
      </c>
      <c r="D7">
        <v>62</v>
      </c>
      <c r="E7" t="s">
        <v>154</v>
      </c>
    </row>
    <row r="8" spans="1:5" x14ac:dyDescent="0.2">
      <c r="A8">
        <v>7</v>
      </c>
      <c r="B8" s="1" t="s">
        <v>106</v>
      </c>
      <c r="C8" t="s">
        <v>151</v>
      </c>
      <c r="D8">
        <v>76</v>
      </c>
      <c r="E8" t="s">
        <v>154</v>
      </c>
    </row>
    <row r="9" spans="1:5" x14ac:dyDescent="0.2">
      <c r="A9">
        <v>8</v>
      </c>
      <c r="B9" s="1" t="s">
        <v>100</v>
      </c>
      <c r="C9" t="s">
        <v>152</v>
      </c>
      <c r="D9">
        <v>70</v>
      </c>
      <c r="E9" t="s">
        <v>154</v>
      </c>
    </row>
    <row r="10" spans="1:5" x14ac:dyDescent="0.2">
      <c r="A10">
        <v>9</v>
      </c>
      <c r="B10" s="1" t="s">
        <v>100</v>
      </c>
      <c r="C10" t="s">
        <v>152</v>
      </c>
      <c r="D10">
        <v>75</v>
      </c>
      <c r="E10" t="s">
        <v>154</v>
      </c>
    </row>
    <row r="11" spans="1:5" x14ac:dyDescent="0.2">
      <c r="A11">
        <v>10</v>
      </c>
      <c r="B11" s="1" t="s">
        <v>103</v>
      </c>
      <c r="C11" t="s">
        <v>152</v>
      </c>
      <c r="D11">
        <v>32</v>
      </c>
      <c r="E11" t="s">
        <v>154</v>
      </c>
    </row>
    <row r="12" spans="1:5" x14ac:dyDescent="0.2">
      <c r="A12">
        <v>11</v>
      </c>
      <c r="B12" s="1" t="s">
        <v>99</v>
      </c>
      <c r="C12" t="s">
        <v>152</v>
      </c>
      <c r="D12">
        <v>82</v>
      </c>
      <c r="E12" t="s">
        <v>154</v>
      </c>
    </row>
    <row r="13" spans="1:5" x14ac:dyDescent="0.2">
      <c r="A13">
        <v>12</v>
      </c>
      <c r="B13" s="1" t="s">
        <v>105</v>
      </c>
      <c r="C13" t="s">
        <v>152</v>
      </c>
      <c r="D13">
        <v>65</v>
      </c>
      <c r="E13" t="s">
        <v>154</v>
      </c>
    </row>
    <row r="14" spans="1:5" x14ac:dyDescent="0.2">
      <c r="A14">
        <v>13</v>
      </c>
      <c r="B14" s="1" t="s">
        <v>105</v>
      </c>
      <c r="C14" t="s">
        <v>152</v>
      </c>
      <c r="D14">
        <v>84</v>
      </c>
      <c r="E14" t="s">
        <v>154</v>
      </c>
    </row>
    <row r="15" spans="1:5" x14ac:dyDescent="0.2">
      <c r="A15">
        <v>14</v>
      </c>
      <c r="B15" s="1" t="s">
        <v>101</v>
      </c>
      <c r="C15" t="s">
        <v>151</v>
      </c>
      <c r="D15">
        <v>64</v>
      </c>
      <c r="E15" t="s">
        <v>154</v>
      </c>
    </row>
    <row r="16" spans="1:5" x14ac:dyDescent="0.2">
      <c r="A16">
        <v>15</v>
      </c>
      <c r="B16" s="1" t="s">
        <v>109</v>
      </c>
      <c r="C16" t="s">
        <v>152</v>
      </c>
      <c r="D16">
        <v>48</v>
      </c>
      <c r="E16" t="s">
        <v>154</v>
      </c>
    </row>
    <row r="17" spans="1:5" x14ac:dyDescent="0.2">
      <c r="A17">
        <v>16</v>
      </c>
      <c r="B17" s="1" t="s">
        <v>103</v>
      </c>
      <c r="C17" t="s">
        <v>152</v>
      </c>
      <c r="D17">
        <v>81</v>
      </c>
      <c r="E17" t="s">
        <v>154</v>
      </c>
    </row>
    <row r="18" spans="1:5" x14ac:dyDescent="0.2">
      <c r="A18">
        <v>17</v>
      </c>
      <c r="B18" s="1" t="s">
        <v>99</v>
      </c>
      <c r="C18" t="s">
        <v>151</v>
      </c>
      <c r="D18">
        <v>63</v>
      </c>
      <c r="E18" t="s">
        <v>154</v>
      </c>
    </row>
    <row r="19" spans="1:5" x14ac:dyDescent="0.2">
      <c r="A19">
        <v>18</v>
      </c>
      <c r="B19" s="1" t="s">
        <v>99</v>
      </c>
      <c r="C19" t="s">
        <v>152</v>
      </c>
      <c r="D19">
        <v>85</v>
      </c>
      <c r="E19" t="s">
        <v>154</v>
      </c>
    </row>
    <row r="20" spans="1:5" x14ac:dyDescent="0.2">
      <c r="A20">
        <v>19</v>
      </c>
      <c r="B20" s="1" t="s">
        <v>99</v>
      </c>
      <c r="C20" t="s">
        <v>152</v>
      </c>
      <c r="D20">
        <v>35</v>
      </c>
      <c r="E20" t="s">
        <v>154</v>
      </c>
    </row>
    <row r="21" spans="1:5" x14ac:dyDescent="0.2">
      <c r="A21">
        <v>20</v>
      </c>
      <c r="B21" s="1" t="s">
        <v>99</v>
      </c>
      <c r="C21" t="s">
        <v>152</v>
      </c>
      <c r="D21">
        <v>38</v>
      </c>
      <c r="E21" t="s">
        <v>154</v>
      </c>
    </row>
    <row r="22" spans="1:5" x14ac:dyDescent="0.2">
      <c r="A22">
        <v>21</v>
      </c>
      <c r="B22" s="1" t="s">
        <v>105</v>
      </c>
      <c r="C22" t="s">
        <v>152</v>
      </c>
      <c r="D22">
        <v>68</v>
      </c>
      <c r="E22" t="s">
        <v>154</v>
      </c>
    </row>
    <row r="23" spans="1:5" x14ac:dyDescent="0.2">
      <c r="A23">
        <v>22</v>
      </c>
      <c r="B23" s="1" t="s">
        <v>105</v>
      </c>
      <c r="C23" t="s">
        <v>152</v>
      </c>
      <c r="D23">
        <v>78</v>
      </c>
      <c r="E23" t="s">
        <v>154</v>
      </c>
    </row>
    <row r="24" spans="1:5" x14ac:dyDescent="0.2">
      <c r="A24">
        <v>23</v>
      </c>
      <c r="B24" s="1" t="s">
        <v>105</v>
      </c>
      <c r="C24" t="s">
        <v>152</v>
      </c>
      <c r="D24">
        <v>62</v>
      </c>
      <c r="E24" t="s">
        <v>154</v>
      </c>
    </row>
    <row r="25" spans="1:5" x14ac:dyDescent="0.2">
      <c r="A25">
        <v>24</v>
      </c>
      <c r="B25" s="1" t="s">
        <v>105</v>
      </c>
      <c r="C25" t="s">
        <v>152</v>
      </c>
      <c r="D25">
        <v>47</v>
      </c>
      <c r="E25" t="s">
        <v>154</v>
      </c>
    </row>
    <row r="26" spans="1:5" x14ac:dyDescent="0.2">
      <c r="A26">
        <v>25</v>
      </c>
      <c r="B26" s="1" t="s">
        <v>99</v>
      </c>
      <c r="C26" t="s">
        <v>151</v>
      </c>
      <c r="D26">
        <v>59</v>
      </c>
      <c r="E26" t="s">
        <v>154</v>
      </c>
    </row>
    <row r="27" spans="1:5" x14ac:dyDescent="0.2">
      <c r="A27">
        <v>26</v>
      </c>
      <c r="B27" s="1" t="s">
        <v>100</v>
      </c>
      <c r="C27" t="s">
        <v>151</v>
      </c>
      <c r="D27">
        <v>27</v>
      </c>
      <c r="E27" t="s">
        <v>154</v>
      </c>
    </row>
    <row r="28" spans="1:5" x14ac:dyDescent="0.2">
      <c r="A28">
        <v>27</v>
      </c>
      <c r="B28" s="1" t="s">
        <v>99</v>
      </c>
      <c r="C28" t="s">
        <v>152</v>
      </c>
      <c r="D28">
        <v>66</v>
      </c>
      <c r="E28" t="s">
        <v>154</v>
      </c>
    </row>
    <row r="29" spans="1:5" x14ac:dyDescent="0.2">
      <c r="A29">
        <v>28</v>
      </c>
      <c r="B29" s="1" t="s">
        <v>106</v>
      </c>
      <c r="C29" t="s">
        <v>151</v>
      </c>
      <c r="D29">
        <v>77</v>
      </c>
      <c r="E29" t="s">
        <v>154</v>
      </c>
    </row>
    <row r="30" spans="1:5" x14ac:dyDescent="0.2">
      <c r="A30">
        <v>29</v>
      </c>
      <c r="B30" s="1" t="s">
        <v>105</v>
      </c>
      <c r="C30" t="s">
        <v>152</v>
      </c>
      <c r="D30">
        <v>19</v>
      </c>
      <c r="E30" t="s">
        <v>154</v>
      </c>
    </row>
    <row r="31" spans="1:5" x14ac:dyDescent="0.2">
      <c r="A31">
        <v>30</v>
      </c>
      <c r="B31" s="1" t="s">
        <v>100</v>
      </c>
      <c r="C31" t="s">
        <v>152</v>
      </c>
      <c r="D31">
        <v>72</v>
      </c>
      <c r="E31" t="s">
        <v>154</v>
      </c>
    </row>
    <row r="32" spans="1:5" x14ac:dyDescent="0.2">
      <c r="A32">
        <v>31</v>
      </c>
      <c r="B32" s="1" t="s">
        <v>99</v>
      </c>
      <c r="C32" t="s">
        <v>151</v>
      </c>
      <c r="D32">
        <v>22</v>
      </c>
      <c r="E32" t="s">
        <v>154</v>
      </c>
    </row>
    <row r="33" spans="1:5" x14ac:dyDescent="0.2">
      <c r="A33">
        <v>32</v>
      </c>
      <c r="B33" s="1" t="s">
        <v>105</v>
      </c>
      <c r="C33" t="s">
        <v>152</v>
      </c>
      <c r="D33">
        <v>55</v>
      </c>
      <c r="E33" t="s">
        <v>154</v>
      </c>
    </row>
    <row r="34" spans="1:5" x14ac:dyDescent="0.2">
      <c r="A34">
        <v>33</v>
      </c>
      <c r="B34" s="1" t="s">
        <v>105</v>
      </c>
      <c r="C34" t="s">
        <v>151</v>
      </c>
      <c r="D34">
        <v>53</v>
      </c>
      <c r="E34" t="s">
        <v>154</v>
      </c>
    </row>
    <row r="35" spans="1:5" x14ac:dyDescent="0.2">
      <c r="A35">
        <v>34</v>
      </c>
      <c r="B35" s="1" t="s">
        <v>101</v>
      </c>
      <c r="C35" t="s">
        <v>152</v>
      </c>
      <c r="D35">
        <v>20</v>
      </c>
      <c r="E35" t="s">
        <v>154</v>
      </c>
    </row>
    <row r="36" spans="1:5" x14ac:dyDescent="0.2">
      <c r="A36">
        <v>35</v>
      </c>
      <c r="B36" s="1" t="s">
        <v>101</v>
      </c>
      <c r="C36" t="s">
        <v>151</v>
      </c>
      <c r="D36">
        <v>19</v>
      </c>
      <c r="E36" t="s">
        <v>154</v>
      </c>
    </row>
    <row r="37" spans="1:5" x14ac:dyDescent="0.2">
      <c r="A37">
        <v>36</v>
      </c>
      <c r="B37" s="1" t="s">
        <v>99</v>
      </c>
      <c r="C37" t="s">
        <v>151</v>
      </c>
      <c r="D37">
        <v>63</v>
      </c>
      <c r="E37" t="s">
        <v>154</v>
      </c>
    </row>
    <row r="38" spans="1:5" x14ac:dyDescent="0.2">
      <c r="A38">
        <v>37</v>
      </c>
      <c r="B38" s="1" t="s">
        <v>105</v>
      </c>
      <c r="C38" t="s">
        <v>151</v>
      </c>
      <c r="D38">
        <v>35</v>
      </c>
      <c r="E38" t="s">
        <v>154</v>
      </c>
    </row>
    <row r="39" spans="1:5" x14ac:dyDescent="0.2">
      <c r="A39">
        <v>38</v>
      </c>
      <c r="B39" s="1" t="s">
        <v>104</v>
      </c>
      <c r="C39" t="s">
        <v>151</v>
      </c>
      <c r="D39">
        <v>53</v>
      </c>
      <c r="E39" t="s">
        <v>154</v>
      </c>
    </row>
    <row r="40" spans="1:5" x14ac:dyDescent="0.2">
      <c r="A40">
        <v>39</v>
      </c>
      <c r="B40" s="1" t="s">
        <v>99</v>
      </c>
      <c r="C40" t="s">
        <v>152</v>
      </c>
      <c r="D40">
        <v>46</v>
      </c>
      <c r="E40" t="s">
        <v>154</v>
      </c>
    </row>
    <row r="41" spans="1:5" x14ac:dyDescent="0.2">
      <c r="A41">
        <v>40</v>
      </c>
      <c r="B41" s="1" t="s">
        <v>101</v>
      </c>
      <c r="C41" t="s">
        <v>152</v>
      </c>
      <c r="D41">
        <v>37</v>
      </c>
      <c r="E41" t="s">
        <v>154</v>
      </c>
    </row>
    <row r="42" spans="1:5" x14ac:dyDescent="0.2">
      <c r="A42">
        <v>41</v>
      </c>
      <c r="B42" s="1" t="s">
        <v>101</v>
      </c>
      <c r="C42" t="s">
        <v>152</v>
      </c>
      <c r="D42">
        <v>42</v>
      </c>
      <c r="E42" t="s">
        <v>154</v>
      </c>
    </row>
    <row r="43" spans="1:5" x14ac:dyDescent="0.2">
      <c r="A43">
        <v>42</v>
      </c>
      <c r="B43" s="1" t="s">
        <v>105</v>
      </c>
      <c r="C43" t="s">
        <v>152</v>
      </c>
      <c r="D43">
        <v>43</v>
      </c>
      <c r="E43" t="s">
        <v>154</v>
      </c>
    </row>
    <row r="44" spans="1:5" x14ac:dyDescent="0.2">
      <c r="A44">
        <v>43</v>
      </c>
      <c r="B44" s="1" t="s">
        <v>106</v>
      </c>
      <c r="C44" t="s">
        <v>152</v>
      </c>
      <c r="D44">
        <v>55</v>
      </c>
      <c r="E44" t="s">
        <v>154</v>
      </c>
    </row>
    <row r="45" spans="1:5" x14ac:dyDescent="0.2">
      <c r="A45">
        <v>44</v>
      </c>
      <c r="B45" s="1" t="s">
        <v>106</v>
      </c>
      <c r="C45" t="s">
        <v>151</v>
      </c>
      <c r="D45">
        <v>90</v>
      </c>
      <c r="E45" t="s">
        <v>154</v>
      </c>
    </row>
    <row r="46" spans="1:5" x14ac:dyDescent="0.2">
      <c r="A46">
        <v>45</v>
      </c>
      <c r="B46" s="1" t="s">
        <v>99</v>
      </c>
      <c r="C46" t="s">
        <v>151</v>
      </c>
      <c r="D46">
        <v>89</v>
      </c>
      <c r="E46" t="s">
        <v>154</v>
      </c>
    </row>
    <row r="47" spans="1:5" x14ac:dyDescent="0.2">
      <c r="A47">
        <v>46</v>
      </c>
      <c r="B47" s="1" t="s">
        <v>102</v>
      </c>
      <c r="C47" t="s">
        <v>152</v>
      </c>
      <c r="D47">
        <v>66</v>
      </c>
      <c r="E47" t="s">
        <v>154</v>
      </c>
    </row>
    <row r="48" spans="1:5" x14ac:dyDescent="0.2">
      <c r="A48">
        <v>47</v>
      </c>
      <c r="B48" s="1" t="s">
        <v>105</v>
      </c>
      <c r="C48" t="s">
        <v>151</v>
      </c>
      <c r="D48">
        <v>25</v>
      </c>
      <c r="E48" t="s">
        <v>154</v>
      </c>
    </row>
    <row r="49" spans="1:5" x14ac:dyDescent="0.2">
      <c r="A49">
        <v>48</v>
      </c>
      <c r="B49" s="1" t="s">
        <v>99</v>
      </c>
      <c r="C49" t="s">
        <v>152</v>
      </c>
      <c r="D49">
        <v>66</v>
      </c>
      <c r="E49" t="s">
        <v>154</v>
      </c>
    </row>
    <row r="50" spans="1:5" x14ac:dyDescent="0.2">
      <c r="A50">
        <v>49</v>
      </c>
      <c r="B50" s="1" t="s">
        <v>100</v>
      </c>
      <c r="C50" t="s">
        <v>152</v>
      </c>
      <c r="D50">
        <v>30</v>
      </c>
      <c r="E50" t="s">
        <v>154</v>
      </c>
    </row>
    <row r="51" spans="1:5" x14ac:dyDescent="0.2">
      <c r="A51">
        <v>50</v>
      </c>
      <c r="B51" s="1" t="s">
        <v>103</v>
      </c>
      <c r="C51" t="s">
        <v>152</v>
      </c>
      <c r="D51">
        <v>83</v>
      </c>
      <c r="E51" t="s">
        <v>154</v>
      </c>
    </row>
    <row r="52" spans="1:5" x14ac:dyDescent="0.2">
      <c r="A52">
        <v>51</v>
      </c>
      <c r="B52" s="1" t="s">
        <v>99</v>
      </c>
      <c r="C52" t="s">
        <v>152</v>
      </c>
      <c r="D52">
        <v>63</v>
      </c>
      <c r="E52" t="s">
        <v>154</v>
      </c>
    </row>
    <row r="53" spans="1:5" x14ac:dyDescent="0.2">
      <c r="A53">
        <v>52</v>
      </c>
      <c r="B53" s="1" t="s">
        <v>99</v>
      </c>
      <c r="C53" t="s">
        <v>152</v>
      </c>
      <c r="D53">
        <v>75</v>
      </c>
      <c r="E53" t="s">
        <v>154</v>
      </c>
    </row>
    <row r="54" spans="1:5" x14ac:dyDescent="0.2">
      <c r="A54">
        <v>53</v>
      </c>
      <c r="B54" s="1" t="s">
        <v>107</v>
      </c>
      <c r="C54" t="s">
        <v>151</v>
      </c>
      <c r="D54">
        <v>62</v>
      </c>
      <c r="E54" t="s">
        <v>154</v>
      </c>
    </row>
    <row r="55" spans="1:5" x14ac:dyDescent="0.2">
      <c r="A55">
        <v>54</v>
      </c>
      <c r="B55" s="1" t="s">
        <v>113</v>
      </c>
      <c r="C55" t="s">
        <v>152</v>
      </c>
      <c r="D55">
        <v>52</v>
      </c>
      <c r="E55" t="s">
        <v>154</v>
      </c>
    </row>
    <row r="56" spans="1:5" x14ac:dyDescent="0.2">
      <c r="A56">
        <v>55</v>
      </c>
      <c r="B56" s="1" t="s">
        <v>108</v>
      </c>
      <c r="C56" t="s">
        <v>152</v>
      </c>
      <c r="D56">
        <v>32</v>
      </c>
      <c r="E56" t="s">
        <v>154</v>
      </c>
    </row>
    <row r="57" spans="1:5" x14ac:dyDescent="0.2">
      <c r="A57">
        <v>56</v>
      </c>
      <c r="B57" s="1" t="s">
        <v>101</v>
      </c>
      <c r="C57" t="s">
        <v>152</v>
      </c>
      <c r="D57">
        <v>32</v>
      </c>
      <c r="E57" t="s">
        <v>154</v>
      </c>
    </row>
    <row r="58" spans="1:5" x14ac:dyDescent="0.2">
      <c r="A58">
        <v>57</v>
      </c>
      <c r="B58" s="1" t="s">
        <v>113</v>
      </c>
      <c r="C58" t="s">
        <v>151</v>
      </c>
      <c r="D58">
        <v>79</v>
      </c>
      <c r="E58" t="s">
        <v>154</v>
      </c>
    </row>
    <row r="59" spans="1:5" x14ac:dyDescent="0.2">
      <c r="A59">
        <v>58</v>
      </c>
      <c r="B59" s="1" t="s">
        <v>109</v>
      </c>
      <c r="C59" t="s">
        <v>151</v>
      </c>
      <c r="D59">
        <v>29</v>
      </c>
      <c r="E59" t="s">
        <v>154</v>
      </c>
    </row>
    <row r="60" spans="1:5" x14ac:dyDescent="0.2">
      <c r="A60">
        <v>59</v>
      </c>
      <c r="B60" s="1" t="s">
        <v>101</v>
      </c>
      <c r="C60" t="s">
        <v>152</v>
      </c>
      <c r="D60">
        <v>70</v>
      </c>
      <c r="E60" t="s">
        <v>154</v>
      </c>
    </row>
    <row r="61" spans="1:5" x14ac:dyDescent="0.2">
      <c r="A61">
        <v>60</v>
      </c>
      <c r="B61" s="1" t="s">
        <v>99</v>
      </c>
      <c r="C61" t="s">
        <v>151</v>
      </c>
      <c r="D61">
        <v>60</v>
      </c>
      <c r="E61" t="s">
        <v>154</v>
      </c>
    </row>
    <row r="62" spans="1:5" x14ac:dyDescent="0.2">
      <c r="A62">
        <v>61</v>
      </c>
      <c r="B62" s="1" t="s">
        <v>105</v>
      </c>
      <c r="C62" t="s">
        <v>152</v>
      </c>
      <c r="D62">
        <v>47</v>
      </c>
      <c r="E62" t="s">
        <v>154</v>
      </c>
    </row>
    <row r="63" spans="1:5" x14ac:dyDescent="0.2">
      <c r="A63">
        <v>62</v>
      </c>
      <c r="B63" s="1" t="s">
        <v>99</v>
      </c>
      <c r="C63" t="s">
        <v>152</v>
      </c>
      <c r="D63">
        <v>42</v>
      </c>
      <c r="E63" t="s">
        <v>154</v>
      </c>
    </row>
    <row r="64" spans="1:5" x14ac:dyDescent="0.2">
      <c r="A64">
        <v>63</v>
      </c>
      <c r="B64" s="1" t="s">
        <v>103</v>
      </c>
      <c r="C64" t="s">
        <v>151</v>
      </c>
      <c r="D64">
        <v>23</v>
      </c>
      <c r="E64" t="s">
        <v>154</v>
      </c>
    </row>
    <row r="65" spans="1:5" x14ac:dyDescent="0.2">
      <c r="A65">
        <v>64</v>
      </c>
      <c r="B65" s="1" t="s">
        <v>99</v>
      </c>
      <c r="C65" t="s">
        <v>151</v>
      </c>
      <c r="D65">
        <v>74</v>
      </c>
      <c r="E65" t="s">
        <v>154</v>
      </c>
    </row>
    <row r="66" spans="1:5" x14ac:dyDescent="0.2">
      <c r="A66">
        <v>65</v>
      </c>
      <c r="B66" s="1" t="s">
        <v>105</v>
      </c>
      <c r="C66" t="s">
        <v>152</v>
      </c>
      <c r="D66">
        <v>37</v>
      </c>
      <c r="E66" t="s">
        <v>154</v>
      </c>
    </row>
    <row r="67" spans="1:5" x14ac:dyDescent="0.2">
      <c r="A67">
        <v>66</v>
      </c>
      <c r="B67" s="1" t="s">
        <v>101</v>
      </c>
      <c r="C67" t="s">
        <v>151</v>
      </c>
      <c r="D67">
        <v>30</v>
      </c>
      <c r="E67" t="s">
        <v>154</v>
      </c>
    </row>
    <row r="68" spans="1:5" x14ac:dyDescent="0.2">
      <c r="A68">
        <v>67</v>
      </c>
      <c r="B68" s="1" t="s">
        <v>107</v>
      </c>
      <c r="C68" t="s">
        <v>151</v>
      </c>
      <c r="D68">
        <v>51</v>
      </c>
      <c r="E68" t="s">
        <v>154</v>
      </c>
    </row>
    <row r="69" spans="1:5" x14ac:dyDescent="0.2">
      <c r="A69">
        <v>68</v>
      </c>
      <c r="B69" s="1" t="s">
        <v>102</v>
      </c>
      <c r="C69" t="s">
        <v>152</v>
      </c>
      <c r="D69">
        <v>42</v>
      </c>
      <c r="E69" t="s">
        <v>154</v>
      </c>
    </row>
    <row r="70" spans="1:5" x14ac:dyDescent="0.2">
      <c r="A70">
        <v>69</v>
      </c>
      <c r="B70" s="1" t="s">
        <v>99</v>
      </c>
      <c r="C70" t="s">
        <v>151</v>
      </c>
      <c r="D70">
        <v>39</v>
      </c>
      <c r="E70" t="s">
        <v>154</v>
      </c>
    </row>
    <row r="71" spans="1:5" x14ac:dyDescent="0.2">
      <c r="A71">
        <v>70</v>
      </c>
      <c r="B71" s="1" t="s">
        <v>105</v>
      </c>
      <c r="C71" t="s">
        <v>151</v>
      </c>
      <c r="D71">
        <v>38</v>
      </c>
      <c r="E71" t="s">
        <v>154</v>
      </c>
    </row>
    <row r="72" spans="1:5" x14ac:dyDescent="0.2">
      <c r="A72">
        <v>71</v>
      </c>
      <c r="B72" s="1" t="s">
        <v>113</v>
      </c>
      <c r="C72" t="s">
        <v>151</v>
      </c>
      <c r="D72">
        <v>48</v>
      </c>
      <c r="E72" t="s">
        <v>154</v>
      </c>
    </row>
    <row r="73" spans="1:5" x14ac:dyDescent="0.2">
      <c r="A73">
        <v>72</v>
      </c>
      <c r="B73" s="1" t="s">
        <v>105</v>
      </c>
      <c r="C73" t="s">
        <v>152</v>
      </c>
      <c r="D73">
        <v>18</v>
      </c>
      <c r="E73" t="s">
        <v>154</v>
      </c>
    </row>
    <row r="74" spans="1:5" x14ac:dyDescent="0.2">
      <c r="A74">
        <v>73</v>
      </c>
      <c r="B74" s="1" t="s">
        <v>109</v>
      </c>
      <c r="C74" t="s">
        <v>152</v>
      </c>
      <c r="D74">
        <v>34</v>
      </c>
      <c r="E74" t="s">
        <v>154</v>
      </c>
    </row>
    <row r="75" spans="1:5" x14ac:dyDescent="0.2">
      <c r="A75">
        <v>74</v>
      </c>
      <c r="B75" s="1" t="s">
        <v>99</v>
      </c>
      <c r="C75" t="s">
        <v>152</v>
      </c>
      <c r="D75">
        <v>28</v>
      </c>
      <c r="E75" t="s">
        <v>154</v>
      </c>
    </row>
    <row r="76" spans="1:5" x14ac:dyDescent="0.2">
      <c r="A76">
        <v>75</v>
      </c>
      <c r="B76" s="1" t="s">
        <v>101</v>
      </c>
      <c r="C76" t="s">
        <v>152</v>
      </c>
      <c r="D76">
        <v>36</v>
      </c>
      <c r="E76" t="s">
        <v>154</v>
      </c>
    </row>
    <row r="77" spans="1:5" x14ac:dyDescent="0.2">
      <c r="A77">
        <v>76</v>
      </c>
      <c r="B77" s="1" t="s">
        <v>99</v>
      </c>
      <c r="C77" t="s">
        <v>151</v>
      </c>
      <c r="D77">
        <v>56</v>
      </c>
      <c r="E77" t="s">
        <v>154</v>
      </c>
    </row>
    <row r="78" spans="1:5" x14ac:dyDescent="0.2">
      <c r="A78">
        <v>77</v>
      </c>
      <c r="B78" s="1" t="s">
        <v>99</v>
      </c>
      <c r="C78" t="s">
        <v>151</v>
      </c>
      <c r="D78">
        <v>38</v>
      </c>
      <c r="E78" t="s">
        <v>154</v>
      </c>
    </row>
    <row r="79" spans="1:5" x14ac:dyDescent="0.2">
      <c r="A79">
        <v>78</v>
      </c>
      <c r="B79" s="1" t="s">
        <v>101</v>
      </c>
      <c r="C79" t="s">
        <v>151</v>
      </c>
      <c r="D79">
        <v>68</v>
      </c>
      <c r="E79" t="s">
        <v>154</v>
      </c>
    </row>
    <row r="80" spans="1:5" x14ac:dyDescent="0.2">
      <c r="A80">
        <v>79</v>
      </c>
      <c r="B80" s="1" t="s">
        <v>113</v>
      </c>
      <c r="C80" t="s">
        <v>152</v>
      </c>
      <c r="D80">
        <v>28</v>
      </c>
      <c r="E80" t="s">
        <v>154</v>
      </c>
    </row>
    <row r="81" spans="1:5" x14ac:dyDescent="0.2">
      <c r="A81">
        <v>80</v>
      </c>
      <c r="B81" s="1" t="s">
        <v>99</v>
      </c>
      <c r="C81" t="s">
        <v>151</v>
      </c>
      <c r="D81">
        <v>37</v>
      </c>
      <c r="E81" t="s">
        <v>154</v>
      </c>
    </row>
    <row r="82" spans="1:5" x14ac:dyDescent="0.2">
      <c r="A82">
        <v>81</v>
      </c>
      <c r="B82" s="1" t="s">
        <v>99</v>
      </c>
      <c r="C82" t="s">
        <v>151</v>
      </c>
      <c r="D82">
        <v>86</v>
      </c>
      <c r="E82" t="s">
        <v>154</v>
      </c>
    </row>
    <row r="83" spans="1:5" x14ac:dyDescent="0.2">
      <c r="A83">
        <v>82</v>
      </c>
      <c r="B83" s="1" t="s">
        <v>105</v>
      </c>
      <c r="C83" t="s">
        <v>152</v>
      </c>
      <c r="D83">
        <v>28</v>
      </c>
      <c r="E83" t="s">
        <v>154</v>
      </c>
    </row>
    <row r="84" spans="1:5" x14ac:dyDescent="0.2">
      <c r="A84">
        <v>83</v>
      </c>
      <c r="B84" s="1" t="s">
        <v>107</v>
      </c>
      <c r="C84" t="s">
        <v>152</v>
      </c>
      <c r="D84">
        <v>31</v>
      </c>
      <c r="E84" t="s">
        <v>154</v>
      </c>
    </row>
    <row r="85" spans="1:5" x14ac:dyDescent="0.2">
      <c r="A85">
        <v>84</v>
      </c>
      <c r="B85" s="1" t="s">
        <v>99</v>
      </c>
      <c r="C85" t="s">
        <v>151</v>
      </c>
      <c r="D85">
        <v>85</v>
      </c>
      <c r="E85" t="s">
        <v>154</v>
      </c>
    </row>
    <row r="86" spans="1:5" x14ac:dyDescent="0.2">
      <c r="A86">
        <v>85</v>
      </c>
      <c r="B86" s="1" t="s">
        <v>107</v>
      </c>
      <c r="C86" t="s">
        <v>151</v>
      </c>
      <c r="D86">
        <v>20</v>
      </c>
      <c r="E86" t="s">
        <v>154</v>
      </c>
    </row>
    <row r="87" spans="1:5" x14ac:dyDescent="0.2">
      <c r="A87">
        <v>86</v>
      </c>
      <c r="B87" s="1" t="s">
        <v>107</v>
      </c>
      <c r="C87" t="s">
        <v>152</v>
      </c>
      <c r="D87">
        <v>89</v>
      </c>
      <c r="E87" t="s">
        <v>154</v>
      </c>
    </row>
    <row r="88" spans="1:5" x14ac:dyDescent="0.2">
      <c r="A88">
        <v>87</v>
      </c>
      <c r="B88" s="1" t="s">
        <v>113</v>
      </c>
      <c r="C88" t="s">
        <v>151</v>
      </c>
      <c r="D88">
        <v>62</v>
      </c>
      <c r="E88" t="s">
        <v>154</v>
      </c>
    </row>
    <row r="89" spans="1:5" x14ac:dyDescent="0.2">
      <c r="A89">
        <v>88</v>
      </c>
      <c r="B89" s="1" t="s">
        <v>99</v>
      </c>
      <c r="C89" t="s">
        <v>151</v>
      </c>
      <c r="D89">
        <v>76</v>
      </c>
      <c r="E89" t="s">
        <v>154</v>
      </c>
    </row>
    <row r="90" spans="1:5" x14ac:dyDescent="0.2">
      <c r="A90">
        <v>89</v>
      </c>
      <c r="B90" s="1" t="s">
        <v>107</v>
      </c>
      <c r="C90" t="s">
        <v>151</v>
      </c>
      <c r="D90">
        <v>33</v>
      </c>
      <c r="E90" t="s">
        <v>154</v>
      </c>
    </row>
    <row r="91" spans="1:5" x14ac:dyDescent="0.2">
      <c r="A91">
        <v>90</v>
      </c>
      <c r="B91" s="1" t="s">
        <v>99</v>
      </c>
      <c r="C91" t="s">
        <v>152</v>
      </c>
      <c r="D91">
        <v>48</v>
      </c>
      <c r="E91" t="s">
        <v>154</v>
      </c>
    </row>
    <row r="92" spans="1:5" x14ac:dyDescent="0.2">
      <c r="A92">
        <v>91</v>
      </c>
      <c r="B92" s="1" t="s">
        <v>105</v>
      </c>
      <c r="C92" t="s">
        <v>151</v>
      </c>
      <c r="D92">
        <v>61</v>
      </c>
      <c r="E92" t="s">
        <v>154</v>
      </c>
    </row>
    <row r="93" spans="1:5" x14ac:dyDescent="0.2">
      <c r="A93">
        <v>92</v>
      </c>
      <c r="B93" s="1" t="s">
        <v>108</v>
      </c>
      <c r="C93" t="s">
        <v>151</v>
      </c>
      <c r="D93">
        <v>75</v>
      </c>
      <c r="E93" t="s">
        <v>154</v>
      </c>
    </row>
    <row r="94" spans="1:5" x14ac:dyDescent="0.2">
      <c r="A94">
        <v>93</v>
      </c>
      <c r="B94" s="1" t="s">
        <v>105</v>
      </c>
      <c r="C94" t="s">
        <v>151</v>
      </c>
      <c r="D94">
        <v>87</v>
      </c>
      <c r="E94" t="s">
        <v>154</v>
      </c>
    </row>
    <row r="95" spans="1:5" x14ac:dyDescent="0.2">
      <c r="A95">
        <v>94</v>
      </c>
      <c r="B95" s="1" t="s">
        <v>108</v>
      </c>
      <c r="C95" t="s">
        <v>151</v>
      </c>
      <c r="D95">
        <v>65</v>
      </c>
      <c r="E95" t="s">
        <v>154</v>
      </c>
    </row>
    <row r="96" spans="1:5" x14ac:dyDescent="0.2">
      <c r="A96">
        <v>95</v>
      </c>
      <c r="B96" s="1" t="s">
        <v>113</v>
      </c>
      <c r="C96" t="s">
        <v>151</v>
      </c>
      <c r="D96">
        <v>50</v>
      </c>
      <c r="E96" t="s">
        <v>154</v>
      </c>
    </row>
    <row r="97" spans="1:5" x14ac:dyDescent="0.2">
      <c r="A97">
        <v>96</v>
      </c>
      <c r="B97" s="1" t="s">
        <v>99</v>
      </c>
      <c r="C97" t="s">
        <v>151</v>
      </c>
      <c r="D97">
        <v>43</v>
      </c>
      <c r="E97" t="s">
        <v>154</v>
      </c>
    </row>
    <row r="98" spans="1:5" x14ac:dyDescent="0.2">
      <c r="A98">
        <v>97</v>
      </c>
      <c r="B98" s="1" t="s">
        <v>99</v>
      </c>
      <c r="C98" t="s">
        <v>152</v>
      </c>
      <c r="D98">
        <v>84</v>
      </c>
      <c r="E98" t="s">
        <v>154</v>
      </c>
    </row>
    <row r="99" spans="1:5" x14ac:dyDescent="0.2">
      <c r="A99">
        <v>98</v>
      </c>
      <c r="B99" s="1" t="s">
        <v>108</v>
      </c>
      <c r="C99" t="s">
        <v>151</v>
      </c>
      <c r="D99">
        <v>35</v>
      </c>
      <c r="E99" t="s">
        <v>154</v>
      </c>
    </row>
    <row r="100" spans="1:5" x14ac:dyDescent="0.2">
      <c r="A100">
        <v>99</v>
      </c>
      <c r="B100" s="1" t="s">
        <v>101</v>
      </c>
      <c r="C100" t="s">
        <v>152</v>
      </c>
      <c r="D100">
        <v>79</v>
      </c>
      <c r="E100" t="s">
        <v>154</v>
      </c>
    </row>
    <row r="101" spans="1:5" x14ac:dyDescent="0.2">
      <c r="A101">
        <v>100</v>
      </c>
      <c r="B101" s="1" t="s">
        <v>111</v>
      </c>
      <c r="C101" t="s">
        <v>151</v>
      </c>
      <c r="D101">
        <v>85</v>
      </c>
      <c r="E101" t="s">
        <v>154</v>
      </c>
    </row>
    <row r="102" spans="1:5" x14ac:dyDescent="0.2">
      <c r="A102">
        <v>101</v>
      </c>
      <c r="B102" s="1" t="s">
        <v>99</v>
      </c>
      <c r="C102" t="s">
        <v>152</v>
      </c>
      <c r="D102">
        <v>63</v>
      </c>
      <c r="E102" t="s">
        <v>154</v>
      </c>
    </row>
    <row r="103" spans="1:5" x14ac:dyDescent="0.2">
      <c r="A103">
        <v>102</v>
      </c>
      <c r="B103" s="1" t="s">
        <v>99</v>
      </c>
      <c r="C103" t="s">
        <v>152</v>
      </c>
      <c r="D103">
        <v>43</v>
      </c>
      <c r="E103" t="s">
        <v>154</v>
      </c>
    </row>
    <row r="104" spans="1:5" x14ac:dyDescent="0.2">
      <c r="A104">
        <v>103</v>
      </c>
      <c r="B104" s="1" t="s">
        <v>113</v>
      </c>
      <c r="C104" t="s">
        <v>151</v>
      </c>
      <c r="D104">
        <v>24</v>
      </c>
      <c r="E104" t="s">
        <v>154</v>
      </c>
    </row>
    <row r="105" spans="1:5" x14ac:dyDescent="0.2">
      <c r="A105">
        <v>104</v>
      </c>
      <c r="B105" s="1" t="s">
        <v>101</v>
      </c>
      <c r="C105" t="s">
        <v>151</v>
      </c>
      <c r="D105">
        <v>46</v>
      </c>
      <c r="E105" t="s">
        <v>154</v>
      </c>
    </row>
    <row r="106" spans="1:5" x14ac:dyDescent="0.2">
      <c r="A106">
        <v>105</v>
      </c>
      <c r="B106" s="1" t="s">
        <v>99</v>
      </c>
      <c r="C106" t="s">
        <v>151</v>
      </c>
      <c r="D106">
        <v>80</v>
      </c>
      <c r="E106" t="s">
        <v>154</v>
      </c>
    </row>
    <row r="107" spans="1:5" x14ac:dyDescent="0.2">
      <c r="A107">
        <v>106</v>
      </c>
      <c r="B107" s="1" t="s">
        <v>101</v>
      </c>
      <c r="C107" t="s">
        <v>152</v>
      </c>
      <c r="D107">
        <v>40</v>
      </c>
      <c r="E107" t="s">
        <v>154</v>
      </c>
    </row>
    <row r="108" spans="1:5" x14ac:dyDescent="0.2">
      <c r="A108">
        <v>107</v>
      </c>
      <c r="B108" s="1" t="s">
        <v>99</v>
      </c>
      <c r="C108" t="s">
        <v>151</v>
      </c>
      <c r="D108">
        <v>48</v>
      </c>
      <c r="E108" t="s">
        <v>154</v>
      </c>
    </row>
    <row r="109" spans="1:5" x14ac:dyDescent="0.2">
      <c r="A109">
        <v>108</v>
      </c>
      <c r="B109" s="1" t="s">
        <v>105</v>
      </c>
      <c r="C109" t="s">
        <v>151</v>
      </c>
      <c r="D109">
        <v>63</v>
      </c>
      <c r="E109" t="s">
        <v>154</v>
      </c>
    </row>
    <row r="110" spans="1:5" x14ac:dyDescent="0.2">
      <c r="A110">
        <v>109</v>
      </c>
      <c r="B110" s="1" t="s">
        <v>99</v>
      </c>
      <c r="C110" t="s">
        <v>152</v>
      </c>
      <c r="D110">
        <v>32</v>
      </c>
      <c r="E110" t="s">
        <v>154</v>
      </c>
    </row>
    <row r="111" spans="1:5" x14ac:dyDescent="0.2">
      <c r="A111">
        <v>110</v>
      </c>
      <c r="B111" s="1" t="s">
        <v>99</v>
      </c>
      <c r="C111" t="s">
        <v>151</v>
      </c>
      <c r="D111">
        <v>78</v>
      </c>
      <c r="E111" t="s">
        <v>154</v>
      </c>
    </row>
    <row r="112" spans="1:5" x14ac:dyDescent="0.2">
      <c r="A112">
        <v>111</v>
      </c>
      <c r="B112" s="1" t="s">
        <v>113</v>
      </c>
      <c r="C112" t="s">
        <v>152</v>
      </c>
      <c r="D112">
        <v>27</v>
      </c>
      <c r="E112" t="s">
        <v>154</v>
      </c>
    </row>
    <row r="113" spans="1:5" x14ac:dyDescent="0.2">
      <c r="A113">
        <v>112</v>
      </c>
      <c r="B113" s="1" t="s">
        <v>99</v>
      </c>
      <c r="C113" t="s">
        <v>151</v>
      </c>
      <c r="D113">
        <v>70</v>
      </c>
      <c r="E113" t="s">
        <v>154</v>
      </c>
    </row>
    <row r="114" spans="1:5" x14ac:dyDescent="0.2">
      <c r="A114">
        <v>113</v>
      </c>
      <c r="B114" s="1" t="s">
        <v>99</v>
      </c>
      <c r="C114" t="s">
        <v>152</v>
      </c>
      <c r="D114">
        <v>72</v>
      </c>
      <c r="E114" t="s">
        <v>154</v>
      </c>
    </row>
    <row r="115" spans="1:5" x14ac:dyDescent="0.2">
      <c r="A115">
        <v>114</v>
      </c>
      <c r="B115" s="1" t="s">
        <v>99</v>
      </c>
      <c r="C115" t="s">
        <v>151</v>
      </c>
      <c r="D115">
        <v>38</v>
      </c>
      <c r="E115" t="s">
        <v>154</v>
      </c>
    </row>
    <row r="116" spans="1:5" x14ac:dyDescent="0.2">
      <c r="A116">
        <v>115</v>
      </c>
      <c r="B116" s="1" t="s">
        <v>99</v>
      </c>
      <c r="C116" t="s">
        <v>152</v>
      </c>
      <c r="D116">
        <v>64</v>
      </c>
      <c r="E116" t="s">
        <v>154</v>
      </c>
    </row>
    <row r="117" spans="1:5" x14ac:dyDescent="0.2">
      <c r="A117">
        <v>116</v>
      </c>
      <c r="B117" s="1" t="s">
        <v>108</v>
      </c>
      <c r="C117" t="s">
        <v>151</v>
      </c>
      <c r="D117">
        <v>88</v>
      </c>
      <c r="E117" t="s">
        <v>154</v>
      </c>
    </row>
    <row r="118" spans="1:5" x14ac:dyDescent="0.2">
      <c r="A118">
        <v>117</v>
      </c>
      <c r="B118" s="1" t="s">
        <v>113</v>
      </c>
      <c r="C118" t="s">
        <v>152</v>
      </c>
      <c r="D118">
        <v>28</v>
      </c>
      <c r="E118" t="s">
        <v>154</v>
      </c>
    </row>
    <row r="119" spans="1:5" x14ac:dyDescent="0.2">
      <c r="A119">
        <v>118</v>
      </c>
      <c r="B119" s="1" t="s">
        <v>99</v>
      </c>
      <c r="C119" t="s">
        <v>152</v>
      </c>
      <c r="D119">
        <v>25</v>
      </c>
      <c r="E119" t="s">
        <v>154</v>
      </c>
    </row>
    <row r="120" spans="1:5" x14ac:dyDescent="0.2">
      <c r="A120">
        <v>119</v>
      </c>
      <c r="B120" s="1" t="s">
        <v>101</v>
      </c>
      <c r="C120" t="s">
        <v>152</v>
      </c>
      <c r="D120">
        <v>90</v>
      </c>
      <c r="E120" t="s">
        <v>154</v>
      </c>
    </row>
    <row r="121" spans="1:5" x14ac:dyDescent="0.2">
      <c r="A121">
        <v>120</v>
      </c>
      <c r="B121" s="1" t="s">
        <v>99</v>
      </c>
      <c r="C121" t="s">
        <v>151</v>
      </c>
      <c r="D121">
        <v>77</v>
      </c>
      <c r="E121" t="s">
        <v>154</v>
      </c>
    </row>
    <row r="122" spans="1:5" x14ac:dyDescent="0.2">
      <c r="A122">
        <v>121</v>
      </c>
      <c r="B122" s="1" t="s">
        <v>113</v>
      </c>
      <c r="C122" t="s">
        <v>152</v>
      </c>
      <c r="D122">
        <v>25</v>
      </c>
      <c r="E122" t="s">
        <v>154</v>
      </c>
    </row>
    <row r="123" spans="1:5" x14ac:dyDescent="0.2">
      <c r="A123">
        <v>122</v>
      </c>
      <c r="B123" s="1" t="s">
        <v>105</v>
      </c>
      <c r="C123" t="s">
        <v>151</v>
      </c>
      <c r="D123">
        <v>41</v>
      </c>
      <c r="E123" t="s">
        <v>154</v>
      </c>
    </row>
    <row r="124" spans="1:5" x14ac:dyDescent="0.2">
      <c r="A124">
        <v>123</v>
      </c>
      <c r="B124" s="1" t="s">
        <v>102</v>
      </c>
      <c r="C124" t="s">
        <v>152</v>
      </c>
      <c r="D124">
        <v>69</v>
      </c>
      <c r="E124" t="s">
        <v>154</v>
      </c>
    </row>
    <row r="125" spans="1:5" x14ac:dyDescent="0.2">
      <c r="A125">
        <v>124</v>
      </c>
      <c r="B125" s="1" t="s">
        <v>113</v>
      </c>
      <c r="C125" t="s">
        <v>152</v>
      </c>
      <c r="D125">
        <v>52</v>
      </c>
      <c r="E125" t="s">
        <v>154</v>
      </c>
    </row>
    <row r="126" spans="1:5" x14ac:dyDescent="0.2">
      <c r="A126">
        <v>125</v>
      </c>
      <c r="B126" s="1" t="s">
        <v>105</v>
      </c>
      <c r="C126" t="s">
        <v>152</v>
      </c>
      <c r="D126">
        <v>58</v>
      </c>
      <c r="E126" t="s">
        <v>154</v>
      </c>
    </row>
    <row r="127" spans="1:5" x14ac:dyDescent="0.2">
      <c r="A127">
        <v>126</v>
      </c>
      <c r="B127" s="1" t="s">
        <v>99</v>
      </c>
      <c r="C127" t="s">
        <v>152</v>
      </c>
      <c r="D127">
        <v>67</v>
      </c>
      <c r="E127" t="s">
        <v>154</v>
      </c>
    </row>
    <row r="128" spans="1:5" x14ac:dyDescent="0.2">
      <c r="A128">
        <v>127</v>
      </c>
      <c r="B128" s="1" t="s">
        <v>108</v>
      </c>
      <c r="C128" t="s">
        <v>152</v>
      </c>
      <c r="D128">
        <v>57</v>
      </c>
      <c r="E128" t="s">
        <v>154</v>
      </c>
    </row>
    <row r="129" spans="1:5" x14ac:dyDescent="0.2">
      <c r="A129">
        <v>128</v>
      </c>
      <c r="B129" s="1" t="s">
        <v>99</v>
      </c>
      <c r="C129" t="s">
        <v>152</v>
      </c>
      <c r="D129">
        <v>55</v>
      </c>
      <c r="E129" t="s">
        <v>154</v>
      </c>
    </row>
    <row r="130" spans="1:5" x14ac:dyDescent="0.2">
      <c r="A130">
        <v>129</v>
      </c>
      <c r="B130" s="1" t="s">
        <v>99</v>
      </c>
      <c r="C130" t="s">
        <v>152</v>
      </c>
      <c r="D130">
        <v>21</v>
      </c>
      <c r="E130" t="s">
        <v>154</v>
      </c>
    </row>
    <row r="131" spans="1:5" x14ac:dyDescent="0.2">
      <c r="A131">
        <v>130</v>
      </c>
      <c r="B131" s="1" t="s">
        <v>99</v>
      </c>
      <c r="C131" t="s">
        <v>152</v>
      </c>
      <c r="D131">
        <v>50</v>
      </c>
      <c r="E131" t="s">
        <v>154</v>
      </c>
    </row>
    <row r="132" spans="1:5" x14ac:dyDescent="0.2">
      <c r="A132">
        <v>131</v>
      </c>
      <c r="B132" s="1" t="s">
        <v>107</v>
      </c>
      <c r="C132" t="s">
        <v>152</v>
      </c>
      <c r="D132">
        <v>90</v>
      </c>
      <c r="E132" t="s">
        <v>154</v>
      </c>
    </row>
    <row r="133" spans="1:5" x14ac:dyDescent="0.2">
      <c r="A133">
        <v>132</v>
      </c>
      <c r="B133" s="1" t="s">
        <v>105</v>
      </c>
      <c r="C133" t="s">
        <v>152</v>
      </c>
      <c r="D133">
        <v>50</v>
      </c>
      <c r="E133" t="s">
        <v>154</v>
      </c>
    </row>
    <row r="134" spans="1:5" x14ac:dyDescent="0.2">
      <c r="A134">
        <v>133</v>
      </c>
      <c r="B134" s="1" t="s">
        <v>108</v>
      </c>
      <c r="C134" t="s">
        <v>152</v>
      </c>
      <c r="D134">
        <v>71</v>
      </c>
      <c r="E134" t="s">
        <v>154</v>
      </c>
    </row>
    <row r="135" spans="1:5" x14ac:dyDescent="0.2">
      <c r="A135">
        <v>134</v>
      </c>
      <c r="B135" s="1" t="s">
        <v>101</v>
      </c>
      <c r="C135" t="s">
        <v>151</v>
      </c>
      <c r="D135">
        <v>82</v>
      </c>
      <c r="E135" t="s">
        <v>154</v>
      </c>
    </row>
    <row r="136" spans="1:5" x14ac:dyDescent="0.2">
      <c r="A136">
        <v>135</v>
      </c>
      <c r="B136" s="1" t="s">
        <v>105</v>
      </c>
      <c r="C136" t="s">
        <v>152</v>
      </c>
      <c r="D136">
        <v>27</v>
      </c>
      <c r="E136" t="s">
        <v>154</v>
      </c>
    </row>
    <row r="137" spans="1:5" x14ac:dyDescent="0.2">
      <c r="A137">
        <v>136</v>
      </c>
      <c r="B137" s="1" t="s">
        <v>99</v>
      </c>
      <c r="C137" t="s">
        <v>152</v>
      </c>
      <c r="D137">
        <v>36</v>
      </c>
      <c r="E137" t="s">
        <v>154</v>
      </c>
    </row>
    <row r="138" spans="1:5" x14ac:dyDescent="0.2">
      <c r="A138">
        <v>137</v>
      </c>
      <c r="B138" s="1" t="s">
        <v>113</v>
      </c>
      <c r="C138" t="s">
        <v>151</v>
      </c>
      <c r="D138">
        <v>25</v>
      </c>
      <c r="E138" t="s">
        <v>154</v>
      </c>
    </row>
    <row r="139" spans="1:5" x14ac:dyDescent="0.2">
      <c r="A139">
        <v>138</v>
      </c>
      <c r="B139" s="1" t="s">
        <v>99</v>
      </c>
      <c r="C139" t="s">
        <v>152</v>
      </c>
      <c r="D139">
        <v>27</v>
      </c>
      <c r="E139" t="s">
        <v>154</v>
      </c>
    </row>
    <row r="140" spans="1:5" x14ac:dyDescent="0.2">
      <c r="A140">
        <v>139</v>
      </c>
      <c r="B140" s="1" t="s">
        <v>99</v>
      </c>
      <c r="C140" t="s">
        <v>152</v>
      </c>
      <c r="D140">
        <v>75</v>
      </c>
      <c r="E140" t="s">
        <v>154</v>
      </c>
    </row>
    <row r="141" spans="1:5" x14ac:dyDescent="0.2">
      <c r="A141">
        <v>140</v>
      </c>
      <c r="B141" s="1" t="s">
        <v>99</v>
      </c>
      <c r="C141" t="s">
        <v>151</v>
      </c>
      <c r="D141">
        <v>58</v>
      </c>
      <c r="E141" t="s">
        <v>154</v>
      </c>
    </row>
    <row r="142" spans="1:5" x14ac:dyDescent="0.2">
      <c r="A142">
        <v>141</v>
      </c>
      <c r="B142" s="1" t="s">
        <v>99</v>
      </c>
      <c r="C142" t="s">
        <v>151</v>
      </c>
      <c r="D142">
        <v>38</v>
      </c>
      <c r="E142" t="s">
        <v>154</v>
      </c>
    </row>
    <row r="143" spans="1:5" x14ac:dyDescent="0.2">
      <c r="A143">
        <v>142</v>
      </c>
      <c r="B143" s="1" t="s">
        <v>113</v>
      </c>
      <c r="C143" t="s">
        <v>151</v>
      </c>
      <c r="D143">
        <v>77</v>
      </c>
      <c r="E143" t="s">
        <v>154</v>
      </c>
    </row>
    <row r="144" spans="1:5" x14ac:dyDescent="0.2">
      <c r="A144">
        <v>143</v>
      </c>
      <c r="B144" s="1" t="s">
        <v>99</v>
      </c>
      <c r="C144" t="s">
        <v>151</v>
      </c>
      <c r="D144">
        <v>46</v>
      </c>
      <c r="E144" t="s">
        <v>154</v>
      </c>
    </row>
    <row r="145" spans="1:5" x14ac:dyDescent="0.2">
      <c r="A145">
        <v>144</v>
      </c>
      <c r="B145" s="1" t="s">
        <v>108</v>
      </c>
      <c r="C145" t="s">
        <v>151</v>
      </c>
      <c r="D145">
        <v>27</v>
      </c>
      <c r="E145" t="s">
        <v>154</v>
      </c>
    </row>
    <row r="146" spans="1:5" x14ac:dyDescent="0.2">
      <c r="A146">
        <v>145</v>
      </c>
      <c r="B146" s="1" t="s">
        <v>107</v>
      </c>
      <c r="C146" t="s">
        <v>151</v>
      </c>
      <c r="D146">
        <v>18</v>
      </c>
      <c r="E146" t="s">
        <v>154</v>
      </c>
    </row>
    <row r="147" spans="1:5" x14ac:dyDescent="0.2">
      <c r="A147">
        <v>146</v>
      </c>
      <c r="B147" s="1" t="s">
        <v>103</v>
      </c>
      <c r="C147" t="s">
        <v>151</v>
      </c>
      <c r="D147">
        <v>85</v>
      </c>
      <c r="E147" t="s">
        <v>154</v>
      </c>
    </row>
    <row r="148" spans="1:5" x14ac:dyDescent="0.2">
      <c r="A148">
        <v>147</v>
      </c>
      <c r="B148" s="1" t="s">
        <v>99</v>
      </c>
      <c r="C148" t="s">
        <v>152</v>
      </c>
      <c r="D148">
        <v>29</v>
      </c>
      <c r="E148" t="s">
        <v>154</v>
      </c>
    </row>
    <row r="149" spans="1:5" x14ac:dyDescent="0.2">
      <c r="A149">
        <v>148</v>
      </c>
      <c r="B149" s="1" t="s">
        <v>105</v>
      </c>
      <c r="C149" t="s">
        <v>152</v>
      </c>
      <c r="D149">
        <v>33</v>
      </c>
      <c r="E149" t="s">
        <v>154</v>
      </c>
    </row>
    <row r="150" spans="1:5" x14ac:dyDescent="0.2">
      <c r="A150">
        <v>149</v>
      </c>
      <c r="B150" s="1" t="s">
        <v>108</v>
      </c>
      <c r="C150" t="s">
        <v>152</v>
      </c>
      <c r="D150">
        <v>73</v>
      </c>
      <c r="E150" t="s">
        <v>154</v>
      </c>
    </row>
    <row r="151" spans="1:5" x14ac:dyDescent="0.2">
      <c r="A151">
        <v>150</v>
      </c>
      <c r="B151" s="1" t="s">
        <v>99</v>
      </c>
      <c r="C151" t="s">
        <v>152</v>
      </c>
      <c r="D151">
        <v>31</v>
      </c>
      <c r="E151" t="s">
        <v>154</v>
      </c>
    </row>
    <row r="152" spans="1:5" x14ac:dyDescent="0.2">
      <c r="A152">
        <v>151</v>
      </c>
      <c r="B152" s="1" t="s">
        <v>109</v>
      </c>
      <c r="C152" t="s">
        <v>151</v>
      </c>
      <c r="D152">
        <v>76</v>
      </c>
      <c r="E152" t="s">
        <v>154</v>
      </c>
    </row>
    <row r="153" spans="1:5" x14ac:dyDescent="0.2">
      <c r="A153">
        <v>152</v>
      </c>
      <c r="B153" s="1" t="s">
        <v>107</v>
      </c>
      <c r="C153" t="s">
        <v>152</v>
      </c>
      <c r="D153">
        <v>26</v>
      </c>
      <c r="E153" t="s">
        <v>154</v>
      </c>
    </row>
    <row r="154" spans="1:5" x14ac:dyDescent="0.2">
      <c r="A154">
        <v>153</v>
      </c>
      <c r="B154" s="1" t="s">
        <v>99</v>
      </c>
      <c r="C154" t="s">
        <v>151</v>
      </c>
      <c r="D154">
        <v>19</v>
      </c>
      <c r="E154" t="s">
        <v>154</v>
      </c>
    </row>
    <row r="155" spans="1:5" x14ac:dyDescent="0.2">
      <c r="A155">
        <v>154</v>
      </c>
      <c r="B155" s="1" t="s">
        <v>107</v>
      </c>
      <c r="C155" t="s">
        <v>151</v>
      </c>
      <c r="D155">
        <v>37</v>
      </c>
      <c r="E155" t="s">
        <v>154</v>
      </c>
    </row>
    <row r="156" spans="1:5" x14ac:dyDescent="0.2">
      <c r="A156">
        <v>155</v>
      </c>
      <c r="B156" s="1" t="s">
        <v>113</v>
      </c>
      <c r="C156" t="s">
        <v>151</v>
      </c>
      <c r="D156">
        <v>56</v>
      </c>
      <c r="E156" t="s">
        <v>154</v>
      </c>
    </row>
    <row r="157" spans="1:5" x14ac:dyDescent="0.2">
      <c r="A157">
        <v>156</v>
      </c>
      <c r="B157" s="1" t="s">
        <v>100</v>
      </c>
      <c r="C157" t="s">
        <v>152</v>
      </c>
      <c r="D157">
        <v>32</v>
      </c>
      <c r="E157" t="s">
        <v>154</v>
      </c>
    </row>
    <row r="158" spans="1:5" x14ac:dyDescent="0.2">
      <c r="A158">
        <v>157</v>
      </c>
      <c r="B158" s="1" t="s">
        <v>101</v>
      </c>
      <c r="C158" t="s">
        <v>152</v>
      </c>
      <c r="D158">
        <v>50</v>
      </c>
      <c r="E158" t="s">
        <v>154</v>
      </c>
    </row>
    <row r="159" spans="1:5" x14ac:dyDescent="0.2">
      <c r="A159">
        <v>158</v>
      </c>
      <c r="B159" s="1" t="s">
        <v>99</v>
      </c>
      <c r="C159" t="s">
        <v>152</v>
      </c>
      <c r="D159">
        <v>41</v>
      </c>
      <c r="E159" t="s">
        <v>154</v>
      </c>
    </row>
    <row r="160" spans="1:5" x14ac:dyDescent="0.2">
      <c r="A160">
        <v>159</v>
      </c>
      <c r="B160" s="1" t="s">
        <v>99</v>
      </c>
      <c r="C160" t="s">
        <v>151</v>
      </c>
      <c r="D160">
        <v>25</v>
      </c>
      <c r="E160" t="s">
        <v>154</v>
      </c>
    </row>
    <row r="161" spans="1:5" x14ac:dyDescent="0.2">
      <c r="A161">
        <v>160</v>
      </c>
      <c r="B161" s="1" t="s">
        <v>99</v>
      </c>
      <c r="C161" t="s">
        <v>151</v>
      </c>
      <c r="D161">
        <v>48</v>
      </c>
      <c r="E161" t="s">
        <v>154</v>
      </c>
    </row>
    <row r="162" spans="1:5" x14ac:dyDescent="0.2">
      <c r="A162">
        <v>161</v>
      </c>
      <c r="B162" s="1" t="s">
        <v>100</v>
      </c>
      <c r="C162" t="s">
        <v>152</v>
      </c>
      <c r="D162">
        <v>68</v>
      </c>
      <c r="E162" t="s">
        <v>154</v>
      </c>
    </row>
    <row r="163" spans="1:5" x14ac:dyDescent="0.2">
      <c r="A163">
        <v>162</v>
      </c>
      <c r="B163" s="1" t="s">
        <v>99</v>
      </c>
      <c r="C163" t="s">
        <v>152</v>
      </c>
      <c r="D163">
        <v>63</v>
      </c>
      <c r="E163" t="s">
        <v>154</v>
      </c>
    </row>
    <row r="164" spans="1:5" x14ac:dyDescent="0.2">
      <c r="A164">
        <v>163</v>
      </c>
      <c r="B164" s="1" t="s">
        <v>99</v>
      </c>
      <c r="C164" t="s">
        <v>152</v>
      </c>
      <c r="D164">
        <v>81</v>
      </c>
      <c r="E164" t="s">
        <v>154</v>
      </c>
    </row>
    <row r="165" spans="1:5" x14ac:dyDescent="0.2">
      <c r="A165">
        <v>164</v>
      </c>
      <c r="B165" s="1" t="s">
        <v>99</v>
      </c>
      <c r="C165" t="s">
        <v>151</v>
      </c>
      <c r="D165">
        <v>36</v>
      </c>
      <c r="E165" t="s">
        <v>154</v>
      </c>
    </row>
    <row r="166" spans="1:5" x14ac:dyDescent="0.2">
      <c r="A166">
        <v>165</v>
      </c>
      <c r="B166" s="1" t="s">
        <v>110</v>
      </c>
      <c r="C166" t="s">
        <v>151</v>
      </c>
      <c r="D166">
        <v>32</v>
      </c>
      <c r="E166" t="s">
        <v>154</v>
      </c>
    </row>
    <row r="167" spans="1:5" x14ac:dyDescent="0.2">
      <c r="A167">
        <v>166</v>
      </c>
      <c r="B167" s="1" t="s">
        <v>100</v>
      </c>
      <c r="C167" t="s">
        <v>151</v>
      </c>
      <c r="D167">
        <v>27</v>
      </c>
      <c r="E167" t="s">
        <v>154</v>
      </c>
    </row>
    <row r="168" spans="1:5" x14ac:dyDescent="0.2">
      <c r="A168">
        <v>167</v>
      </c>
      <c r="B168" s="1" t="s">
        <v>101</v>
      </c>
      <c r="C168" t="s">
        <v>152</v>
      </c>
      <c r="D168">
        <v>27</v>
      </c>
      <c r="E168" t="s">
        <v>154</v>
      </c>
    </row>
    <row r="169" spans="1:5" x14ac:dyDescent="0.2">
      <c r="A169">
        <v>168</v>
      </c>
      <c r="B169" s="1" t="s">
        <v>100</v>
      </c>
      <c r="C169" t="s">
        <v>152</v>
      </c>
      <c r="D169">
        <v>55</v>
      </c>
      <c r="E169" t="s">
        <v>154</v>
      </c>
    </row>
    <row r="170" spans="1:5" x14ac:dyDescent="0.2">
      <c r="A170">
        <v>169</v>
      </c>
      <c r="B170" s="1" t="s">
        <v>100</v>
      </c>
      <c r="C170" t="s">
        <v>152</v>
      </c>
      <c r="D170">
        <v>42</v>
      </c>
      <c r="E170" t="s">
        <v>154</v>
      </c>
    </row>
    <row r="171" spans="1:5" x14ac:dyDescent="0.2">
      <c r="A171">
        <v>170</v>
      </c>
      <c r="B171" s="1" t="s">
        <v>107</v>
      </c>
      <c r="C171" t="s">
        <v>151</v>
      </c>
      <c r="D171">
        <v>83</v>
      </c>
      <c r="E171" t="s">
        <v>154</v>
      </c>
    </row>
    <row r="172" spans="1:5" x14ac:dyDescent="0.2">
      <c r="A172">
        <v>171</v>
      </c>
      <c r="B172" s="1" t="s">
        <v>99</v>
      </c>
      <c r="C172" t="s">
        <v>151</v>
      </c>
      <c r="D172">
        <v>31</v>
      </c>
      <c r="E172" t="s">
        <v>154</v>
      </c>
    </row>
    <row r="173" spans="1:5" x14ac:dyDescent="0.2">
      <c r="A173">
        <v>172</v>
      </c>
      <c r="B173" s="1" t="s">
        <v>99</v>
      </c>
      <c r="C173" t="s">
        <v>151</v>
      </c>
      <c r="D173">
        <v>36</v>
      </c>
      <c r="E173" t="s">
        <v>154</v>
      </c>
    </row>
    <row r="174" spans="1:5" x14ac:dyDescent="0.2">
      <c r="A174">
        <v>173</v>
      </c>
      <c r="B174" s="1" t="s">
        <v>113</v>
      </c>
      <c r="C174" t="s">
        <v>151</v>
      </c>
      <c r="D174">
        <v>59</v>
      </c>
      <c r="E174" t="s">
        <v>154</v>
      </c>
    </row>
    <row r="175" spans="1:5" x14ac:dyDescent="0.2">
      <c r="A175">
        <v>174</v>
      </c>
      <c r="B175" s="1" t="s">
        <v>107</v>
      </c>
      <c r="C175" t="s">
        <v>151</v>
      </c>
      <c r="D175">
        <v>68</v>
      </c>
      <c r="E175" t="s">
        <v>154</v>
      </c>
    </row>
    <row r="176" spans="1:5" x14ac:dyDescent="0.2">
      <c r="A176">
        <v>175</v>
      </c>
      <c r="B176" s="1" t="s">
        <v>99</v>
      </c>
      <c r="C176" t="s">
        <v>151</v>
      </c>
      <c r="D176">
        <v>70</v>
      </c>
      <c r="E176" t="s">
        <v>154</v>
      </c>
    </row>
    <row r="177" spans="1:5" x14ac:dyDescent="0.2">
      <c r="A177">
        <v>176</v>
      </c>
      <c r="B177" s="1" t="s">
        <v>100</v>
      </c>
      <c r="C177" t="s">
        <v>151</v>
      </c>
      <c r="D177">
        <v>46</v>
      </c>
      <c r="E177" t="s">
        <v>154</v>
      </c>
    </row>
    <row r="178" spans="1:5" x14ac:dyDescent="0.2">
      <c r="A178">
        <v>177</v>
      </c>
      <c r="B178" s="1" t="s">
        <v>113</v>
      </c>
      <c r="C178" t="s">
        <v>151</v>
      </c>
      <c r="D178">
        <v>75</v>
      </c>
      <c r="E178" t="s">
        <v>154</v>
      </c>
    </row>
    <row r="179" spans="1:5" x14ac:dyDescent="0.2">
      <c r="A179">
        <v>178</v>
      </c>
      <c r="B179" s="1" t="s">
        <v>113</v>
      </c>
      <c r="C179" t="s">
        <v>152</v>
      </c>
      <c r="D179">
        <v>24</v>
      </c>
      <c r="E179" t="s">
        <v>154</v>
      </c>
    </row>
    <row r="180" spans="1:5" x14ac:dyDescent="0.2">
      <c r="A180">
        <v>179</v>
      </c>
      <c r="B180" s="1" t="s">
        <v>100</v>
      </c>
      <c r="C180" t="s">
        <v>152</v>
      </c>
      <c r="D180">
        <v>27</v>
      </c>
      <c r="E180" t="s">
        <v>154</v>
      </c>
    </row>
    <row r="181" spans="1:5" x14ac:dyDescent="0.2">
      <c r="A181">
        <v>180</v>
      </c>
      <c r="B181" s="1" t="s">
        <v>99</v>
      </c>
      <c r="C181" t="s">
        <v>152</v>
      </c>
      <c r="D181">
        <v>81</v>
      </c>
      <c r="E181" t="s">
        <v>154</v>
      </c>
    </row>
    <row r="182" spans="1:5" x14ac:dyDescent="0.2">
      <c r="A182">
        <v>181</v>
      </c>
      <c r="B182" s="1" t="s">
        <v>104</v>
      </c>
      <c r="C182" t="s">
        <v>152</v>
      </c>
      <c r="D182">
        <v>28</v>
      </c>
      <c r="E182" t="s">
        <v>154</v>
      </c>
    </row>
    <row r="183" spans="1:5" x14ac:dyDescent="0.2">
      <c r="A183">
        <v>182</v>
      </c>
      <c r="B183" s="1" t="s">
        <v>101</v>
      </c>
      <c r="C183" t="s">
        <v>151</v>
      </c>
      <c r="D183">
        <v>77</v>
      </c>
      <c r="E183" t="s">
        <v>154</v>
      </c>
    </row>
    <row r="184" spans="1:5" x14ac:dyDescent="0.2">
      <c r="A184">
        <v>183</v>
      </c>
      <c r="B184" s="1" t="s">
        <v>113</v>
      </c>
      <c r="C184" t="s">
        <v>151</v>
      </c>
      <c r="D184">
        <v>66</v>
      </c>
      <c r="E184" t="s">
        <v>154</v>
      </c>
    </row>
    <row r="185" spans="1:5" x14ac:dyDescent="0.2">
      <c r="A185">
        <v>184</v>
      </c>
      <c r="B185" s="1" t="s">
        <v>106</v>
      </c>
      <c r="C185" t="s">
        <v>151</v>
      </c>
      <c r="D185">
        <v>79</v>
      </c>
      <c r="E185" t="s">
        <v>154</v>
      </c>
    </row>
    <row r="186" spans="1:5" x14ac:dyDescent="0.2">
      <c r="A186">
        <v>185</v>
      </c>
      <c r="B186" s="1" t="s">
        <v>104</v>
      </c>
      <c r="C186" t="s">
        <v>151</v>
      </c>
      <c r="D186">
        <v>86</v>
      </c>
      <c r="E186" t="s">
        <v>154</v>
      </c>
    </row>
    <row r="187" spans="1:5" x14ac:dyDescent="0.2">
      <c r="A187">
        <v>186</v>
      </c>
      <c r="B187" s="1" t="s">
        <v>106</v>
      </c>
      <c r="C187" t="s">
        <v>152</v>
      </c>
      <c r="D187">
        <v>63</v>
      </c>
      <c r="E187" t="s">
        <v>154</v>
      </c>
    </row>
    <row r="188" spans="1:5" x14ac:dyDescent="0.2">
      <c r="A188">
        <v>187</v>
      </c>
      <c r="B188" s="1" t="s">
        <v>100</v>
      </c>
      <c r="C188" t="s">
        <v>152</v>
      </c>
      <c r="D188">
        <v>68</v>
      </c>
      <c r="E188" t="s">
        <v>154</v>
      </c>
    </row>
    <row r="189" spans="1:5" x14ac:dyDescent="0.2">
      <c r="A189">
        <v>188</v>
      </c>
      <c r="B189" s="1" t="s">
        <v>113</v>
      </c>
      <c r="C189" t="s">
        <v>152</v>
      </c>
      <c r="D189">
        <v>72</v>
      </c>
      <c r="E189" t="s">
        <v>154</v>
      </c>
    </row>
    <row r="190" spans="1:5" x14ac:dyDescent="0.2">
      <c r="A190">
        <v>189</v>
      </c>
      <c r="B190" s="1" t="s">
        <v>99</v>
      </c>
      <c r="C190" t="s">
        <v>152</v>
      </c>
      <c r="D190">
        <v>59</v>
      </c>
      <c r="E190" t="s">
        <v>154</v>
      </c>
    </row>
    <row r="191" spans="1:5" x14ac:dyDescent="0.2">
      <c r="A191">
        <v>190</v>
      </c>
      <c r="B191" s="1" t="s">
        <v>100</v>
      </c>
      <c r="C191" t="s">
        <v>151</v>
      </c>
      <c r="D191">
        <v>71</v>
      </c>
      <c r="E191" t="s">
        <v>154</v>
      </c>
    </row>
    <row r="192" spans="1:5" x14ac:dyDescent="0.2">
      <c r="A192">
        <v>191</v>
      </c>
      <c r="B192" s="1" t="s">
        <v>109</v>
      </c>
      <c r="C192" t="s">
        <v>152</v>
      </c>
      <c r="D192">
        <v>23</v>
      </c>
      <c r="E192" t="s">
        <v>154</v>
      </c>
    </row>
    <row r="193" spans="1:5" x14ac:dyDescent="0.2">
      <c r="A193">
        <v>192</v>
      </c>
      <c r="B193" s="1" t="s">
        <v>99</v>
      </c>
      <c r="C193" t="s">
        <v>152</v>
      </c>
      <c r="D193">
        <v>66</v>
      </c>
      <c r="E193" t="s">
        <v>154</v>
      </c>
    </row>
    <row r="194" spans="1:5" x14ac:dyDescent="0.2">
      <c r="A194">
        <v>193</v>
      </c>
      <c r="B194" s="1" t="s">
        <v>113</v>
      </c>
      <c r="C194" t="s">
        <v>152</v>
      </c>
      <c r="D194">
        <v>84</v>
      </c>
      <c r="E194" t="s">
        <v>154</v>
      </c>
    </row>
    <row r="195" spans="1:5" x14ac:dyDescent="0.2">
      <c r="A195">
        <v>194</v>
      </c>
      <c r="B195" s="1" t="s">
        <v>113</v>
      </c>
      <c r="C195" t="s">
        <v>152</v>
      </c>
      <c r="D195">
        <v>64</v>
      </c>
      <c r="E195" t="s">
        <v>154</v>
      </c>
    </row>
    <row r="196" spans="1:5" x14ac:dyDescent="0.2">
      <c r="A196">
        <v>195</v>
      </c>
      <c r="B196" s="1" t="s">
        <v>99</v>
      </c>
      <c r="C196" t="s">
        <v>152</v>
      </c>
      <c r="D196">
        <v>51</v>
      </c>
      <c r="E196" t="s">
        <v>154</v>
      </c>
    </row>
    <row r="197" spans="1:5" x14ac:dyDescent="0.2">
      <c r="A197">
        <v>196</v>
      </c>
      <c r="B197" s="1" t="s">
        <v>99</v>
      </c>
      <c r="C197" t="s">
        <v>151</v>
      </c>
      <c r="D197">
        <v>77</v>
      </c>
      <c r="E197" t="s">
        <v>154</v>
      </c>
    </row>
    <row r="198" spans="1:5" x14ac:dyDescent="0.2">
      <c r="A198">
        <v>197</v>
      </c>
      <c r="B198" s="1" t="s">
        <v>99</v>
      </c>
      <c r="C198" t="s">
        <v>151</v>
      </c>
      <c r="D198">
        <v>38</v>
      </c>
      <c r="E198" t="s">
        <v>154</v>
      </c>
    </row>
    <row r="199" spans="1:5" x14ac:dyDescent="0.2">
      <c r="A199">
        <v>198</v>
      </c>
      <c r="B199" s="1" t="s">
        <v>99</v>
      </c>
      <c r="C199" t="s">
        <v>151</v>
      </c>
      <c r="D199">
        <v>30</v>
      </c>
      <c r="E199" t="s">
        <v>154</v>
      </c>
    </row>
    <row r="200" spans="1:5" x14ac:dyDescent="0.2">
      <c r="A200">
        <v>199</v>
      </c>
      <c r="B200" s="1" t="s">
        <v>101</v>
      </c>
      <c r="C200" t="s">
        <v>152</v>
      </c>
      <c r="D200">
        <v>67</v>
      </c>
      <c r="E200" t="s">
        <v>154</v>
      </c>
    </row>
    <row r="201" spans="1:5" x14ac:dyDescent="0.2">
      <c r="A201">
        <v>200</v>
      </c>
      <c r="B201" s="1" t="s">
        <v>107</v>
      </c>
      <c r="C201" t="s">
        <v>151</v>
      </c>
      <c r="D201">
        <v>27</v>
      </c>
      <c r="E201" t="s">
        <v>154</v>
      </c>
    </row>
    <row r="202" spans="1:5" x14ac:dyDescent="0.2">
      <c r="A202">
        <v>201</v>
      </c>
      <c r="B202" s="1" t="s">
        <v>101</v>
      </c>
      <c r="C202" t="s">
        <v>152</v>
      </c>
      <c r="D202">
        <v>50</v>
      </c>
      <c r="E202" t="s">
        <v>154</v>
      </c>
    </row>
    <row r="203" spans="1:5" x14ac:dyDescent="0.2">
      <c r="A203">
        <v>202</v>
      </c>
      <c r="B203" s="1" t="s">
        <v>99</v>
      </c>
      <c r="C203" t="s">
        <v>151</v>
      </c>
      <c r="D203">
        <v>86</v>
      </c>
      <c r="E203" t="s">
        <v>154</v>
      </c>
    </row>
    <row r="204" spans="1:5" x14ac:dyDescent="0.2">
      <c r="A204">
        <v>203</v>
      </c>
      <c r="B204" s="1" t="s">
        <v>102</v>
      </c>
      <c r="C204" t="s">
        <v>152</v>
      </c>
      <c r="D204">
        <v>75</v>
      </c>
      <c r="E204" t="s">
        <v>154</v>
      </c>
    </row>
    <row r="205" spans="1:5" x14ac:dyDescent="0.2">
      <c r="A205">
        <v>204</v>
      </c>
      <c r="B205" s="1" t="s">
        <v>100</v>
      </c>
      <c r="C205" t="s">
        <v>151</v>
      </c>
      <c r="D205">
        <v>89</v>
      </c>
      <c r="E205" t="s">
        <v>154</v>
      </c>
    </row>
    <row r="206" spans="1:5" x14ac:dyDescent="0.2">
      <c r="A206">
        <v>205</v>
      </c>
      <c r="B206" s="1" t="s">
        <v>107</v>
      </c>
      <c r="C206" t="s">
        <v>152</v>
      </c>
      <c r="D206">
        <v>45</v>
      </c>
      <c r="E206" t="s">
        <v>154</v>
      </c>
    </row>
    <row r="207" spans="1:5" x14ac:dyDescent="0.2">
      <c r="A207">
        <v>206</v>
      </c>
      <c r="B207" s="1" t="s">
        <v>99</v>
      </c>
      <c r="C207" t="s">
        <v>152</v>
      </c>
      <c r="D207">
        <v>56</v>
      </c>
      <c r="E207" t="s">
        <v>154</v>
      </c>
    </row>
    <row r="208" spans="1:5" x14ac:dyDescent="0.2">
      <c r="A208">
        <v>207</v>
      </c>
      <c r="B208" s="1" t="s">
        <v>108</v>
      </c>
      <c r="C208" t="s">
        <v>151</v>
      </c>
      <c r="D208">
        <v>76</v>
      </c>
      <c r="E208" t="s">
        <v>154</v>
      </c>
    </row>
    <row r="209" spans="1:5" x14ac:dyDescent="0.2">
      <c r="A209">
        <v>208</v>
      </c>
      <c r="B209" s="1" t="s">
        <v>99</v>
      </c>
      <c r="C209" t="s">
        <v>152</v>
      </c>
      <c r="D209">
        <v>19</v>
      </c>
      <c r="E209" t="s">
        <v>154</v>
      </c>
    </row>
    <row r="210" spans="1:5" x14ac:dyDescent="0.2">
      <c r="A210">
        <v>209</v>
      </c>
      <c r="B210" s="1" t="s">
        <v>100</v>
      </c>
      <c r="C210" t="s">
        <v>151</v>
      </c>
      <c r="D210">
        <v>79</v>
      </c>
      <c r="E210" t="s">
        <v>154</v>
      </c>
    </row>
    <row r="211" spans="1:5" x14ac:dyDescent="0.2">
      <c r="A211">
        <v>210</v>
      </c>
      <c r="B211" s="1" t="s">
        <v>99</v>
      </c>
      <c r="C211" t="s">
        <v>151</v>
      </c>
      <c r="D211">
        <v>59</v>
      </c>
      <c r="E211" t="s">
        <v>154</v>
      </c>
    </row>
    <row r="212" spans="1:5" x14ac:dyDescent="0.2">
      <c r="A212">
        <v>211</v>
      </c>
      <c r="B212" s="1" t="s">
        <v>100</v>
      </c>
      <c r="C212" t="s">
        <v>152</v>
      </c>
      <c r="D212">
        <v>79</v>
      </c>
      <c r="E212" t="s">
        <v>154</v>
      </c>
    </row>
    <row r="213" spans="1:5" x14ac:dyDescent="0.2">
      <c r="A213">
        <v>212</v>
      </c>
      <c r="B213" s="1" t="s">
        <v>109</v>
      </c>
      <c r="C213" t="s">
        <v>152</v>
      </c>
      <c r="D213">
        <v>19</v>
      </c>
      <c r="E213" t="s">
        <v>154</v>
      </c>
    </row>
    <row r="214" spans="1:5" x14ac:dyDescent="0.2">
      <c r="A214">
        <v>213</v>
      </c>
      <c r="B214" s="1" t="s">
        <v>99</v>
      </c>
      <c r="C214" t="s">
        <v>152</v>
      </c>
      <c r="D214">
        <v>52</v>
      </c>
      <c r="E214" t="s">
        <v>154</v>
      </c>
    </row>
    <row r="215" spans="1:5" x14ac:dyDescent="0.2">
      <c r="A215">
        <v>214</v>
      </c>
      <c r="B215" s="1" t="s">
        <v>99</v>
      </c>
      <c r="C215" t="s">
        <v>152</v>
      </c>
      <c r="D215">
        <v>18</v>
      </c>
      <c r="E215" t="s">
        <v>154</v>
      </c>
    </row>
    <row r="216" spans="1:5" x14ac:dyDescent="0.2">
      <c r="A216">
        <v>215</v>
      </c>
      <c r="B216" s="1" t="s">
        <v>99</v>
      </c>
      <c r="C216" t="s">
        <v>151</v>
      </c>
      <c r="D216">
        <v>60</v>
      </c>
      <c r="E216" t="s">
        <v>154</v>
      </c>
    </row>
    <row r="217" spans="1:5" x14ac:dyDescent="0.2">
      <c r="A217">
        <v>216</v>
      </c>
      <c r="B217" s="1" t="s">
        <v>113</v>
      </c>
      <c r="C217" t="s">
        <v>151</v>
      </c>
      <c r="D217">
        <v>45</v>
      </c>
      <c r="E217" t="s">
        <v>154</v>
      </c>
    </row>
    <row r="218" spans="1:5" x14ac:dyDescent="0.2">
      <c r="A218">
        <v>217</v>
      </c>
      <c r="B218" s="1" t="s">
        <v>99</v>
      </c>
      <c r="C218" t="s">
        <v>152</v>
      </c>
      <c r="D218">
        <v>60</v>
      </c>
      <c r="E218" t="s">
        <v>154</v>
      </c>
    </row>
    <row r="219" spans="1:5" x14ac:dyDescent="0.2">
      <c r="A219">
        <v>218</v>
      </c>
      <c r="B219" s="1" t="s">
        <v>100</v>
      </c>
      <c r="C219" t="s">
        <v>152</v>
      </c>
      <c r="D219">
        <v>34</v>
      </c>
      <c r="E219" t="s">
        <v>154</v>
      </c>
    </row>
    <row r="220" spans="1:5" x14ac:dyDescent="0.2">
      <c r="A220">
        <v>219</v>
      </c>
      <c r="B220" s="1" t="s">
        <v>99</v>
      </c>
      <c r="C220" t="s">
        <v>151</v>
      </c>
      <c r="D220">
        <v>36</v>
      </c>
      <c r="E220" t="s">
        <v>154</v>
      </c>
    </row>
    <row r="221" spans="1:5" x14ac:dyDescent="0.2">
      <c r="A221">
        <v>220</v>
      </c>
      <c r="B221" s="1" t="s">
        <v>101</v>
      </c>
      <c r="C221" t="s">
        <v>151</v>
      </c>
      <c r="D221">
        <v>71</v>
      </c>
      <c r="E221" t="s">
        <v>154</v>
      </c>
    </row>
    <row r="222" spans="1:5" x14ac:dyDescent="0.2">
      <c r="A222">
        <v>221</v>
      </c>
      <c r="B222" s="1" t="s">
        <v>101</v>
      </c>
      <c r="C222" t="s">
        <v>151</v>
      </c>
      <c r="D222">
        <v>64</v>
      </c>
      <c r="E222" t="s">
        <v>154</v>
      </c>
    </row>
    <row r="223" spans="1:5" x14ac:dyDescent="0.2">
      <c r="A223">
        <v>222</v>
      </c>
      <c r="B223" s="1" t="s">
        <v>103</v>
      </c>
      <c r="C223" t="s">
        <v>151</v>
      </c>
      <c r="D223">
        <v>37</v>
      </c>
      <c r="E223" t="s">
        <v>154</v>
      </c>
    </row>
    <row r="224" spans="1:5" x14ac:dyDescent="0.2">
      <c r="A224">
        <v>223</v>
      </c>
      <c r="B224" s="1" t="s">
        <v>113</v>
      </c>
      <c r="C224" t="s">
        <v>151</v>
      </c>
      <c r="D224">
        <v>41</v>
      </c>
      <c r="E224" t="s">
        <v>154</v>
      </c>
    </row>
    <row r="225" spans="1:5" x14ac:dyDescent="0.2">
      <c r="A225">
        <v>224</v>
      </c>
      <c r="B225" s="1" t="s">
        <v>113</v>
      </c>
      <c r="C225" t="s">
        <v>151</v>
      </c>
      <c r="D225">
        <v>64</v>
      </c>
      <c r="E225" t="s">
        <v>154</v>
      </c>
    </row>
    <row r="226" spans="1:5" x14ac:dyDescent="0.2">
      <c r="A226">
        <v>225</v>
      </c>
      <c r="B226" s="1" t="s">
        <v>106</v>
      </c>
      <c r="C226" t="s">
        <v>152</v>
      </c>
      <c r="D226">
        <v>83</v>
      </c>
      <c r="E226" t="s">
        <v>154</v>
      </c>
    </row>
    <row r="227" spans="1:5" x14ac:dyDescent="0.2">
      <c r="A227">
        <v>226</v>
      </c>
      <c r="B227" s="1" t="s">
        <v>99</v>
      </c>
      <c r="C227" t="s">
        <v>151</v>
      </c>
      <c r="D227">
        <v>31</v>
      </c>
      <c r="E227" t="s">
        <v>154</v>
      </c>
    </row>
    <row r="228" spans="1:5" x14ac:dyDescent="0.2">
      <c r="A228">
        <v>227</v>
      </c>
      <c r="B228" s="1" t="s">
        <v>99</v>
      </c>
      <c r="C228" t="s">
        <v>152</v>
      </c>
      <c r="D228">
        <v>77</v>
      </c>
      <c r="E228" t="s">
        <v>154</v>
      </c>
    </row>
    <row r="229" spans="1:5" x14ac:dyDescent="0.2">
      <c r="A229">
        <v>228</v>
      </c>
      <c r="B229" s="1" t="s">
        <v>100</v>
      </c>
      <c r="C229" t="s">
        <v>152</v>
      </c>
      <c r="D229">
        <v>34</v>
      </c>
      <c r="E229" t="s">
        <v>154</v>
      </c>
    </row>
    <row r="230" spans="1:5" x14ac:dyDescent="0.2">
      <c r="A230">
        <v>229</v>
      </c>
      <c r="B230" s="1" t="s">
        <v>100</v>
      </c>
      <c r="C230" t="s">
        <v>151</v>
      </c>
      <c r="D230">
        <v>54</v>
      </c>
      <c r="E230" t="s">
        <v>154</v>
      </c>
    </row>
    <row r="231" spans="1:5" x14ac:dyDescent="0.2">
      <c r="A231">
        <v>230</v>
      </c>
      <c r="B231" s="1" t="s">
        <v>99</v>
      </c>
      <c r="C231" t="s">
        <v>151</v>
      </c>
      <c r="D231">
        <v>79</v>
      </c>
      <c r="E231" t="s">
        <v>154</v>
      </c>
    </row>
    <row r="232" spans="1:5" x14ac:dyDescent="0.2">
      <c r="A232">
        <v>231</v>
      </c>
      <c r="B232" s="1" t="s">
        <v>99</v>
      </c>
      <c r="C232" t="s">
        <v>151</v>
      </c>
      <c r="D232">
        <v>41</v>
      </c>
      <c r="E232" t="s">
        <v>154</v>
      </c>
    </row>
    <row r="233" spans="1:5" x14ac:dyDescent="0.2">
      <c r="A233">
        <v>232</v>
      </c>
      <c r="B233" s="1" t="s">
        <v>99</v>
      </c>
      <c r="C233" t="s">
        <v>152</v>
      </c>
      <c r="D233">
        <v>45</v>
      </c>
      <c r="E233" t="s">
        <v>154</v>
      </c>
    </row>
    <row r="234" spans="1:5" x14ac:dyDescent="0.2">
      <c r="A234">
        <v>233</v>
      </c>
      <c r="B234" s="1" t="s">
        <v>107</v>
      </c>
      <c r="C234" t="s">
        <v>152</v>
      </c>
      <c r="D234">
        <v>30</v>
      </c>
      <c r="E234" t="s">
        <v>154</v>
      </c>
    </row>
    <row r="235" spans="1:5" x14ac:dyDescent="0.2">
      <c r="A235">
        <v>234</v>
      </c>
      <c r="B235" s="1" t="s">
        <v>104</v>
      </c>
      <c r="C235" t="s">
        <v>151</v>
      </c>
      <c r="D235">
        <v>37</v>
      </c>
      <c r="E235" t="s">
        <v>154</v>
      </c>
    </row>
    <row r="236" spans="1:5" x14ac:dyDescent="0.2">
      <c r="A236">
        <v>235</v>
      </c>
      <c r="B236" s="1" t="s">
        <v>99</v>
      </c>
      <c r="C236" t="s">
        <v>151</v>
      </c>
      <c r="D236">
        <v>41</v>
      </c>
      <c r="E236" t="s">
        <v>154</v>
      </c>
    </row>
    <row r="237" spans="1:5" x14ac:dyDescent="0.2">
      <c r="A237">
        <v>236</v>
      </c>
      <c r="B237" s="1" t="s">
        <v>99</v>
      </c>
      <c r="C237" t="s">
        <v>152</v>
      </c>
      <c r="D237">
        <v>80</v>
      </c>
      <c r="E237" t="s">
        <v>154</v>
      </c>
    </row>
    <row r="238" spans="1:5" x14ac:dyDescent="0.2">
      <c r="A238">
        <v>237</v>
      </c>
      <c r="B238" s="1" t="s">
        <v>100</v>
      </c>
      <c r="C238" t="s">
        <v>152</v>
      </c>
      <c r="D238">
        <v>57</v>
      </c>
      <c r="E238" t="s">
        <v>154</v>
      </c>
    </row>
    <row r="239" spans="1:5" x14ac:dyDescent="0.2">
      <c r="A239">
        <v>238</v>
      </c>
      <c r="B239" s="1" t="s">
        <v>107</v>
      </c>
      <c r="C239" t="s">
        <v>151</v>
      </c>
      <c r="D239">
        <v>41</v>
      </c>
      <c r="E239" t="s">
        <v>154</v>
      </c>
    </row>
    <row r="240" spans="1:5" x14ac:dyDescent="0.2">
      <c r="A240">
        <v>239</v>
      </c>
      <c r="B240" s="1" t="s">
        <v>113</v>
      </c>
      <c r="C240" t="s">
        <v>152</v>
      </c>
      <c r="D240">
        <v>77</v>
      </c>
      <c r="E240" t="s">
        <v>154</v>
      </c>
    </row>
    <row r="241" spans="1:5" x14ac:dyDescent="0.2">
      <c r="A241">
        <v>240</v>
      </c>
      <c r="B241" s="1" t="s">
        <v>99</v>
      </c>
      <c r="C241" t="s">
        <v>151</v>
      </c>
      <c r="D241">
        <v>63</v>
      </c>
      <c r="E241" t="s">
        <v>154</v>
      </c>
    </row>
    <row r="242" spans="1:5" x14ac:dyDescent="0.2">
      <c r="A242">
        <v>241</v>
      </c>
      <c r="B242" s="1" t="s">
        <v>99</v>
      </c>
      <c r="C242" t="s">
        <v>152</v>
      </c>
      <c r="D242">
        <v>22</v>
      </c>
      <c r="E242" t="s">
        <v>154</v>
      </c>
    </row>
    <row r="243" spans="1:5" x14ac:dyDescent="0.2">
      <c r="A243">
        <v>242</v>
      </c>
      <c r="B243" s="1" t="s">
        <v>99</v>
      </c>
      <c r="C243" t="s">
        <v>152</v>
      </c>
      <c r="D243">
        <v>87</v>
      </c>
      <c r="E243" t="s">
        <v>154</v>
      </c>
    </row>
    <row r="244" spans="1:5" x14ac:dyDescent="0.2">
      <c r="A244">
        <v>243</v>
      </c>
      <c r="B244" s="1" t="s">
        <v>99</v>
      </c>
      <c r="C244" t="s">
        <v>151</v>
      </c>
      <c r="D244">
        <v>18</v>
      </c>
      <c r="E244" t="s">
        <v>154</v>
      </c>
    </row>
    <row r="245" spans="1:5" x14ac:dyDescent="0.2">
      <c r="A245">
        <v>244</v>
      </c>
      <c r="B245" s="1" t="s">
        <v>106</v>
      </c>
      <c r="C245" t="s">
        <v>152</v>
      </c>
      <c r="D245">
        <v>69</v>
      </c>
      <c r="E245" t="s">
        <v>154</v>
      </c>
    </row>
    <row r="246" spans="1:5" x14ac:dyDescent="0.2">
      <c r="A246">
        <v>245</v>
      </c>
      <c r="B246" s="1" t="s">
        <v>113</v>
      </c>
      <c r="C246" t="s">
        <v>151</v>
      </c>
      <c r="D246">
        <v>63</v>
      </c>
      <c r="E246" t="s">
        <v>154</v>
      </c>
    </row>
    <row r="247" spans="1:5" x14ac:dyDescent="0.2">
      <c r="A247">
        <v>246</v>
      </c>
      <c r="B247" s="1" t="s">
        <v>100</v>
      </c>
      <c r="C247" t="s">
        <v>152</v>
      </c>
      <c r="D247">
        <v>67</v>
      </c>
      <c r="E247" t="s">
        <v>154</v>
      </c>
    </row>
    <row r="248" spans="1:5" x14ac:dyDescent="0.2">
      <c r="A248">
        <v>247</v>
      </c>
      <c r="B248" s="1" t="s">
        <v>100</v>
      </c>
      <c r="C248" t="s">
        <v>151</v>
      </c>
      <c r="D248">
        <v>45</v>
      </c>
      <c r="E248" t="s">
        <v>154</v>
      </c>
    </row>
    <row r="249" spans="1:5" x14ac:dyDescent="0.2">
      <c r="A249">
        <v>248</v>
      </c>
      <c r="B249" s="1" t="s">
        <v>99</v>
      </c>
      <c r="C249" t="s">
        <v>152</v>
      </c>
      <c r="D249">
        <v>47</v>
      </c>
      <c r="E249" t="s">
        <v>154</v>
      </c>
    </row>
    <row r="250" spans="1:5" x14ac:dyDescent="0.2">
      <c r="A250">
        <v>249</v>
      </c>
      <c r="B250" s="1" t="s">
        <v>99</v>
      </c>
      <c r="C250" t="s">
        <v>151</v>
      </c>
      <c r="D250">
        <v>58</v>
      </c>
      <c r="E250" t="s">
        <v>154</v>
      </c>
    </row>
    <row r="251" spans="1:5" x14ac:dyDescent="0.2">
      <c r="A251">
        <v>250</v>
      </c>
      <c r="B251" s="1" t="s">
        <v>113</v>
      </c>
      <c r="C251" t="s">
        <v>152</v>
      </c>
      <c r="D251">
        <v>51</v>
      </c>
      <c r="E251" t="s">
        <v>154</v>
      </c>
    </row>
    <row r="252" spans="1:5" x14ac:dyDescent="0.2">
      <c r="A252">
        <v>251</v>
      </c>
      <c r="B252" s="1" t="s">
        <v>100</v>
      </c>
      <c r="C252" t="s">
        <v>151</v>
      </c>
      <c r="D252">
        <v>49</v>
      </c>
      <c r="E252" t="s">
        <v>154</v>
      </c>
    </row>
    <row r="253" spans="1:5" x14ac:dyDescent="0.2">
      <c r="A253">
        <v>252</v>
      </c>
      <c r="B253" s="1" t="s">
        <v>99</v>
      </c>
      <c r="C253" t="s">
        <v>152</v>
      </c>
      <c r="D253">
        <v>89</v>
      </c>
      <c r="E253" t="s">
        <v>154</v>
      </c>
    </row>
    <row r="254" spans="1:5" x14ac:dyDescent="0.2">
      <c r="A254">
        <v>253</v>
      </c>
      <c r="B254" s="1" t="s">
        <v>100</v>
      </c>
      <c r="C254" t="s">
        <v>152</v>
      </c>
      <c r="D254">
        <v>67</v>
      </c>
      <c r="E254" t="s">
        <v>154</v>
      </c>
    </row>
    <row r="255" spans="1:5" x14ac:dyDescent="0.2">
      <c r="A255">
        <v>254</v>
      </c>
      <c r="B255" s="1" t="s">
        <v>100</v>
      </c>
      <c r="C255" t="s">
        <v>152</v>
      </c>
      <c r="D255">
        <v>88</v>
      </c>
      <c r="E255" t="s">
        <v>154</v>
      </c>
    </row>
    <row r="256" spans="1:5" x14ac:dyDescent="0.2">
      <c r="A256">
        <v>255</v>
      </c>
      <c r="B256" s="1" t="s">
        <v>107</v>
      </c>
      <c r="C256" t="s">
        <v>151</v>
      </c>
      <c r="D256">
        <v>62</v>
      </c>
      <c r="E256" t="s">
        <v>154</v>
      </c>
    </row>
    <row r="257" spans="1:5" x14ac:dyDescent="0.2">
      <c r="A257">
        <v>256</v>
      </c>
      <c r="B257" s="1" t="s">
        <v>101</v>
      </c>
      <c r="C257" t="s">
        <v>151</v>
      </c>
      <c r="D257">
        <v>72</v>
      </c>
      <c r="E257" t="s">
        <v>154</v>
      </c>
    </row>
    <row r="258" spans="1:5" x14ac:dyDescent="0.2">
      <c r="A258">
        <v>257</v>
      </c>
      <c r="B258" s="1" t="s">
        <v>99</v>
      </c>
      <c r="C258" t="s">
        <v>151</v>
      </c>
      <c r="D258">
        <v>32</v>
      </c>
      <c r="E258" t="s">
        <v>154</v>
      </c>
    </row>
    <row r="259" spans="1:5" x14ac:dyDescent="0.2">
      <c r="A259">
        <v>258</v>
      </c>
      <c r="B259" s="1" t="s">
        <v>113</v>
      </c>
      <c r="C259" t="s">
        <v>152</v>
      </c>
      <c r="D259">
        <v>40</v>
      </c>
      <c r="E259" t="s">
        <v>154</v>
      </c>
    </row>
    <row r="260" spans="1:5" x14ac:dyDescent="0.2">
      <c r="A260">
        <v>259</v>
      </c>
      <c r="B260" s="1" t="s">
        <v>113</v>
      </c>
      <c r="C260" t="s">
        <v>151</v>
      </c>
      <c r="D260">
        <v>58</v>
      </c>
      <c r="E260" t="s">
        <v>154</v>
      </c>
    </row>
    <row r="261" spans="1:5" x14ac:dyDescent="0.2">
      <c r="A261">
        <v>260</v>
      </c>
      <c r="B261" s="1" t="s">
        <v>99</v>
      </c>
      <c r="C261" t="s">
        <v>152</v>
      </c>
      <c r="D261">
        <v>88</v>
      </c>
      <c r="E261" t="s">
        <v>154</v>
      </c>
    </row>
    <row r="262" spans="1:5" x14ac:dyDescent="0.2">
      <c r="A262">
        <v>261</v>
      </c>
      <c r="B262" s="1" t="s">
        <v>100</v>
      </c>
      <c r="C262" t="s">
        <v>151</v>
      </c>
      <c r="D262">
        <v>21</v>
      </c>
      <c r="E262" t="s">
        <v>154</v>
      </c>
    </row>
    <row r="263" spans="1:5" x14ac:dyDescent="0.2">
      <c r="A263">
        <v>262</v>
      </c>
      <c r="B263" s="1" t="s">
        <v>102</v>
      </c>
      <c r="C263" t="s">
        <v>151</v>
      </c>
      <c r="D263">
        <v>78</v>
      </c>
      <c r="E263" t="s">
        <v>154</v>
      </c>
    </row>
    <row r="264" spans="1:5" x14ac:dyDescent="0.2">
      <c r="A264">
        <v>263</v>
      </c>
      <c r="B264" s="1" t="s">
        <v>99</v>
      </c>
      <c r="C264" t="s">
        <v>152</v>
      </c>
      <c r="D264">
        <v>76</v>
      </c>
      <c r="E264" t="s">
        <v>154</v>
      </c>
    </row>
    <row r="265" spans="1:5" x14ac:dyDescent="0.2">
      <c r="A265">
        <v>264</v>
      </c>
      <c r="B265" s="1" t="s">
        <v>99</v>
      </c>
      <c r="C265" t="s">
        <v>151</v>
      </c>
      <c r="D265">
        <v>46</v>
      </c>
      <c r="E265" t="s">
        <v>154</v>
      </c>
    </row>
    <row r="266" spans="1:5" x14ac:dyDescent="0.2">
      <c r="A266">
        <v>265</v>
      </c>
      <c r="B266" s="1" t="s">
        <v>101</v>
      </c>
      <c r="C266" t="s">
        <v>151</v>
      </c>
      <c r="D266">
        <v>66</v>
      </c>
      <c r="E266" t="s">
        <v>154</v>
      </c>
    </row>
    <row r="267" spans="1:5" x14ac:dyDescent="0.2">
      <c r="A267">
        <v>266</v>
      </c>
      <c r="B267" s="1" t="s">
        <v>99</v>
      </c>
      <c r="C267" t="s">
        <v>152</v>
      </c>
      <c r="D267">
        <v>37</v>
      </c>
      <c r="E267" t="s">
        <v>154</v>
      </c>
    </row>
    <row r="268" spans="1:5" x14ac:dyDescent="0.2">
      <c r="A268">
        <v>267</v>
      </c>
      <c r="B268" s="1" t="s">
        <v>99</v>
      </c>
      <c r="C268" t="s">
        <v>152</v>
      </c>
      <c r="D268">
        <v>31</v>
      </c>
      <c r="E268" t="s">
        <v>154</v>
      </c>
    </row>
    <row r="269" spans="1:5" x14ac:dyDescent="0.2">
      <c r="A269">
        <v>268</v>
      </c>
      <c r="B269" s="1" t="s">
        <v>113</v>
      </c>
      <c r="C269" t="s">
        <v>151</v>
      </c>
      <c r="D269">
        <v>47</v>
      </c>
      <c r="E269" t="s">
        <v>154</v>
      </c>
    </row>
    <row r="270" spans="1:5" x14ac:dyDescent="0.2">
      <c r="A270">
        <v>269</v>
      </c>
      <c r="B270" s="1" t="s">
        <v>99</v>
      </c>
      <c r="C270" t="s">
        <v>152</v>
      </c>
      <c r="D270">
        <v>86</v>
      </c>
      <c r="E270" t="s">
        <v>154</v>
      </c>
    </row>
    <row r="271" spans="1:5" x14ac:dyDescent="0.2">
      <c r="A271">
        <v>270</v>
      </c>
      <c r="B271" s="1" t="s">
        <v>101</v>
      </c>
      <c r="C271" t="s">
        <v>152</v>
      </c>
      <c r="D271">
        <v>74</v>
      </c>
      <c r="E271" t="s">
        <v>154</v>
      </c>
    </row>
    <row r="272" spans="1:5" x14ac:dyDescent="0.2">
      <c r="A272">
        <v>271</v>
      </c>
      <c r="B272" s="1" t="s">
        <v>99</v>
      </c>
      <c r="C272" t="s">
        <v>151</v>
      </c>
      <c r="D272">
        <v>68</v>
      </c>
      <c r="E272" t="s">
        <v>154</v>
      </c>
    </row>
    <row r="273" spans="1:5" x14ac:dyDescent="0.2">
      <c r="A273">
        <v>272</v>
      </c>
      <c r="B273" s="1" t="s">
        <v>100</v>
      </c>
      <c r="C273" t="s">
        <v>151</v>
      </c>
      <c r="D273">
        <v>43</v>
      </c>
      <c r="E273" t="s">
        <v>154</v>
      </c>
    </row>
    <row r="274" spans="1:5" x14ac:dyDescent="0.2">
      <c r="A274">
        <v>273</v>
      </c>
      <c r="B274" s="1" t="s">
        <v>99</v>
      </c>
      <c r="C274" t="s">
        <v>151</v>
      </c>
      <c r="D274">
        <v>34</v>
      </c>
      <c r="E274" t="s">
        <v>154</v>
      </c>
    </row>
    <row r="275" spans="1:5" x14ac:dyDescent="0.2">
      <c r="A275">
        <v>274</v>
      </c>
      <c r="B275" s="1" t="s">
        <v>99</v>
      </c>
      <c r="C275" t="s">
        <v>151</v>
      </c>
      <c r="D275">
        <v>44</v>
      </c>
      <c r="E275" t="s">
        <v>154</v>
      </c>
    </row>
    <row r="276" spans="1:5" x14ac:dyDescent="0.2">
      <c r="A276">
        <v>275</v>
      </c>
      <c r="B276" s="1" t="s">
        <v>107</v>
      </c>
      <c r="C276" t="s">
        <v>152</v>
      </c>
      <c r="D276">
        <v>42</v>
      </c>
      <c r="E276" t="s">
        <v>154</v>
      </c>
    </row>
    <row r="277" spans="1:5" x14ac:dyDescent="0.2">
      <c r="A277">
        <v>276</v>
      </c>
      <c r="B277" s="1" t="s">
        <v>113</v>
      </c>
      <c r="C277" t="s">
        <v>152</v>
      </c>
      <c r="D277">
        <v>59</v>
      </c>
      <c r="E277" t="s">
        <v>154</v>
      </c>
    </row>
    <row r="278" spans="1:5" x14ac:dyDescent="0.2">
      <c r="A278">
        <v>277</v>
      </c>
      <c r="B278" s="1" t="s">
        <v>99</v>
      </c>
      <c r="C278" t="s">
        <v>152</v>
      </c>
      <c r="D278">
        <v>85</v>
      </c>
      <c r="E278" t="s">
        <v>154</v>
      </c>
    </row>
    <row r="279" spans="1:5" x14ac:dyDescent="0.2">
      <c r="A279">
        <v>278</v>
      </c>
      <c r="B279" s="1" t="s">
        <v>99</v>
      </c>
      <c r="C279" t="s">
        <v>152</v>
      </c>
      <c r="D279">
        <v>26</v>
      </c>
      <c r="E279" t="s">
        <v>154</v>
      </c>
    </row>
    <row r="280" spans="1:5" x14ac:dyDescent="0.2">
      <c r="A280">
        <v>279</v>
      </c>
      <c r="B280" s="1" t="s">
        <v>113</v>
      </c>
      <c r="C280" t="s">
        <v>151</v>
      </c>
      <c r="D280">
        <v>80</v>
      </c>
      <c r="E280" t="s">
        <v>154</v>
      </c>
    </row>
    <row r="281" spans="1:5" x14ac:dyDescent="0.2">
      <c r="A281">
        <v>280</v>
      </c>
      <c r="B281" s="1" t="s">
        <v>99</v>
      </c>
      <c r="C281" t="s">
        <v>151</v>
      </c>
      <c r="D281">
        <v>51</v>
      </c>
      <c r="E281" t="s">
        <v>154</v>
      </c>
    </row>
    <row r="282" spans="1:5" x14ac:dyDescent="0.2">
      <c r="A282">
        <v>281</v>
      </c>
      <c r="B282" s="1" t="s">
        <v>99</v>
      </c>
      <c r="C282" t="s">
        <v>151</v>
      </c>
      <c r="D282">
        <v>75</v>
      </c>
      <c r="E282" t="s">
        <v>154</v>
      </c>
    </row>
    <row r="283" spans="1:5" x14ac:dyDescent="0.2">
      <c r="A283">
        <v>282</v>
      </c>
      <c r="B283" s="1" t="s">
        <v>99</v>
      </c>
      <c r="C283" t="s">
        <v>152</v>
      </c>
      <c r="D283">
        <v>43</v>
      </c>
      <c r="E283" t="s">
        <v>154</v>
      </c>
    </row>
    <row r="284" spans="1:5" x14ac:dyDescent="0.2">
      <c r="A284">
        <v>283</v>
      </c>
      <c r="B284" s="1" t="s">
        <v>99</v>
      </c>
      <c r="C284" t="s">
        <v>151</v>
      </c>
      <c r="D284">
        <v>18</v>
      </c>
      <c r="E284" t="s">
        <v>154</v>
      </c>
    </row>
    <row r="285" spans="1:5" x14ac:dyDescent="0.2">
      <c r="A285">
        <v>284</v>
      </c>
      <c r="B285" s="1" t="s">
        <v>99</v>
      </c>
      <c r="C285" t="s">
        <v>151</v>
      </c>
      <c r="D285">
        <v>82</v>
      </c>
      <c r="E285" t="s">
        <v>154</v>
      </c>
    </row>
    <row r="286" spans="1:5" x14ac:dyDescent="0.2">
      <c r="A286">
        <v>285</v>
      </c>
      <c r="B286" s="1" t="s">
        <v>101</v>
      </c>
      <c r="C286" t="s">
        <v>151</v>
      </c>
      <c r="D286">
        <v>36</v>
      </c>
      <c r="E286" t="s">
        <v>154</v>
      </c>
    </row>
    <row r="287" spans="1:5" x14ac:dyDescent="0.2">
      <c r="A287">
        <v>286</v>
      </c>
      <c r="B287" s="1" t="s">
        <v>99</v>
      </c>
      <c r="C287" t="s">
        <v>151</v>
      </c>
      <c r="D287">
        <v>79</v>
      </c>
      <c r="E287" t="s">
        <v>154</v>
      </c>
    </row>
    <row r="288" spans="1:5" x14ac:dyDescent="0.2">
      <c r="A288">
        <v>287</v>
      </c>
      <c r="B288" s="1" t="s">
        <v>106</v>
      </c>
      <c r="C288" t="s">
        <v>151</v>
      </c>
      <c r="D288">
        <v>86</v>
      </c>
      <c r="E288" t="s">
        <v>154</v>
      </c>
    </row>
    <row r="289" spans="1:5" x14ac:dyDescent="0.2">
      <c r="A289">
        <v>288</v>
      </c>
      <c r="B289" s="1" t="s">
        <v>99</v>
      </c>
      <c r="C289" t="s">
        <v>151</v>
      </c>
      <c r="D289">
        <v>38</v>
      </c>
      <c r="E289" t="s">
        <v>154</v>
      </c>
    </row>
    <row r="290" spans="1:5" x14ac:dyDescent="0.2">
      <c r="A290">
        <v>289</v>
      </c>
      <c r="B290" s="1" t="s">
        <v>100</v>
      </c>
      <c r="C290" t="s">
        <v>151</v>
      </c>
      <c r="D290">
        <v>82</v>
      </c>
      <c r="E290" t="s">
        <v>154</v>
      </c>
    </row>
    <row r="291" spans="1:5" x14ac:dyDescent="0.2">
      <c r="A291">
        <v>290</v>
      </c>
      <c r="B291" s="1" t="s">
        <v>105</v>
      </c>
      <c r="C291" t="s">
        <v>152</v>
      </c>
      <c r="D291">
        <v>71</v>
      </c>
      <c r="E291" t="s">
        <v>154</v>
      </c>
    </row>
    <row r="292" spans="1:5" x14ac:dyDescent="0.2">
      <c r="A292">
        <v>291</v>
      </c>
      <c r="B292" s="1" t="s">
        <v>113</v>
      </c>
      <c r="C292" t="s">
        <v>152</v>
      </c>
      <c r="D292">
        <v>44</v>
      </c>
      <c r="E292" t="s">
        <v>154</v>
      </c>
    </row>
    <row r="293" spans="1:5" x14ac:dyDescent="0.2">
      <c r="A293">
        <v>292</v>
      </c>
      <c r="B293" s="1" t="s">
        <v>113</v>
      </c>
      <c r="C293" t="s">
        <v>151</v>
      </c>
      <c r="D293">
        <v>66</v>
      </c>
      <c r="E293" t="s">
        <v>154</v>
      </c>
    </row>
    <row r="294" spans="1:5" x14ac:dyDescent="0.2">
      <c r="A294">
        <v>293</v>
      </c>
      <c r="B294" s="1" t="s">
        <v>113</v>
      </c>
      <c r="C294" t="s">
        <v>152</v>
      </c>
      <c r="D294">
        <v>76</v>
      </c>
      <c r="E294" t="s">
        <v>154</v>
      </c>
    </row>
    <row r="295" spans="1:5" x14ac:dyDescent="0.2">
      <c r="A295">
        <v>294</v>
      </c>
      <c r="B295" s="1" t="s">
        <v>100</v>
      </c>
      <c r="C295" t="s">
        <v>152</v>
      </c>
      <c r="D295">
        <v>30</v>
      </c>
      <c r="E295" t="s">
        <v>154</v>
      </c>
    </row>
    <row r="296" spans="1:5" x14ac:dyDescent="0.2">
      <c r="A296">
        <v>295</v>
      </c>
      <c r="B296" s="1" t="s">
        <v>113</v>
      </c>
      <c r="C296" t="s">
        <v>152</v>
      </c>
      <c r="D296">
        <v>44</v>
      </c>
      <c r="E296" t="s">
        <v>154</v>
      </c>
    </row>
    <row r="297" spans="1:5" x14ac:dyDescent="0.2">
      <c r="A297">
        <v>296</v>
      </c>
      <c r="B297" s="1" t="s">
        <v>108</v>
      </c>
      <c r="C297" t="s">
        <v>152</v>
      </c>
      <c r="D297">
        <v>70</v>
      </c>
      <c r="E297" t="s">
        <v>154</v>
      </c>
    </row>
    <row r="298" spans="1:5" x14ac:dyDescent="0.2">
      <c r="A298">
        <v>297</v>
      </c>
      <c r="B298" s="1" t="s">
        <v>113</v>
      </c>
      <c r="C298" t="s">
        <v>151</v>
      </c>
      <c r="D298">
        <v>25</v>
      </c>
      <c r="E298" t="s">
        <v>154</v>
      </c>
    </row>
    <row r="299" spans="1:5" x14ac:dyDescent="0.2">
      <c r="A299">
        <v>298</v>
      </c>
      <c r="B299" s="1" t="s">
        <v>105</v>
      </c>
      <c r="C299" t="s">
        <v>151</v>
      </c>
      <c r="D299">
        <v>34</v>
      </c>
      <c r="E299" t="s">
        <v>154</v>
      </c>
    </row>
    <row r="300" spans="1:5" x14ac:dyDescent="0.2">
      <c r="A300">
        <v>299</v>
      </c>
      <c r="B300" s="1" t="s">
        <v>113</v>
      </c>
      <c r="C300" t="s">
        <v>151</v>
      </c>
      <c r="D300">
        <v>58</v>
      </c>
      <c r="E300" t="s">
        <v>154</v>
      </c>
    </row>
    <row r="301" spans="1:5" x14ac:dyDescent="0.2">
      <c r="A301">
        <v>300</v>
      </c>
      <c r="B301" s="1" t="s">
        <v>113</v>
      </c>
      <c r="C301" t="s">
        <v>152</v>
      </c>
      <c r="D301">
        <v>66</v>
      </c>
      <c r="E301" t="s">
        <v>154</v>
      </c>
    </row>
    <row r="302" spans="1:5" x14ac:dyDescent="0.2">
      <c r="A302">
        <v>301</v>
      </c>
      <c r="B302" s="1" t="s">
        <v>113</v>
      </c>
      <c r="C302" t="s">
        <v>151</v>
      </c>
      <c r="D302">
        <v>46</v>
      </c>
      <c r="E302" t="s">
        <v>154</v>
      </c>
    </row>
    <row r="303" spans="1:5" x14ac:dyDescent="0.2">
      <c r="A303">
        <v>302</v>
      </c>
      <c r="B303" s="1" t="s">
        <v>109</v>
      </c>
      <c r="C303" t="s">
        <v>152</v>
      </c>
      <c r="D303">
        <v>29</v>
      </c>
      <c r="E303" t="s">
        <v>154</v>
      </c>
    </row>
    <row r="304" spans="1:5" x14ac:dyDescent="0.2">
      <c r="A304">
        <v>303</v>
      </c>
      <c r="B304" s="1" t="s">
        <v>113</v>
      </c>
      <c r="C304" t="s">
        <v>152</v>
      </c>
      <c r="D304">
        <v>73</v>
      </c>
      <c r="E304" t="s">
        <v>154</v>
      </c>
    </row>
    <row r="305" spans="1:5" x14ac:dyDescent="0.2">
      <c r="A305">
        <v>304</v>
      </c>
      <c r="B305" s="1" t="s">
        <v>113</v>
      </c>
      <c r="C305" t="s">
        <v>152</v>
      </c>
      <c r="D305">
        <v>71</v>
      </c>
      <c r="E305" t="s">
        <v>154</v>
      </c>
    </row>
    <row r="306" spans="1:5" x14ac:dyDescent="0.2">
      <c r="A306">
        <v>305</v>
      </c>
      <c r="B306" s="1" t="s">
        <v>101</v>
      </c>
      <c r="C306" t="s">
        <v>152</v>
      </c>
      <c r="D306">
        <v>58</v>
      </c>
      <c r="E306" t="s">
        <v>154</v>
      </c>
    </row>
    <row r="307" spans="1:5" x14ac:dyDescent="0.2">
      <c r="A307">
        <v>306</v>
      </c>
      <c r="B307" s="1" t="s">
        <v>113</v>
      </c>
      <c r="C307" t="s">
        <v>152</v>
      </c>
      <c r="D307">
        <v>20</v>
      </c>
      <c r="E307" t="s">
        <v>154</v>
      </c>
    </row>
    <row r="308" spans="1:5" x14ac:dyDescent="0.2">
      <c r="A308">
        <v>307</v>
      </c>
      <c r="B308" s="1" t="s">
        <v>100</v>
      </c>
      <c r="C308" t="s">
        <v>151</v>
      </c>
      <c r="D308">
        <v>65</v>
      </c>
      <c r="E308" t="s">
        <v>154</v>
      </c>
    </row>
    <row r="309" spans="1:5" x14ac:dyDescent="0.2">
      <c r="A309">
        <v>308</v>
      </c>
      <c r="B309" s="1" t="s">
        <v>105</v>
      </c>
      <c r="C309" t="s">
        <v>152</v>
      </c>
      <c r="D309">
        <v>40</v>
      </c>
      <c r="E309" t="s">
        <v>154</v>
      </c>
    </row>
    <row r="310" spans="1:5" x14ac:dyDescent="0.2">
      <c r="A310">
        <v>309</v>
      </c>
      <c r="B310" s="1" t="s">
        <v>104</v>
      </c>
      <c r="C310" t="s">
        <v>151</v>
      </c>
      <c r="D310">
        <v>70</v>
      </c>
      <c r="E310" t="s">
        <v>154</v>
      </c>
    </row>
    <row r="311" spans="1:5" x14ac:dyDescent="0.2">
      <c r="A311">
        <v>310</v>
      </c>
      <c r="B311" s="1" t="s">
        <v>100</v>
      </c>
      <c r="C311" t="s">
        <v>151</v>
      </c>
      <c r="D311">
        <v>22</v>
      </c>
      <c r="E311" t="s">
        <v>154</v>
      </c>
    </row>
    <row r="312" spans="1:5" x14ac:dyDescent="0.2">
      <c r="A312">
        <v>311</v>
      </c>
      <c r="B312" s="1" t="s">
        <v>101</v>
      </c>
      <c r="C312" t="s">
        <v>151</v>
      </c>
      <c r="D312">
        <v>45</v>
      </c>
      <c r="E312" t="s">
        <v>154</v>
      </c>
    </row>
    <row r="313" spans="1:5" x14ac:dyDescent="0.2">
      <c r="A313">
        <v>312</v>
      </c>
      <c r="B313" s="1" t="s">
        <v>107</v>
      </c>
      <c r="C313" t="s">
        <v>151</v>
      </c>
      <c r="D313">
        <v>38</v>
      </c>
      <c r="E313" t="s">
        <v>154</v>
      </c>
    </row>
    <row r="314" spans="1:5" x14ac:dyDescent="0.2">
      <c r="A314">
        <v>313</v>
      </c>
      <c r="B314" s="1" t="s">
        <v>113</v>
      </c>
      <c r="C314" t="s">
        <v>152</v>
      </c>
      <c r="D314">
        <v>61</v>
      </c>
      <c r="E314" t="s">
        <v>154</v>
      </c>
    </row>
    <row r="315" spans="1:5" x14ac:dyDescent="0.2">
      <c r="A315">
        <v>314</v>
      </c>
      <c r="B315" s="1" t="s">
        <v>105</v>
      </c>
      <c r="C315" t="s">
        <v>151</v>
      </c>
      <c r="D315">
        <v>38</v>
      </c>
      <c r="E315" t="s">
        <v>154</v>
      </c>
    </row>
    <row r="316" spans="1:5" x14ac:dyDescent="0.2">
      <c r="A316">
        <v>315</v>
      </c>
      <c r="B316" s="1" t="s">
        <v>113</v>
      </c>
      <c r="C316" t="s">
        <v>152</v>
      </c>
      <c r="D316">
        <v>85</v>
      </c>
      <c r="E316" t="s">
        <v>154</v>
      </c>
    </row>
    <row r="317" spans="1:5" x14ac:dyDescent="0.2">
      <c r="A317">
        <v>316</v>
      </c>
      <c r="B317" s="1" t="s">
        <v>113</v>
      </c>
      <c r="C317" t="s">
        <v>152</v>
      </c>
      <c r="D317">
        <v>89</v>
      </c>
      <c r="E317" t="s">
        <v>154</v>
      </c>
    </row>
    <row r="318" spans="1:5" x14ac:dyDescent="0.2">
      <c r="A318">
        <v>317</v>
      </c>
      <c r="B318" s="1" t="s">
        <v>100</v>
      </c>
      <c r="C318" t="s">
        <v>151</v>
      </c>
      <c r="D318">
        <v>24</v>
      </c>
      <c r="E318" t="s">
        <v>154</v>
      </c>
    </row>
    <row r="319" spans="1:5" x14ac:dyDescent="0.2">
      <c r="A319">
        <v>318</v>
      </c>
      <c r="B319" s="1" t="s">
        <v>113</v>
      </c>
      <c r="C319" t="s">
        <v>152</v>
      </c>
      <c r="D319">
        <v>35</v>
      </c>
      <c r="E319" t="s">
        <v>154</v>
      </c>
    </row>
    <row r="320" spans="1:5" x14ac:dyDescent="0.2">
      <c r="A320">
        <v>319</v>
      </c>
      <c r="B320" s="1" t="s">
        <v>113</v>
      </c>
      <c r="C320" t="s">
        <v>152</v>
      </c>
      <c r="D320">
        <v>39</v>
      </c>
      <c r="E320" t="s">
        <v>154</v>
      </c>
    </row>
    <row r="321" spans="1:5" x14ac:dyDescent="0.2">
      <c r="A321">
        <v>320</v>
      </c>
      <c r="B321" s="1" t="s">
        <v>109</v>
      </c>
      <c r="C321" t="s">
        <v>151</v>
      </c>
      <c r="D321">
        <v>47</v>
      </c>
      <c r="E321" t="s">
        <v>154</v>
      </c>
    </row>
    <row r="322" spans="1:5" x14ac:dyDescent="0.2">
      <c r="A322">
        <v>321</v>
      </c>
      <c r="B322" s="1" t="s">
        <v>113</v>
      </c>
      <c r="C322" t="s">
        <v>151</v>
      </c>
      <c r="D322">
        <v>30</v>
      </c>
      <c r="E322" t="s">
        <v>154</v>
      </c>
    </row>
    <row r="323" spans="1:5" x14ac:dyDescent="0.2">
      <c r="A323">
        <v>322</v>
      </c>
      <c r="B323" s="1" t="s">
        <v>113</v>
      </c>
      <c r="C323" t="s">
        <v>151</v>
      </c>
      <c r="D323">
        <v>22</v>
      </c>
      <c r="E323" t="s">
        <v>154</v>
      </c>
    </row>
    <row r="324" spans="1:5" x14ac:dyDescent="0.2">
      <c r="A324">
        <v>323</v>
      </c>
      <c r="B324" s="1" t="s">
        <v>100</v>
      </c>
      <c r="C324" t="s">
        <v>151</v>
      </c>
      <c r="D324">
        <v>49</v>
      </c>
      <c r="E324" t="s">
        <v>154</v>
      </c>
    </row>
    <row r="325" spans="1:5" x14ac:dyDescent="0.2">
      <c r="A325">
        <v>324</v>
      </c>
      <c r="B325" s="1" t="s">
        <v>101</v>
      </c>
      <c r="C325" t="s">
        <v>152</v>
      </c>
      <c r="D325">
        <v>28</v>
      </c>
      <c r="E325" t="s">
        <v>154</v>
      </c>
    </row>
    <row r="326" spans="1:5" x14ac:dyDescent="0.2">
      <c r="A326">
        <v>325</v>
      </c>
      <c r="B326" s="1" t="s">
        <v>100</v>
      </c>
      <c r="C326" t="s">
        <v>151</v>
      </c>
      <c r="D326">
        <v>30</v>
      </c>
      <c r="E326" t="s">
        <v>154</v>
      </c>
    </row>
    <row r="327" spans="1:5" x14ac:dyDescent="0.2">
      <c r="A327">
        <v>326</v>
      </c>
      <c r="B327" s="1" t="s">
        <v>111</v>
      </c>
      <c r="C327" t="s">
        <v>151</v>
      </c>
      <c r="D327">
        <v>54</v>
      </c>
      <c r="E327" t="s">
        <v>154</v>
      </c>
    </row>
    <row r="328" spans="1:5" x14ac:dyDescent="0.2">
      <c r="A328">
        <v>327</v>
      </c>
      <c r="B328" s="1" t="s">
        <v>113</v>
      </c>
      <c r="C328" t="s">
        <v>152</v>
      </c>
      <c r="D328">
        <v>32</v>
      </c>
      <c r="E328" t="s">
        <v>154</v>
      </c>
    </row>
    <row r="329" spans="1:5" x14ac:dyDescent="0.2">
      <c r="A329">
        <v>328</v>
      </c>
      <c r="B329" s="1" t="s">
        <v>113</v>
      </c>
      <c r="C329" t="s">
        <v>151</v>
      </c>
      <c r="D329">
        <v>44</v>
      </c>
      <c r="E329" t="s">
        <v>154</v>
      </c>
    </row>
    <row r="330" spans="1:5" x14ac:dyDescent="0.2">
      <c r="A330">
        <v>329</v>
      </c>
      <c r="B330" s="1" t="s">
        <v>105</v>
      </c>
      <c r="C330" t="s">
        <v>152</v>
      </c>
      <c r="D330">
        <v>55</v>
      </c>
      <c r="E330" t="s">
        <v>154</v>
      </c>
    </row>
    <row r="331" spans="1:5" x14ac:dyDescent="0.2">
      <c r="A331">
        <v>330</v>
      </c>
      <c r="B331" s="1" t="s">
        <v>113</v>
      </c>
      <c r="C331" t="s">
        <v>152</v>
      </c>
      <c r="D331">
        <v>43</v>
      </c>
      <c r="E331" t="s">
        <v>154</v>
      </c>
    </row>
    <row r="332" spans="1:5" x14ac:dyDescent="0.2">
      <c r="A332">
        <v>331</v>
      </c>
      <c r="B332" s="1" t="s">
        <v>106</v>
      </c>
      <c r="C332" t="s">
        <v>151</v>
      </c>
      <c r="D332">
        <v>24</v>
      </c>
      <c r="E332" t="s">
        <v>154</v>
      </c>
    </row>
    <row r="333" spans="1:5" x14ac:dyDescent="0.2">
      <c r="A333">
        <v>332</v>
      </c>
      <c r="B333" s="1" t="s">
        <v>113</v>
      </c>
      <c r="C333" t="s">
        <v>151</v>
      </c>
      <c r="D333">
        <v>78</v>
      </c>
      <c r="E333" t="s">
        <v>154</v>
      </c>
    </row>
    <row r="334" spans="1:5" x14ac:dyDescent="0.2">
      <c r="A334">
        <v>333</v>
      </c>
      <c r="B334" s="1" t="s">
        <v>109</v>
      </c>
      <c r="C334" t="s">
        <v>151</v>
      </c>
      <c r="D334">
        <v>43</v>
      </c>
      <c r="E334" t="s">
        <v>154</v>
      </c>
    </row>
    <row r="335" spans="1:5" x14ac:dyDescent="0.2">
      <c r="A335">
        <v>334</v>
      </c>
      <c r="B335" s="1" t="s">
        <v>100</v>
      </c>
      <c r="C335" t="s">
        <v>151</v>
      </c>
      <c r="D335">
        <v>18</v>
      </c>
      <c r="E335" t="s">
        <v>154</v>
      </c>
    </row>
    <row r="336" spans="1:5" x14ac:dyDescent="0.2">
      <c r="A336">
        <v>335</v>
      </c>
      <c r="B336" s="1" t="s">
        <v>113</v>
      </c>
      <c r="C336" t="s">
        <v>152</v>
      </c>
      <c r="D336">
        <v>65</v>
      </c>
      <c r="E336" t="s">
        <v>154</v>
      </c>
    </row>
    <row r="337" spans="1:5" x14ac:dyDescent="0.2">
      <c r="A337">
        <v>336</v>
      </c>
      <c r="B337" s="1" t="s">
        <v>105</v>
      </c>
      <c r="C337" t="s">
        <v>152</v>
      </c>
      <c r="D337">
        <v>26</v>
      </c>
      <c r="E337" t="s">
        <v>154</v>
      </c>
    </row>
    <row r="338" spans="1:5" x14ac:dyDescent="0.2">
      <c r="A338">
        <v>337</v>
      </c>
      <c r="B338" s="1" t="s">
        <v>106</v>
      </c>
      <c r="C338" t="s">
        <v>151</v>
      </c>
      <c r="D338">
        <v>58</v>
      </c>
      <c r="E338" t="s">
        <v>154</v>
      </c>
    </row>
    <row r="339" spans="1:5" x14ac:dyDescent="0.2">
      <c r="A339">
        <v>338</v>
      </c>
      <c r="B339" s="1" t="s">
        <v>113</v>
      </c>
      <c r="C339" t="s">
        <v>152</v>
      </c>
      <c r="D339">
        <v>51</v>
      </c>
      <c r="E339" t="s">
        <v>154</v>
      </c>
    </row>
    <row r="340" spans="1:5" x14ac:dyDescent="0.2">
      <c r="A340">
        <v>339</v>
      </c>
      <c r="B340" s="1" t="s">
        <v>100</v>
      </c>
      <c r="C340" t="s">
        <v>152</v>
      </c>
      <c r="D340">
        <v>25</v>
      </c>
      <c r="E340" t="s">
        <v>154</v>
      </c>
    </row>
    <row r="341" spans="1:5" x14ac:dyDescent="0.2">
      <c r="A341">
        <v>340</v>
      </c>
      <c r="B341" s="1" t="s">
        <v>100</v>
      </c>
      <c r="C341" t="s">
        <v>151</v>
      </c>
      <c r="D341">
        <v>68</v>
      </c>
      <c r="E341" t="s">
        <v>154</v>
      </c>
    </row>
    <row r="342" spans="1:5" x14ac:dyDescent="0.2">
      <c r="A342">
        <v>341</v>
      </c>
      <c r="B342" s="1" t="s">
        <v>105</v>
      </c>
      <c r="C342" t="s">
        <v>152</v>
      </c>
      <c r="D342">
        <v>44</v>
      </c>
      <c r="E342" t="s">
        <v>154</v>
      </c>
    </row>
    <row r="343" spans="1:5" x14ac:dyDescent="0.2">
      <c r="A343">
        <v>342</v>
      </c>
      <c r="B343" s="1" t="s">
        <v>113</v>
      </c>
      <c r="C343" t="s">
        <v>152</v>
      </c>
      <c r="D343">
        <v>65</v>
      </c>
      <c r="E343" t="s">
        <v>154</v>
      </c>
    </row>
    <row r="344" spans="1:5" x14ac:dyDescent="0.2">
      <c r="A344">
        <v>343</v>
      </c>
      <c r="B344" s="1" t="s">
        <v>113</v>
      </c>
      <c r="C344" t="s">
        <v>152</v>
      </c>
      <c r="D344">
        <v>88</v>
      </c>
      <c r="E344" t="s">
        <v>154</v>
      </c>
    </row>
    <row r="345" spans="1:5" x14ac:dyDescent="0.2">
      <c r="A345">
        <v>344</v>
      </c>
      <c r="B345" s="1" t="s">
        <v>102</v>
      </c>
      <c r="C345" t="s">
        <v>152</v>
      </c>
      <c r="D345">
        <v>84</v>
      </c>
      <c r="E345" t="s">
        <v>154</v>
      </c>
    </row>
    <row r="346" spans="1:5" x14ac:dyDescent="0.2">
      <c r="A346">
        <v>345</v>
      </c>
      <c r="B346" s="1" t="s">
        <v>113</v>
      </c>
      <c r="C346" t="s">
        <v>152</v>
      </c>
      <c r="D346">
        <v>31</v>
      </c>
      <c r="E346" t="s">
        <v>154</v>
      </c>
    </row>
    <row r="347" spans="1:5" x14ac:dyDescent="0.2">
      <c r="A347">
        <v>346</v>
      </c>
      <c r="B347" s="1" t="s">
        <v>105</v>
      </c>
      <c r="C347" t="s">
        <v>152</v>
      </c>
      <c r="D347">
        <v>27</v>
      </c>
      <c r="E347" t="s">
        <v>154</v>
      </c>
    </row>
    <row r="348" spans="1:5" x14ac:dyDescent="0.2">
      <c r="A348">
        <v>347</v>
      </c>
      <c r="B348" s="1" t="s">
        <v>108</v>
      </c>
      <c r="C348" t="s">
        <v>152</v>
      </c>
      <c r="D348">
        <v>59</v>
      </c>
      <c r="E348" t="s">
        <v>154</v>
      </c>
    </row>
    <row r="349" spans="1:5" x14ac:dyDescent="0.2">
      <c r="A349">
        <v>348</v>
      </c>
      <c r="B349" s="1" t="s">
        <v>100</v>
      </c>
      <c r="C349" t="s">
        <v>151</v>
      </c>
      <c r="D349">
        <v>61</v>
      </c>
      <c r="E349" t="s">
        <v>154</v>
      </c>
    </row>
    <row r="350" spans="1:5" x14ac:dyDescent="0.2">
      <c r="A350">
        <v>349</v>
      </c>
      <c r="B350" s="1" t="s">
        <v>108</v>
      </c>
      <c r="C350" t="s">
        <v>152</v>
      </c>
      <c r="D350">
        <v>55</v>
      </c>
      <c r="E350" t="s">
        <v>154</v>
      </c>
    </row>
    <row r="351" spans="1:5" x14ac:dyDescent="0.2">
      <c r="A351">
        <v>350</v>
      </c>
      <c r="B351" s="1" t="s">
        <v>109</v>
      </c>
      <c r="C351" t="s">
        <v>152</v>
      </c>
      <c r="D351">
        <v>39</v>
      </c>
      <c r="E351" t="s">
        <v>154</v>
      </c>
    </row>
    <row r="352" spans="1:5" x14ac:dyDescent="0.2">
      <c r="A352">
        <v>351</v>
      </c>
      <c r="B352" s="1" t="s">
        <v>101</v>
      </c>
      <c r="C352" t="s">
        <v>152</v>
      </c>
      <c r="D352">
        <v>87</v>
      </c>
      <c r="E352" t="s">
        <v>154</v>
      </c>
    </row>
    <row r="353" spans="1:5" x14ac:dyDescent="0.2">
      <c r="A353">
        <v>352</v>
      </c>
      <c r="B353" s="1" t="s">
        <v>100</v>
      </c>
      <c r="C353" t="s">
        <v>151</v>
      </c>
      <c r="D353">
        <v>72</v>
      </c>
      <c r="E353" t="s">
        <v>154</v>
      </c>
    </row>
    <row r="354" spans="1:5" x14ac:dyDescent="0.2">
      <c r="A354">
        <v>353</v>
      </c>
      <c r="B354" s="1" t="s">
        <v>100</v>
      </c>
      <c r="C354" t="s">
        <v>152</v>
      </c>
      <c r="D354">
        <v>66</v>
      </c>
      <c r="E354" t="s">
        <v>154</v>
      </c>
    </row>
    <row r="355" spans="1:5" x14ac:dyDescent="0.2">
      <c r="A355">
        <v>354</v>
      </c>
      <c r="B355" s="1" t="s">
        <v>113</v>
      </c>
      <c r="C355" t="s">
        <v>151</v>
      </c>
      <c r="D355">
        <v>29</v>
      </c>
      <c r="E355" t="s">
        <v>154</v>
      </c>
    </row>
    <row r="356" spans="1:5" x14ac:dyDescent="0.2">
      <c r="A356">
        <v>355</v>
      </c>
      <c r="B356" s="1" t="s">
        <v>100</v>
      </c>
      <c r="C356" t="s">
        <v>152</v>
      </c>
      <c r="D356">
        <v>49</v>
      </c>
      <c r="E356" t="s">
        <v>154</v>
      </c>
    </row>
    <row r="357" spans="1:5" x14ac:dyDescent="0.2">
      <c r="A357">
        <v>356</v>
      </c>
      <c r="B357" s="1" t="s">
        <v>113</v>
      </c>
      <c r="C357" t="s">
        <v>151</v>
      </c>
      <c r="D357">
        <v>41</v>
      </c>
      <c r="E357" t="s">
        <v>154</v>
      </c>
    </row>
    <row r="358" spans="1:5" x14ac:dyDescent="0.2">
      <c r="A358">
        <v>357</v>
      </c>
      <c r="B358" s="1" t="s">
        <v>103</v>
      </c>
      <c r="C358" t="s">
        <v>152</v>
      </c>
      <c r="D358">
        <v>70</v>
      </c>
      <c r="E358" t="s">
        <v>154</v>
      </c>
    </row>
    <row r="359" spans="1:5" x14ac:dyDescent="0.2">
      <c r="A359">
        <v>358</v>
      </c>
      <c r="B359" s="1" t="s">
        <v>105</v>
      </c>
      <c r="C359" t="s">
        <v>151</v>
      </c>
      <c r="D359">
        <v>50</v>
      </c>
      <c r="E359" t="s">
        <v>154</v>
      </c>
    </row>
    <row r="360" spans="1:5" x14ac:dyDescent="0.2">
      <c r="A360">
        <v>359</v>
      </c>
      <c r="B360" s="1" t="s">
        <v>100</v>
      </c>
      <c r="C360" t="s">
        <v>152</v>
      </c>
      <c r="D360">
        <v>37</v>
      </c>
      <c r="E360" t="s">
        <v>154</v>
      </c>
    </row>
    <row r="361" spans="1:5" x14ac:dyDescent="0.2">
      <c r="A361">
        <v>360</v>
      </c>
      <c r="B361" s="1" t="s">
        <v>113</v>
      </c>
      <c r="C361" t="s">
        <v>151</v>
      </c>
      <c r="D361">
        <v>32</v>
      </c>
      <c r="E361" t="s">
        <v>154</v>
      </c>
    </row>
    <row r="362" spans="1:5" x14ac:dyDescent="0.2">
      <c r="A362">
        <v>361</v>
      </c>
      <c r="B362" s="1" t="s">
        <v>107</v>
      </c>
      <c r="C362" t="s">
        <v>151</v>
      </c>
      <c r="D362">
        <v>87</v>
      </c>
      <c r="E362" t="s">
        <v>154</v>
      </c>
    </row>
    <row r="363" spans="1:5" x14ac:dyDescent="0.2">
      <c r="A363">
        <v>362</v>
      </c>
      <c r="B363" s="1" t="s">
        <v>113</v>
      </c>
      <c r="C363" t="s">
        <v>151</v>
      </c>
      <c r="D363">
        <v>68</v>
      </c>
      <c r="E363" t="s">
        <v>154</v>
      </c>
    </row>
    <row r="364" spans="1:5" x14ac:dyDescent="0.2">
      <c r="A364">
        <v>363</v>
      </c>
      <c r="B364" s="1" t="s">
        <v>113</v>
      </c>
      <c r="C364" t="s">
        <v>152</v>
      </c>
      <c r="D364">
        <v>48</v>
      </c>
      <c r="E364" t="s">
        <v>154</v>
      </c>
    </row>
    <row r="365" spans="1:5" x14ac:dyDescent="0.2">
      <c r="A365">
        <v>364</v>
      </c>
      <c r="B365" s="1" t="s">
        <v>105</v>
      </c>
      <c r="C365" t="s">
        <v>151</v>
      </c>
      <c r="D365">
        <v>18</v>
      </c>
      <c r="E365" t="s">
        <v>154</v>
      </c>
    </row>
    <row r="366" spans="1:5" x14ac:dyDescent="0.2">
      <c r="A366">
        <v>365</v>
      </c>
      <c r="B366" s="1" t="s">
        <v>100</v>
      </c>
      <c r="C366" t="s">
        <v>151</v>
      </c>
      <c r="D366">
        <v>46</v>
      </c>
      <c r="E366" t="s">
        <v>154</v>
      </c>
    </row>
    <row r="367" spans="1:5" x14ac:dyDescent="0.2">
      <c r="A367">
        <v>366</v>
      </c>
      <c r="B367" s="1" t="s">
        <v>113</v>
      </c>
      <c r="C367" t="s">
        <v>152</v>
      </c>
      <c r="D367">
        <v>79</v>
      </c>
      <c r="E367" t="s">
        <v>154</v>
      </c>
    </row>
    <row r="368" spans="1:5" x14ac:dyDescent="0.2">
      <c r="A368">
        <v>367</v>
      </c>
      <c r="B368" s="1" t="s">
        <v>113</v>
      </c>
      <c r="C368" t="s">
        <v>151</v>
      </c>
      <c r="D368">
        <v>23</v>
      </c>
      <c r="E368" t="s">
        <v>154</v>
      </c>
    </row>
    <row r="369" spans="1:5" x14ac:dyDescent="0.2">
      <c r="A369">
        <v>368</v>
      </c>
      <c r="B369" s="1" t="s">
        <v>102</v>
      </c>
      <c r="C369" t="s">
        <v>152</v>
      </c>
      <c r="D369">
        <v>58</v>
      </c>
      <c r="E369" t="s">
        <v>154</v>
      </c>
    </row>
    <row r="370" spans="1:5" x14ac:dyDescent="0.2">
      <c r="A370">
        <v>369</v>
      </c>
      <c r="B370" s="1" t="s">
        <v>100</v>
      </c>
      <c r="C370" t="s">
        <v>152</v>
      </c>
      <c r="D370">
        <v>39</v>
      </c>
      <c r="E370" t="s">
        <v>154</v>
      </c>
    </row>
    <row r="371" spans="1:5" x14ac:dyDescent="0.2">
      <c r="A371">
        <v>370</v>
      </c>
      <c r="B371" s="1" t="s">
        <v>101</v>
      </c>
      <c r="C371" t="s">
        <v>152</v>
      </c>
      <c r="D371">
        <v>35</v>
      </c>
      <c r="E371" t="s">
        <v>154</v>
      </c>
    </row>
    <row r="372" spans="1:5" x14ac:dyDescent="0.2">
      <c r="A372">
        <v>371</v>
      </c>
      <c r="B372" s="1" t="s">
        <v>105</v>
      </c>
      <c r="C372" t="s">
        <v>151</v>
      </c>
      <c r="D372">
        <v>68</v>
      </c>
      <c r="E372" t="s">
        <v>154</v>
      </c>
    </row>
    <row r="373" spans="1:5" x14ac:dyDescent="0.2">
      <c r="A373">
        <v>372</v>
      </c>
      <c r="B373" s="1" t="s">
        <v>113</v>
      </c>
      <c r="C373" t="s">
        <v>151</v>
      </c>
      <c r="D373">
        <v>60</v>
      </c>
      <c r="E373" t="s">
        <v>154</v>
      </c>
    </row>
    <row r="374" spans="1:5" x14ac:dyDescent="0.2">
      <c r="A374">
        <v>373</v>
      </c>
      <c r="B374" s="1" t="s">
        <v>113</v>
      </c>
      <c r="C374" t="s">
        <v>152</v>
      </c>
      <c r="D374">
        <v>89</v>
      </c>
      <c r="E374" t="s">
        <v>154</v>
      </c>
    </row>
    <row r="375" spans="1:5" x14ac:dyDescent="0.2">
      <c r="A375">
        <v>374</v>
      </c>
      <c r="B375" s="1" t="s">
        <v>108</v>
      </c>
      <c r="C375" t="s">
        <v>151</v>
      </c>
      <c r="D375">
        <v>71</v>
      </c>
      <c r="E375" t="s">
        <v>154</v>
      </c>
    </row>
    <row r="376" spans="1:5" x14ac:dyDescent="0.2">
      <c r="A376">
        <v>375</v>
      </c>
      <c r="B376" s="1" t="s">
        <v>101</v>
      </c>
      <c r="C376" t="s">
        <v>152</v>
      </c>
      <c r="D376">
        <v>45</v>
      </c>
      <c r="E376" t="s">
        <v>154</v>
      </c>
    </row>
    <row r="377" spans="1:5" x14ac:dyDescent="0.2">
      <c r="A377">
        <v>376</v>
      </c>
      <c r="B377" s="1" t="s">
        <v>113</v>
      </c>
      <c r="C377" t="s">
        <v>152</v>
      </c>
      <c r="D377">
        <v>89</v>
      </c>
      <c r="E377" t="s">
        <v>154</v>
      </c>
    </row>
    <row r="378" spans="1:5" x14ac:dyDescent="0.2">
      <c r="A378">
        <v>377</v>
      </c>
      <c r="B378" s="1" t="s">
        <v>113</v>
      </c>
      <c r="C378" t="s">
        <v>152</v>
      </c>
      <c r="D378">
        <v>56</v>
      </c>
      <c r="E378" t="s">
        <v>154</v>
      </c>
    </row>
    <row r="379" spans="1:5" x14ac:dyDescent="0.2">
      <c r="A379">
        <v>378</v>
      </c>
      <c r="B379" s="1" t="s">
        <v>110</v>
      </c>
      <c r="C379" t="s">
        <v>151</v>
      </c>
      <c r="D379">
        <v>69</v>
      </c>
      <c r="E379" t="s">
        <v>154</v>
      </c>
    </row>
    <row r="380" spans="1:5" x14ac:dyDescent="0.2">
      <c r="A380">
        <v>379</v>
      </c>
      <c r="B380" s="1" t="s">
        <v>113</v>
      </c>
      <c r="C380" t="s">
        <v>151</v>
      </c>
      <c r="D380">
        <v>58</v>
      </c>
      <c r="E380" t="s">
        <v>154</v>
      </c>
    </row>
    <row r="381" spans="1:5" x14ac:dyDescent="0.2">
      <c r="A381">
        <v>380</v>
      </c>
      <c r="B381" s="1" t="s">
        <v>100</v>
      </c>
      <c r="C381" t="s">
        <v>152</v>
      </c>
      <c r="D381">
        <v>29</v>
      </c>
      <c r="E381" t="s">
        <v>154</v>
      </c>
    </row>
    <row r="382" spans="1:5" x14ac:dyDescent="0.2">
      <c r="A382">
        <v>381</v>
      </c>
      <c r="B382" s="1" t="s">
        <v>107</v>
      </c>
      <c r="C382" t="s">
        <v>151</v>
      </c>
      <c r="D382">
        <v>86</v>
      </c>
      <c r="E382" t="s">
        <v>154</v>
      </c>
    </row>
    <row r="383" spans="1:5" x14ac:dyDescent="0.2">
      <c r="A383">
        <v>382</v>
      </c>
      <c r="B383" s="1" t="s">
        <v>113</v>
      </c>
      <c r="C383" t="s">
        <v>151</v>
      </c>
      <c r="D383">
        <v>81</v>
      </c>
      <c r="E383" t="s">
        <v>154</v>
      </c>
    </row>
    <row r="384" spans="1:5" x14ac:dyDescent="0.2">
      <c r="A384">
        <v>383</v>
      </c>
      <c r="B384" s="1" t="s">
        <v>100</v>
      </c>
      <c r="C384" t="s">
        <v>152</v>
      </c>
      <c r="D384">
        <v>57</v>
      </c>
      <c r="E384" t="s">
        <v>154</v>
      </c>
    </row>
    <row r="385" spans="1:5" x14ac:dyDescent="0.2">
      <c r="A385">
        <v>384</v>
      </c>
      <c r="B385" s="1" t="s">
        <v>101</v>
      </c>
      <c r="C385" t="s">
        <v>151</v>
      </c>
      <c r="D385">
        <v>87</v>
      </c>
      <c r="E385" t="s">
        <v>154</v>
      </c>
    </row>
    <row r="386" spans="1:5" x14ac:dyDescent="0.2">
      <c r="A386">
        <v>385</v>
      </c>
      <c r="B386" s="1" t="s">
        <v>101</v>
      </c>
      <c r="C386" t="s">
        <v>152</v>
      </c>
      <c r="D386">
        <v>54</v>
      </c>
      <c r="E386" t="s">
        <v>154</v>
      </c>
    </row>
    <row r="387" spans="1:5" x14ac:dyDescent="0.2">
      <c r="A387">
        <v>386</v>
      </c>
      <c r="B387" s="1" t="s">
        <v>113</v>
      </c>
      <c r="C387" t="s">
        <v>152</v>
      </c>
      <c r="D387">
        <v>75</v>
      </c>
      <c r="E387" t="s">
        <v>154</v>
      </c>
    </row>
    <row r="388" spans="1:5" x14ac:dyDescent="0.2">
      <c r="A388">
        <v>387</v>
      </c>
      <c r="B388" s="1" t="s">
        <v>101</v>
      </c>
      <c r="C388" t="s">
        <v>152</v>
      </c>
      <c r="D388">
        <v>41</v>
      </c>
      <c r="E388" t="s">
        <v>154</v>
      </c>
    </row>
    <row r="389" spans="1:5" x14ac:dyDescent="0.2">
      <c r="A389">
        <v>388</v>
      </c>
      <c r="B389" s="1" t="s">
        <v>103</v>
      </c>
      <c r="C389" t="s">
        <v>151</v>
      </c>
      <c r="D389">
        <v>68</v>
      </c>
      <c r="E389" t="s">
        <v>154</v>
      </c>
    </row>
    <row r="390" spans="1:5" x14ac:dyDescent="0.2">
      <c r="A390">
        <v>389</v>
      </c>
      <c r="B390" s="1" t="s">
        <v>101</v>
      </c>
      <c r="C390" t="s">
        <v>152</v>
      </c>
      <c r="D390">
        <v>22</v>
      </c>
      <c r="E390" t="s">
        <v>154</v>
      </c>
    </row>
    <row r="391" spans="1:5" x14ac:dyDescent="0.2">
      <c r="A391">
        <v>390</v>
      </c>
      <c r="B391" s="1" t="s">
        <v>113</v>
      </c>
      <c r="C391" t="s">
        <v>151</v>
      </c>
      <c r="D391">
        <v>89</v>
      </c>
      <c r="E391" t="s">
        <v>154</v>
      </c>
    </row>
    <row r="392" spans="1:5" x14ac:dyDescent="0.2">
      <c r="A392">
        <v>391</v>
      </c>
      <c r="B392" s="1" t="s">
        <v>100</v>
      </c>
      <c r="C392" t="s">
        <v>152</v>
      </c>
      <c r="D392">
        <v>86</v>
      </c>
      <c r="E392" t="s">
        <v>154</v>
      </c>
    </row>
    <row r="393" spans="1:5" x14ac:dyDescent="0.2">
      <c r="A393">
        <v>392</v>
      </c>
      <c r="B393" s="1" t="s">
        <v>113</v>
      </c>
      <c r="C393" t="s">
        <v>151</v>
      </c>
      <c r="D393">
        <v>79</v>
      </c>
      <c r="E393" t="s">
        <v>154</v>
      </c>
    </row>
    <row r="394" spans="1:5" x14ac:dyDescent="0.2">
      <c r="A394">
        <v>393</v>
      </c>
      <c r="B394" s="1" t="s">
        <v>113</v>
      </c>
      <c r="C394" t="s">
        <v>152</v>
      </c>
      <c r="D394">
        <v>19</v>
      </c>
      <c r="E394" t="s">
        <v>154</v>
      </c>
    </row>
    <row r="395" spans="1:5" x14ac:dyDescent="0.2">
      <c r="A395">
        <v>394</v>
      </c>
      <c r="B395" s="1" t="s">
        <v>113</v>
      </c>
      <c r="C395" t="s">
        <v>152</v>
      </c>
      <c r="D395">
        <v>65</v>
      </c>
      <c r="E395" t="s">
        <v>154</v>
      </c>
    </row>
    <row r="396" spans="1:5" x14ac:dyDescent="0.2">
      <c r="A396">
        <v>395</v>
      </c>
      <c r="B396" s="1" t="s">
        <v>113</v>
      </c>
      <c r="C396" t="s">
        <v>152</v>
      </c>
      <c r="D396">
        <v>22</v>
      </c>
      <c r="E396" t="s">
        <v>154</v>
      </c>
    </row>
    <row r="397" spans="1:5" x14ac:dyDescent="0.2">
      <c r="A397">
        <v>396</v>
      </c>
      <c r="B397" s="1" t="s">
        <v>105</v>
      </c>
      <c r="C397" t="s">
        <v>152</v>
      </c>
      <c r="D397">
        <v>53</v>
      </c>
      <c r="E397" t="s">
        <v>154</v>
      </c>
    </row>
    <row r="398" spans="1:5" x14ac:dyDescent="0.2">
      <c r="A398">
        <v>397</v>
      </c>
      <c r="B398" s="1" t="s">
        <v>105</v>
      </c>
      <c r="C398" t="s">
        <v>152</v>
      </c>
      <c r="D398">
        <v>30</v>
      </c>
      <c r="E398" t="s">
        <v>154</v>
      </c>
    </row>
    <row r="399" spans="1:5" x14ac:dyDescent="0.2">
      <c r="A399">
        <v>398</v>
      </c>
      <c r="B399" s="1" t="s">
        <v>100</v>
      </c>
      <c r="C399" t="s">
        <v>151</v>
      </c>
      <c r="D399">
        <v>50</v>
      </c>
      <c r="E399" t="s">
        <v>154</v>
      </c>
    </row>
    <row r="400" spans="1:5" x14ac:dyDescent="0.2">
      <c r="A400">
        <v>399</v>
      </c>
      <c r="B400" s="1" t="s">
        <v>113</v>
      </c>
      <c r="C400" t="s">
        <v>152</v>
      </c>
      <c r="D400">
        <v>83</v>
      </c>
      <c r="E400" t="s">
        <v>154</v>
      </c>
    </row>
    <row r="401" spans="1:5" x14ac:dyDescent="0.2">
      <c r="A401">
        <v>400</v>
      </c>
      <c r="B401" s="1" t="s">
        <v>101</v>
      </c>
      <c r="C401" t="s">
        <v>151</v>
      </c>
      <c r="D401">
        <v>80</v>
      </c>
      <c r="E401" t="s">
        <v>154</v>
      </c>
    </row>
    <row r="402" spans="1:5" x14ac:dyDescent="0.2">
      <c r="A402">
        <v>401</v>
      </c>
      <c r="B402" s="1" t="s">
        <v>113</v>
      </c>
      <c r="C402" t="s">
        <v>151</v>
      </c>
      <c r="D402">
        <v>36</v>
      </c>
      <c r="E402" t="s">
        <v>154</v>
      </c>
    </row>
    <row r="403" spans="1:5" x14ac:dyDescent="0.2">
      <c r="A403">
        <v>402</v>
      </c>
      <c r="B403" s="1" t="s">
        <v>113</v>
      </c>
      <c r="C403" t="s">
        <v>151</v>
      </c>
      <c r="D403">
        <v>27</v>
      </c>
      <c r="E403" t="s">
        <v>154</v>
      </c>
    </row>
    <row r="404" spans="1:5" x14ac:dyDescent="0.2">
      <c r="A404">
        <v>403</v>
      </c>
      <c r="B404" s="1" t="s">
        <v>102</v>
      </c>
      <c r="C404" t="s">
        <v>151</v>
      </c>
      <c r="D404">
        <v>61</v>
      </c>
      <c r="E404" t="s">
        <v>154</v>
      </c>
    </row>
    <row r="405" spans="1:5" x14ac:dyDescent="0.2">
      <c r="A405">
        <v>404</v>
      </c>
      <c r="B405" s="1" t="s">
        <v>109</v>
      </c>
      <c r="C405" t="s">
        <v>152</v>
      </c>
      <c r="D405">
        <v>26</v>
      </c>
      <c r="E405" t="s">
        <v>154</v>
      </c>
    </row>
    <row r="406" spans="1:5" x14ac:dyDescent="0.2">
      <c r="A406">
        <v>405</v>
      </c>
      <c r="B406" s="1" t="s">
        <v>113</v>
      </c>
      <c r="C406" t="s">
        <v>152</v>
      </c>
      <c r="D406">
        <v>83</v>
      </c>
      <c r="E406" t="s">
        <v>154</v>
      </c>
    </row>
    <row r="407" spans="1:5" x14ac:dyDescent="0.2">
      <c r="A407">
        <v>406</v>
      </c>
      <c r="B407" s="1" t="s">
        <v>113</v>
      </c>
      <c r="C407" t="s">
        <v>152</v>
      </c>
      <c r="D407">
        <v>34</v>
      </c>
      <c r="E407" t="s">
        <v>154</v>
      </c>
    </row>
    <row r="408" spans="1:5" x14ac:dyDescent="0.2">
      <c r="A408">
        <v>407</v>
      </c>
      <c r="B408" s="1" t="s">
        <v>100</v>
      </c>
      <c r="C408" t="s">
        <v>152</v>
      </c>
      <c r="D408">
        <v>90</v>
      </c>
      <c r="E408" t="s">
        <v>154</v>
      </c>
    </row>
    <row r="409" spans="1:5" x14ac:dyDescent="0.2">
      <c r="A409">
        <v>408</v>
      </c>
      <c r="B409" s="1" t="s">
        <v>100</v>
      </c>
      <c r="C409" t="s">
        <v>151</v>
      </c>
      <c r="D409">
        <v>38</v>
      </c>
      <c r="E409" t="s">
        <v>154</v>
      </c>
    </row>
    <row r="410" spans="1:5" x14ac:dyDescent="0.2">
      <c r="A410">
        <v>409</v>
      </c>
      <c r="B410" s="1" t="s">
        <v>105</v>
      </c>
      <c r="C410" t="s">
        <v>151</v>
      </c>
      <c r="D410">
        <v>64</v>
      </c>
      <c r="E410" t="s">
        <v>154</v>
      </c>
    </row>
    <row r="411" spans="1:5" x14ac:dyDescent="0.2">
      <c r="A411">
        <v>410</v>
      </c>
      <c r="B411" s="1" t="s">
        <v>113</v>
      </c>
      <c r="C411" t="s">
        <v>152</v>
      </c>
      <c r="D411">
        <v>39</v>
      </c>
      <c r="E411" t="s">
        <v>154</v>
      </c>
    </row>
    <row r="412" spans="1:5" x14ac:dyDescent="0.2">
      <c r="A412">
        <v>411</v>
      </c>
      <c r="B412" s="1" t="s">
        <v>106</v>
      </c>
      <c r="C412" t="s">
        <v>151</v>
      </c>
      <c r="D412">
        <v>31</v>
      </c>
      <c r="E412" t="s">
        <v>154</v>
      </c>
    </row>
    <row r="413" spans="1:5" x14ac:dyDescent="0.2">
      <c r="A413">
        <v>412</v>
      </c>
      <c r="B413" s="1" t="s">
        <v>113</v>
      </c>
      <c r="C413" t="s">
        <v>152</v>
      </c>
      <c r="D413">
        <v>41</v>
      </c>
      <c r="E413" t="s">
        <v>154</v>
      </c>
    </row>
    <row r="414" spans="1:5" x14ac:dyDescent="0.2">
      <c r="A414">
        <v>413</v>
      </c>
      <c r="B414" s="1" t="s">
        <v>105</v>
      </c>
      <c r="C414" t="s">
        <v>151</v>
      </c>
      <c r="D414">
        <v>47</v>
      </c>
      <c r="E414" t="s">
        <v>154</v>
      </c>
    </row>
    <row r="415" spans="1:5" x14ac:dyDescent="0.2">
      <c r="A415">
        <v>414</v>
      </c>
      <c r="B415" s="1" t="s">
        <v>113</v>
      </c>
      <c r="C415" t="s">
        <v>151</v>
      </c>
      <c r="D415">
        <v>86</v>
      </c>
      <c r="E415" t="s">
        <v>154</v>
      </c>
    </row>
    <row r="416" spans="1:5" x14ac:dyDescent="0.2">
      <c r="A416">
        <v>415</v>
      </c>
      <c r="B416" s="1" t="s">
        <v>113</v>
      </c>
      <c r="C416" t="s">
        <v>151</v>
      </c>
      <c r="D416">
        <v>60</v>
      </c>
      <c r="E416" t="s">
        <v>154</v>
      </c>
    </row>
    <row r="417" spans="1:5" x14ac:dyDescent="0.2">
      <c r="A417">
        <v>416</v>
      </c>
      <c r="B417" s="1" t="s">
        <v>113</v>
      </c>
      <c r="C417" t="s">
        <v>152</v>
      </c>
      <c r="D417">
        <v>64</v>
      </c>
      <c r="E417" t="s">
        <v>154</v>
      </c>
    </row>
    <row r="418" spans="1:5" x14ac:dyDescent="0.2">
      <c r="A418">
        <v>417</v>
      </c>
      <c r="B418" s="1" t="s">
        <v>100</v>
      </c>
      <c r="C418" t="s">
        <v>151</v>
      </c>
      <c r="D418">
        <v>53</v>
      </c>
      <c r="E418" t="s">
        <v>154</v>
      </c>
    </row>
    <row r="419" spans="1:5" x14ac:dyDescent="0.2">
      <c r="A419">
        <v>418</v>
      </c>
      <c r="B419" s="1" t="s">
        <v>106</v>
      </c>
      <c r="C419" t="s">
        <v>152</v>
      </c>
      <c r="D419">
        <v>22</v>
      </c>
      <c r="E419" t="s">
        <v>154</v>
      </c>
    </row>
    <row r="420" spans="1:5" x14ac:dyDescent="0.2">
      <c r="A420">
        <v>419</v>
      </c>
      <c r="B420" s="1" t="s">
        <v>100</v>
      </c>
      <c r="C420" t="s">
        <v>151</v>
      </c>
      <c r="D420">
        <v>66</v>
      </c>
      <c r="E420" t="s">
        <v>154</v>
      </c>
    </row>
    <row r="421" spans="1:5" x14ac:dyDescent="0.2">
      <c r="A421">
        <v>420</v>
      </c>
      <c r="B421" s="1" t="s">
        <v>105</v>
      </c>
      <c r="C421" t="s">
        <v>152</v>
      </c>
      <c r="D421">
        <v>72</v>
      </c>
      <c r="E421" t="s">
        <v>154</v>
      </c>
    </row>
    <row r="422" spans="1:5" x14ac:dyDescent="0.2">
      <c r="A422">
        <v>421</v>
      </c>
      <c r="B422" s="1" t="s">
        <v>107</v>
      </c>
      <c r="C422" t="s">
        <v>151</v>
      </c>
      <c r="D422">
        <v>90</v>
      </c>
      <c r="E422" t="s">
        <v>154</v>
      </c>
    </row>
    <row r="423" spans="1:5" x14ac:dyDescent="0.2">
      <c r="A423">
        <v>422</v>
      </c>
      <c r="B423" s="1" t="s">
        <v>113</v>
      </c>
      <c r="C423" t="s">
        <v>152</v>
      </c>
      <c r="D423">
        <v>64</v>
      </c>
      <c r="E423" t="s">
        <v>154</v>
      </c>
    </row>
    <row r="424" spans="1:5" x14ac:dyDescent="0.2">
      <c r="A424">
        <v>423</v>
      </c>
      <c r="B424" s="1" t="s">
        <v>106</v>
      </c>
      <c r="C424" t="s">
        <v>152</v>
      </c>
      <c r="D424">
        <v>27</v>
      </c>
      <c r="E424" t="s">
        <v>154</v>
      </c>
    </row>
    <row r="425" spans="1:5" x14ac:dyDescent="0.2">
      <c r="A425">
        <v>424</v>
      </c>
      <c r="B425" s="1" t="s">
        <v>105</v>
      </c>
      <c r="C425" t="s">
        <v>151</v>
      </c>
      <c r="D425">
        <v>66</v>
      </c>
      <c r="E425" t="s">
        <v>154</v>
      </c>
    </row>
    <row r="426" spans="1:5" x14ac:dyDescent="0.2">
      <c r="A426">
        <v>425</v>
      </c>
      <c r="B426" s="1" t="s">
        <v>113</v>
      </c>
      <c r="C426" t="s">
        <v>151</v>
      </c>
      <c r="D426">
        <v>51</v>
      </c>
      <c r="E426" t="s">
        <v>154</v>
      </c>
    </row>
    <row r="427" spans="1:5" x14ac:dyDescent="0.2">
      <c r="A427">
        <v>426</v>
      </c>
      <c r="B427" s="1" t="s">
        <v>106</v>
      </c>
      <c r="C427" t="s">
        <v>152</v>
      </c>
      <c r="D427">
        <v>78</v>
      </c>
      <c r="E427" t="s">
        <v>154</v>
      </c>
    </row>
    <row r="428" spans="1:5" x14ac:dyDescent="0.2">
      <c r="A428">
        <v>427</v>
      </c>
      <c r="B428" s="1" t="s">
        <v>113</v>
      </c>
      <c r="C428" t="s">
        <v>151</v>
      </c>
      <c r="D428">
        <v>59</v>
      </c>
      <c r="E428" t="s">
        <v>154</v>
      </c>
    </row>
    <row r="429" spans="1:5" x14ac:dyDescent="0.2">
      <c r="A429">
        <v>428</v>
      </c>
      <c r="B429" s="1" t="s">
        <v>101</v>
      </c>
      <c r="C429" t="s">
        <v>152</v>
      </c>
      <c r="D429">
        <v>87</v>
      </c>
      <c r="E429" t="s">
        <v>154</v>
      </c>
    </row>
    <row r="430" spans="1:5" x14ac:dyDescent="0.2">
      <c r="A430">
        <v>429</v>
      </c>
      <c r="B430" s="1" t="s">
        <v>109</v>
      </c>
      <c r="C430" t="s">
        <v>152</v>
      </c>
      <c r="D430">
        <v>58</v>
      </c>
      <c r="E430" t="s">
        <v>154</v>
      </c>
    </row>
    <row r="431" spans="1:5" x14ac:dyDescent="0.2">
      <c r="A431">
        <v>430</v>
      </c>
      <c r="B431" s="1" t="s">
        <v>113</v>
      </c>
      <c r="C431" t="s">
        <v>151</v>
      </c>
      <c r="D431">
        <v>82</v>
      </c>
      <c r="E431" t="s">
        <v>154</v>
      </c>
    </row>
    <row r="432" spans="1:5" x14ac:dyDescent="0.2">
      <c r="A432">
        <v>431</v>
      </c>
      <c r="B432" s="1" t="s">
        <v>113</v>
      </c>
      <c r="C432" t="s">
        <v>152</v>
      </c>
      <c r="D432">
        <v>34</v>
      </c>
      <c r="E432" t="s">
        <v>154</v>
      </c>
    </row>
    <row r="433" spans="1:5" x14ac:dyDescent="0.2">
      <c r="A433">
        <v>432</v>
      </c>
      <c r="B433" s="1" t="s">
        <v>105</v>
      </c>
      <c r="C433" t="s">
        <v>152</v>
      </c>
      <c r="D433">
        <v>32</v>
      </c>
      <c r="E433" t="s">
        <v>154</v>
      </c>
    </row>
    <row r="434" spans="1:5" x14ac:dyDescent="0.2">
      <c r="A434">
        <v>433</v>
      </c>
      <c r="B434" s="1" t="s">
        <v>113</v>
      </c>
      <c r="C434" t="s">
        <v>151</v>
      </c>
      <c r="D434">
        <v>55</v>
      </c>
      <c r="E434" t="s">
        <v>154</v>
      </c>
    </row>
    <row r="435" spans="1:5" x14ac:dyDescent="0.2">
      <c r="A435">
        <v>434</v>
      </c>
      <c r="B435" s="1" t="s">
        <v>103</v>
      </c>
      <c r="C435" t="s">
        <v>151</v>
      </c>
      <c r="D435">
        <v>21</v>
      </c>
      <c r="E435" t="s">
        <v>154</v>
      </c>
    </row>
    <row r="436" spans="1:5" x14ac:dyDescent="0.2">
      <c r="A436">
        <v>435</v>
      </c>
      <c r="B436" s="1" t="s">
        <v>113</v>
      </c>
      <c r="C436" t="s">
        <v>152</v>
      </c>
      <c r="D436">
        <v>89</v>
      </c>
      <c r="E436" t="s">
        <v>154</v>
      </c>
    </row>
    <row r="437" spans="1:5" x14ac:dyDescent="0.2">
      <c r="A437">
        <v>436</v>
      </c>
      <c r="B437" s="1" t="s">
        <v>105</v>
      </c>
      <c r="C437" t="s">
        <v>151</v>
      </c>
      <c r="D437">
        <v>81</v>
      </c>
      <c r="E437" t="s">
        <v>154</v>
      </c>
    </row>
    <row r="438" spans="1:5" x14ac:dyDescent="0.2">
      <c r="A438">
        <v>437</v>
      </c>
      <c r="B438" s="1" t="s">
        <v>99</v>
      </c>
      <c r="C438" t="s">
        <v>152</v>
      </c>
      <c r="D438">
        <v>22</v>
      </c>
      <c r="E438" t="s">
        <v>154</v>
      </c>
    </row>
    <row r="439" spans="1:5" x14ac:dyDescent="0.2">
      <c r="A439">
        <v>438</v>
      </c>
      <c r="B439" s="1" t="s">
        <v>99</v>
      </c>
      <c r="C439" t="s">
        <v>151</v>
      </c>
      <c r="D439">
        <v>25</v>
      </c>
      <c r="E439" t="s">
        <v>154</v>
      </c>
    </row>
    <row r="440" spans="1:5" x14ac:dyDescent="0.2">
      <c r="A440">
        <v>439</v>
      </c>
      <c r="B440" s="1" t="s">
        <v>105</v>
      </c>
      <c r="C440" t="s">
        <v>151</v>
      </c>
      <c r="D440">
        <v>74</v>
      </c>
      <c r="E440" t="s">
        <v>154</v>
      </c>
    </row>
    <row r="441" spans="1:5" x14ac:dyDescent="0.2">
      <c r="A441">
        <v>440</v>
      </c>
      <c r="B441" s="1" t="s">
        <v>109</v>
      </c>
      <c r="C441" t="s">
        <v>151</v>
      </c>
      <c r="D441">
        <v>83</v>
      </c>
      <c r="E441" t="s">
        <v>154</v>
      </c>
    </row>
    <row r="442" spans="1:5" x14ac:dyDescent="0.2">
      <c r="A442">
        <v>441</v>
      </c>
      <c r="B442" s="1" t="s">
        <v>99</v>
      </c>
      <c r="C442" t="s">
        <v>151</v>
      </c>
      <c r="D442">
        <v>77</v>
      </c>
      <c r="E442" t="s">
        <v>154</v>
      </c>
    </row>
    <row r="443" spans="1:5" x14ac:dyDescent="0.2">
      <c r="A443">
        <v>442</v>
      </c>
      <c r="B443" s="1" t="s">
        <v>99</v>
      </c>
      <c r="C443" t="s">
        <v>151</v>
      </c>
      <c r="D443">
        <v>62</v>
      </c>
      <c r="E443" t="s">
        <v>154</v>
      </c>
    </row>
    <row r="444" spans="1:5" x14ac:dyDescent="0.2">
      <c r="A444">
        <v>443</v>
      </c>
      <c r="B444" s="1" t="s">
        <v>99</v>
      </c>
      <c r="C444" t="s">
        <v>152</v>
      </c>
      <c r="D444">
        <v>18</v>
      </c>
      <c r="E444" t="s">
        <v>154</v>
      </c>
    </row>
    <row r="445" spans="1:5" x14ac:dyDescent="0.2">
      <c r="A445">
        <v>444</v>
      </c>
      <c r="B445" s="1" t="s">
        <v>105</v>
      </c>
      <c r="C445" t="s">
        <v>152</v>
      </c>
      <c r="D445">
        <v>23</v>
      </c>
      <c r="E445" t="s">
        <v>154</v>
      </c>
    </row>
    <row r="446" spans="1:5" x14ac:dyDescent="0.2">
      <c r="A446">
        <v>445</v>
      </c>
      <c r="B446" s="1" t="s">
        <v>99</v>
      </c>
      <c r="C446" t="s">
        <v>152</v>
      </c>
      <c r="D446">
        <v>47</v>
      </c>
      <c r="E446" t="s">
        <v>154</v>
      </c>
    </row>
    <row r="447" spans="1:5" x14ac:dyDescent="0.2">
      <c r="A447">
        <v>446</v>
      </c>
      <c r="B447" s="1" t="s">
        <v>99</v>
      </c>
      <c r="C447" t="s">
        <v>151</v>
      </c>
      <c r="D447">
        <v>67</v>
      </c>
      <c r="E447" t="s">
        <v>154</v>
      </c>
    </row>
    <row r="448" spans="1:5" x14ac:dyDescent="0.2">
      <c r="A448">
        <v>447</v>
      </c>
      <c r="B448" s="1" t="s">
        <v>99</v>
      </c>
      <c r="C448" t="s">
        <v>152</v>
      </c>
      <c r="D448">
        <v>77</v>
      </c>
      <c r="E448" t="s">
        <v>154</v>
      </c>
    </row>
    <row r="449" spans="1:5" x14ac:dyDescent="0.2">
      <c r="A449">
        <v>448</v>
      </c>
      <c r="B449" s="1" t="s">
        <v>101</v>
      </c>
      <c r="C449" t="s">
        <v>151</v>
      </c>
      <c r="D449">
        <v>64</v>
      </c>
      <c r="E449" t="s">
        <v>154</v>
      </c>
    </row>
    <row r="450" spans="1:5" x14ac:dyDescent="0.2">
      <c r="A450">
        <v>449</v>
      </c>
      <c r="B450" s="1" t="s">
        <v>99</v>
      </c>
      <c r="C450" t="s">
        <v>151</v>
      </c>
      <c r="D450">
        <v>53</v>
      </c>
      <c r="E450" t="s">
        <v>154</v>
      </c>
    </row>
    <row r="451" spans="1:5" x14ac:dyDescent="0.2">
      <c r="A451">
        <v>450</v>
      </c>
      <c r="B451" s="1" t="s">
        <v>107</v>
      </c>
      <c r="C451" t="s">
        <v>152</v>
      </c>
      <c r="D451">
        <v>53</v>
      </c>
      <c r="E451" t="s">
        <v>154</v>
      </c>
    </row>
    <row r="452" spans="1:5" x14ac:dyDescent="0.2">
      <c r="A452">
        <v>451</v>
      </c>
      <c r="B452" s="1" t="s">
        <v>103</v>
      </c>
      <c r="C452" t="s">
        <v>151</v>
      </c>
      <c r="D452">
        <v>74</v>
      </c>
      <c r="E452" t="s">
        <v>154</v>
      </c>
    </row>
    <row r="453" spans="1:5" x14ac:dyDescent="0.2">
      <c r="A453">
        <v>452</v>
      </c>
      <c r="B453" s="1" t="s">
        <v>105</v>
      </c>
      <c r="C453" t="s">
        <v>151</v>
      </c>
      <c r="D453">
        <v>75</v>
      </c>
      <c r="E453" t="s">
        <v>154</v>
      </c>
    </row>
    <row r="454" spans="1:5" x14ac:dyDescent="0.2">
      <c r="A454">
        <v>453</v>
      </c>
      <c r="B454" s="1" t="s">
        <v>100</v>
      </c>
      <c r="C454" t="s">
        <v>151</v>
      </c>
      <c r="D454">
        <v>52</v>
      </c>
      <c r="E454" t="s">
        <v>154</v>
      </c>
    </row>
    <row r="455" spans="1:5" x14ac:dyDescent="0.2">
      <c r="A455">
        <v>454</v>
      </c>
      <c r="B455" s="1" t="s">
        <v>99</v>
      </c>
      <c r="C455" t="s">
        <v>152</v>
      </c>
      <c r="D455">
        <v>37</v>
      </c>
      <c r="E455" t="s">
        <v>154</v>
      </c>
    </row>
    <row r="456" spans="1:5" x14ac:dyDescent="0.2">
      <c r="A456">
        <v>455</v>
      </c>
      <c r="B456" s="1" t="s">
        <v>109</v>
      </c>
      <c r="C456" t="s">
        <v>152</v>
      </c>
      <c r="D456">
        <v>52</v>
      </c>
      <c r="E456" t="s">
        <v>154</v>
      </c>
    </row>
    <row r="457" spans="1:5" x14ac:dyDescent="0.2">
      <c r="A457">
        <v>456</v>
      </c>
      <c r="B457" s="1" t="s">
        <v>101</v>
      </c>
      <c r="C457" t="s">
        <v>151</v>
      </c>
      <c r="D457">
        <v>75</v>
      </c>
      <c r="E457" t="s">
        <v>154</v>
      </c>
    </row>
    <row r="458" spans="1:5" x14ac:dyDescent="0.2">
      <c r="A458">
        <v>457</v>
      </c>
      <c r="B458" s="1" t="s">
        <v>108</v>
      </c>
      <c r="C458" t="s">
        <v>152</v>
      </c>
      <c r="D458">
        <v>54</v>
      </c>
      <c r="E458" t="s">
        <v>154</v>
      </c>
    </row>
    <row r="459" spans="1:5" x14ac:dyDescent="0.2">
      <c r="A459">
        <v>458</v>
      </c>
      <c r="B459" s="1" t="s">
        <v>102</v>
      </c>
      <c r="C459" t="s">
        <v>151</v>
      </c>
      <c r="D459">
        <v>60</v>
      </c>
      <c r="E459" t="s">
        <v>154</v>
      </c>
    </row>
    <row r="460" spans="1:5" x14ac:dyDescent="0.2">
      <c r="A460">
        <v>459</v>
      </c>
      <c r="B460" s="1" t="s">
        <v>107</v>
      </c>
      <c r="C460" t="s">
        <v>152</v>
      </c>
      <c r="D460">
        <v>30</v>
      </c>
      <c r="E460" t="s">
        <v>154</v>
      </c>
    </row>
    <row r="461" spans="1:5" x14ac:dyDescent="0.2">
      <c r="A461">
        <v>460</v>
      </c>
      <c r="B461" s="1" t="s">
        <v>101</v>
      </c>
      <c r="C461" t="s">
        <v>152</v>
      </c>
      <c r="D461">
        <v>58</v>
      </c>
      <c r="E461" t="s">
        <v>154</v>
      </c>
    </row>
    <row r="462" spans="1:5" x14ac:dyDescent="0.2">
      <c r="A462">
        <v>461</v>
      </c>
      <c r="B462" s="1" t="s">
        <v>101</v>
      </c>
      <c r="C462" t="s">
        <v>151</v>
      </c>
      <c r="D462">
        <v>77</v>
      </c>
      <c r="E462" t="s">
        <v>154</v>
      </c>
    </row>
    <row r="463" spans="1:5" x14ac:dyDescent="0.2">
      <c r="A463">
        <v>462</v>
      </c>
      <c r="B463" s="1" t="s">
        <v>99</v>
      </c>
      <c r="C463" t="s">
        <v>152</v>
      </c>
      <c r="D463">
        <v>80</v>
      </c>
      <c r="E463" t="s">
        <v>154</v>
      </c>
    </row>
    <row r="464" spans="1:5" x14ac:dyDescent="0.2">
      <c r="A464">
        <v>463</v>
      </c>
      <c r="B464" s="1" t="s">
        <v>109</v>
      </c>
      <c r="C464" t="s">
        <v>151</v>
      </c>
      <c r="D464">
        <v>55</v>
      </c>
      <c r="E464" t="s">
        <v>154</v>
      </c>
    </row>
    <row r="465" spans="1:5" x14ac:dyDescent="0.2">
      <c r="A465">
        <v>464</v>
      </c>
      <c r="B465" s="1" t="s">
        <v>107</v>
      </c>
      <c r="C465" t="s">
        <v>152</v>
      </c>
      <c r="D465">
        <v>26</v>
      </c>
      <c r="E465" t="s">
        <v>154</v>
      </c>
    </row>
    <row r="466" spans="1:5" x14ac:dyDescent="0.2">
      <c r="A466">
        <v>465</v>
      </c>
      <c r="B466" s="1" t="s">
        <v>99</v>
      </c>
      <c r="C466" t="s">
        <v>151</v>
      </c>
      <c r="D466">
        <v>49</v>
      </c>
      <c r="E466" t="s">
        <v>154</v>
      </c>
    </row>
    <row r="467" spans="1:5" x14ac:dyDescent="0.2">
      <c r="A467">
        <v>466</v>
      </c>
      <c r="B467" s="1" t="s">
        <v>107</v>
      </c>
      <c r="C467" t="s">
        <v>152</v>
      </c>
      <c r="D467">
        <v>32</v>
      </c>
      <c r="E467" t="s">
        <v>154</v>
      </c>
    </row>
    <row r="468" spans="1:5" x14ac:dyDescent="0.2">
      <c r="A468">
        <v>467</v>
      </c>
      <c r="B468" s="1" t="s">
        <v>100</v>
      </c>
      <c r="C468" t="s">
        <v>151</v>
      </c>
      <c r="D468">
        <v>62</v>
      </c>
      <c r="E468" t="s">
        <v>154</v>
      </c>
    </row>
    <row r="469" spans="1:5" x14ac:dyDescent="0.2">
      <c r="A469">
        <v>468</v>
      </c>
      <c r="B469" s="1" t="s">
        <v>103</v>
      </c>
      <c r="C469" t="s">
        <v>151</v>
      </c>
      <c r="D469">
        <v>64</v>
      </c>
      <c r="E469" t="s">
        <v>154</v>
      </c>
    </row>
    <row r="470" spans="1:5" x14ac:dyDescent="0.2">
      <c r="A470">
        <v>469</v>
      </c>
      <c r="B470" s="1" t="s">
        <v>100</v>
      </c>
      <c r="C470" t="s">
        <v>152</v>
      </c>
      <c r="D470">
        <v>90</v>
      </c>
      <c r="E470" t="s">
        <v>154</v>
      </c>
    </row>
    <row r="471" spans="1:5" x14ac:dyDescent="0.2">
      <c r="A471">
        <v>470</v>
      </c>
      <c r="B471" s="1" t="s">
        <v>99</v>
      </c>
      <c r="C471" t="s">
        <v>152</v>
      </c>
      <c r="D471">
        <v>32</v>
      </c>
      <c r="E471" t="s">
        <v>154</v>
      </c>
    </row>
    <row r="472" spans="1:5" x14ac:dyDescent="0.2">
      <c r="A472">
        <v>471</v>
      </c>
      <c r="B472" s="1" t="s">
        <v>102</v>
      </c>
      <c r="C472" t="s">
        <v>152</v>
      </c>
      <c r="D472">
        <v>79</v>
      </c>
      <c r="E472" t="s">
        <v>154</v>
      </c>
    </row>
    <row r="473" spans="1:5" x14ac:dyDescent="0.2">
      <c r="A473">
        <v>472</v>
      </c>
      <c r="B473" s="1" t="s">
        <v>100</v>
      </c>
      <c r="C473" t="s">
        <v>151</v>
      </c>
      <c r="D473">
        <v>45</v>
      </c>
      <c r="E473" t="s">
        <v>154</v>
      </c>
    </row>
    <row r="474" spans="1:5" x14ac:dyDescent="0.2">
      <c r="A474">
        <v>473</v>
      </c>
      <c r="B474" s="1" t="s">
        <v>111</v>
      </c>
      <c r="C474" t="s">
        <v>152</v>
      </c>
      <c r="D474">
        <v>19</v>
      </c>
      <c r="E474" t="s">
        <v>154</v>
      </c>
    </row>
    <row r="475" spans="1:5" x14ac:dyDescent="0.2">
      <c r="A475">
        <v>474</v>
      </c>
      <c r="B475" s="1" t="s">
        <v>102</v>
      </c>
      <c r="C475" t="s">
        <v>151</v>
      </c>
      <c r="D475">
        <v>74</v>
      </c>
      <c r="E475" t="s">
        <v>154</v>
      </c>
    </row>
    <row r="476" spans="1:5" x14ac:dyDescent="0.2">
      <c r="A476">
        <v>475</v>
      </c>
      <c r="B476" s="1" t="s">
        <v>99</v>
      </c>
      <c r="C476" t="s">
        <v>152</v>
      </c>
      <c r="D476">
        <v>51</v>
      </c>
      <c r="E476" t="s">
        <v>154</v>
      </c>
    </row>
    <row r="477" spans="1:5" x14ac:dyDescent="0.2">
      <c r="A477">
        <v>476</v>
      </c>
      <c r="B477" s="1" t="s">
        <v>99</v>
      </c>
      <c r="C477" t="s">
        <v>152</v>
      </c>
      <c r="D477">
        <v>80</v>
      </c>
      <c r="E477" t="s">
        <v>154</v>
      </c>
    </row>
    <row r="478" spans="1:5" x14ac:dyDescent="0.2">
      <c r="A478">
        <v>477</v>
      </c>
      <c r="B478" s="1" t="s">
        <v>101</v>
      </c>
      <c r="C478" t="s">
        <v>151</v>
      </c>
      <c r="D478">
        <v>31</v>
      </c>
      <c r="E478" t="s">
        <v>154</v>
      </c>
    </row>
    <row r="479" spans="1:5" x14ac:dyDescent="0.2">
      <c r="A479">
        <v>478</v>
      </c>
      <c r="B479" s="1" t="s">
        <v>105</v>
      </c>
      <c r="C479" t="s">
        <v>152</v>
      </c>
      <c r="D479">
        <v>38</v>
      </c>
      <c r="E479" t="s">
        <v>154</v>
      </c>
    </row>
    <row r="480" spans="1:5" x14ac:dyDescent="0.2">
      <c r="A480">
        <v>479</v>
      </c>
      <c r="B480" s="1" t="s">
        <v>102</v>
      </c>
      <c r="C480" t="s">
        <v>151</v>
      </c>
      <c r="D480">
        <v>81</v>
      </c>
      <c r="E480" t="s">
        <v>154</v>
      </c>
    </row>
    <row r="481" spans="1:5" x14ac:dyDescent="0.2">
      <c r="A481">
        <v>480</v>
      </c>
      <c r="B481" s="1" t="s">
        <v>102</v>
      </c>
      <c r="C481" t="s">
        <v>151</v>
      </c>
      <c r="D481">
        <v>46</v>
      </c>
      <c r="E481" t="s">
        <v>154</v>
      </c>
    </row>
    <row r="482" spans="1:5" x14ac:dyDescent="0.2">
      <c r="A482">
        <v>481</v>
      </c>
      <c r="B482" s="1" t="s">
        <v>101</v>
      </c>
      <c r="C482" t="s">
        <v>152</v>
      </c>
      <c r="D482">
        <v>49</v>
      </c>
      <c r="E482" t="s">
        <v>154</v>
      </c>
    </row>
    <row r="483" spans="1:5" x14ac:dyDescent="0.2">
      <c r="A483">
        <v>482</v>
      </c>
      <c r="B483" s="1" t="s">
        <v>100</v>
      </c>
      <c r="C483" t="s">
        <v>151</v>
      </c>
      <c r="D483">
        <v>82</v>
      </c>
      <c r="E483" t="s">
        <v>154</v>
      </c>
    </row>
    <row r="484" spans="1:5" x14ac:dyDescent="0.2">
      <c r="A484">
        <v>483</v>
      </c>
      <c r="B484" s="1" t="s">
        <v>100</v>
      </c>
      <c r="C484" t="s">
        <v>152</v>
      </c>
      <c r="D484">
        <v>27</v>
      </c>
      <c r="E484" t="s">
        <v>154</v>
      </c>
    </row>
    <row r="485" spans="1:5" x14ac:dyDescent="0.2">
      <c r="A485">
        <v>484</v>
      </c>
      <c r="B485" s="1" t="s">
        <v>99</v>
      </c>
      <c r="C485" t="s">
        <v>152</v>
      </c>
      <c r="D485">
        <v>70</v>
      </c>
      <c r="E485" t="s">
        <v>154</v>
      </c>
    </row>
    <row r="486" spans="1:5" x14ac:dyDescent="0.2">
      <c r="A486">
        <v>485</v>
      </c>
      <c r="B486" s="1" t="s">
        <v>100</v>
      </c>
      <c r="C486" t="s">
        <v>151</v>
      </c>
      <c r="D486">
        <v>19</v>
      </c>
      <c r="E486" t="s">
        <v>154</v>
      </c>
    </row>
    <row r="487" spans="1:5" x14ac:dyDescent="0.2">
      <c r="A487">
        <v>486</v>
      </c>
      <c r="B487" s="1" t="s">
        <v>104</v>
      </c>
      <c r="C487" t="s">
        <v>152</v>
      </c>
      <c r="D487">
        <v>66</v>
      </c>
      <c r="E487" t="s">
        <v>154</v>
      </c>
    </row>
    <row r="488" spans="1:5" x14ac:dyDescent="0.2">
      <c r="A488">
        <v>487</v>
      </c>
      <c r="B488" s="1" t="s">
        <v>101</v>
      </c>
      <c r="C488" t="s">
        <v>152</v>
      </c>
      <c r="D488">
        <v>81</v>
      </c>
      <c r="E488" t="s">
        <v>154</v>
      </c>
    </row>
    <row r="489" spans="1:5" x14ac:dyDescent="0.2">
      <c r="A489">
        <v>488</v>
      </c>
      <c r="B489" s="1" t="s">
        <v>99</v>
      </c>
      <c r="C489" t="s">
        <v>152</v>
      </c>
      <c r="D489">
        <v>19</v>
      </c>
      <c r="E489" t="s">
        <v>154</v>
      </c>
    </row>
    <row r="490" spans="1:5" x14ac:dyDescent="0.2">
      <c r="A490">
        <v>489</v>
      </c>
      <c r="B490" s="1" t="s">
        <v>99</v>
      </c>
      <c r="C490" t="s">
        <v>152</v>
      </c>
      <c r="D490">
        <v>76</v>
      </c>
      <c r="E490" t="s">
        <v>154</v>
      </c>
    </row>
    <row r="491" spans="1:5" x14ac:dyDescent="0.2">
      <c r="A491">
        <v>490</v>
      </c>
      <c r="B491" s="1" t="s">
        <v>105</v>
      </c>
      <c r="C491" t="s">
        <v>151</v>
      </c>
      <c r="D491">
        <v>37</v>
      </c>
      <c r="E491" t="s">
        <v>154</v>
      </c>
    </row>
    <row r="492" spans="1:5" x14ac:dyDescent="0.2">
      <c r="A492">
        <v>491</v>
      </c>
      <c r="B492" s="1" t="s">
        <v>101</v>
      </c>
      <c r="C492" t="s">
        <v>151</v>
      </c>
      <c r="D492">
        <v>59</v>
      </c>
      <c r="E492" t="s">
        <v>154</v>
      </c>
    </row>
    <row r="493" spans="1:5" x14ac:dyDescent="0.2">
      <c r="A493">
        <v>492</v>
      </c>
      <c r="B493" s="1" t="s">
        <v>105</v>
      </c>
      <c r="C493" t="s">
        <v>152</v>
      </c>
      <c r="D493">
        <v>32</v>
      </c>
      <c r="E493" t="s">
        <v>154</v>
      </c>
    </row>
    <row r="494" spans="1:5" x14ac:dyDescent="0.2">
      <c r="A494">
        <v>493</v>
      </c>
      <c r="B494" s="1" t="s">
        <v>99</v>
      </c>
      <c r="C494" t="s">
        <v>152</v>
      </c>
      <c r="D494">
        <v>82</v>
      </c>
      <c r="E494" t="s">
        <v>154</v>
      </c>
    </row>
    <row r="495" spans="1:5" x14ac:dyDescent="0.2">
      <c r="A495">
        <v>494</v>
      </c>
      <c r="B495" s="1" t="s">
        <v>100</v>
      </c>
      <c r="C495" t="s">
        <v>151</v>
      </c>
      <c r="D495">
        <v>19</v>
      </c>
      <c r="E495" t="s">
        <v>154</v>
      </c>
    </row>
    <row r="496" spans="1:5" x14ac:dyDescent="0.2">
      <c r="A496">
        <v>495</v>
      </c>
      <c r="B496" s="1" t="s">
        <v>99</v>
      </c>
      <c r="C496" t="s">
        <v>152</v>
      </c>
      <c r="D496">
        <v>52</v>
      </c>
      <c r="E496" t="s">
        <v>154</v>
      </c>
    </row>
    <row r="497" spans="1:5" x14ac:dyDescent="0.2">
      <c r="A497">
        <v>496</v>
      </c>
      <c r="B497" s="1" t="s">
        <v>101</v>
      </c>
      <c r="C497" t="s">
        <v>152</v>
      </c>
      <c r="D497">
        <v>24</v>
      </c>
      <c r="E497" t="s">
        <v>154</v>
      </c>
    </row>
    <row r="498" spans="1:5" x14ac:dyDescent="0.2">
      <c r="A498">
        <v>497</v>
      </c>
      <c r="B498" s="1" t="s">
        <v>99</v>
      </c>
      <c r="C498" t="s">
        <v>151</v>
      </c>
      <c r="D498">
        <v>88</v>
      </c>
      <c r="E498" t="s">
        <v>154</v>
      </c>
    </row>
    <row r="499" spans="1:5" x14ac:dyDescent="0.2">
      <c r="A499">
        <v>498</v>
      </c>
      <c r="B499" s="1" t="s">
        <v>109</v>
      </c>
      <c r="C499" t="s">
        <v>152</v>
      </c>
      <c r="D499">
        <v>32</v>
      </c>
      <c r="E499" t="s">
        <v>154</v>
      </c>
    </row>
    <row r="500" spans="1:5" x14ac:dyDescent="0.2">
      <c r="A500">
        <v>499</v>
      </c>
      <c r="B500" s="1" t="s">
        <v>101</v>
      </c>
      <c r="C500" t="s">
        <v>151</v>
      </c>
      <c r="D500">
        <v>89</v>
      </c>
      <c r="E500" t="s">
        <v>154</v>
      </c>
    </row>
    <row r="501" spans="1:5" x14ac:dyDescent="0.2">
      <c r="A501">
        <v>500</v>
      </c>
      <c r="B501" s="1" t="s">
        <v>99</v>
      </c>
      <c r="C501" t="s">
        <v>152</v>
      </c>
      <c r="D501">
        <v>77</v>
      </c>
      <c r="E501" t="s">
        <v>154</v>
      </c>
    </row>
    <row r="502" spans="1:5" x14ac:dyDescent="0.2">
      <c r="A502">
        <v>501</v>
      </c>
      <c r="B502" s="1" t="s">
        <v>105</v>
      </c>
      <c r="C502" t="s">
        <v>152</v>
      </c>
      <c r="D502">
        <v>45</v>
      </c>
      <c r="E502" t="s">
        <v>155</v>
      </c>
    </row>
    <row r="503" spans="1:5" x14ac:dyDescent="0.2">
      <c r="A503">
        <v>502</v>
      </c>
      <c r="B503" s="1" t="s">
        <v>105</v>
      </c>
      <c r="C503" t="s">
        <v>151</v>
      </c>
      <c r="D503">
        <v>72</v>
      </c>
      <c r="E503" t="s">
        <v>155</v>
      </c>
    </row>
    <row r="504" spans="1:5" x14ac:dyDescent="0.2">
      <c r="A504">
        <v>503</v>
      </c>
      <c r="B504" s="1" t="s">
        <v>99</v>
      </c>
      <c r="C504" t="s">
        <v>152</v>
      </c>
      <c r="D504">
        <v>58</v>
      </c>
      <c r="E504" t="s">
        <v>155</v>
      </c>
    </row>
    <row r="505" spans="1:5" x14ac:dyDescent="0.2">
      <c r="A505">
        <v>504</v>
      </c>
      <c r="B505" s="1" t="s">
        <v>102</v>
      </c>
      <c r="C505" t="s">
        <v>151</v>
      </c>
      <c r="D505">
        <v>48</v>
      </c>
      <c r="E505" t="s">
        <v>155</v>
      </c>
    </row>
    <row r="506" spans="1:5" x14ac:dyDescent="0.2">
      <c r="A506">
        <v>505</v>
      </c>
      <c r="B506" s="1" t="s">
        <v>105</v>
      </c>
      <c r="C506" t="s">
        <v>152</v>
      </c>
      <c r="D506">
        <v>63</v>
      </c>
      <c r="E506" t="s">
        <v>155</v>
      </c>
    </row>
    <row r="507" spans="1:5" x14ac:dyDescent="0.2">
      <c r="A507">
        <v>506</v>
      </c>
      <c r="B507" s="1" t="s">
        <v>99</v>
      </c>
      <c r="C507" t="s">
        <v>151</v>
      </c>
      <c r="D507">
        <v>45</v>
      </c>
      <c r="E507" t="s">
        <v>155</v>
      </c>
    </row>
    <row r="508" spans="1:5" x14ac:dyDescent="0.2">
      <c r="A508">
        <v>507</v>
      </c>
      <c r="B508" s="1" t="s">
        <v>99</v>
      </c>
      <c r="C508" t="s">
        <v>151</v>
      </c>
      <c r="D508">
        <v>35</v>
      </c>
      <c r="E508" t="s">
        <v>155</v>
      </c>
    </row>
    <row r="509" spans="1:5" x14ac:dyDescent="0.2">
      <c r="A509">
        <v>508</v>
      </c>
      <c r="B509" s="1" t="s">
        <v>110</v>
      </c>
      <c r="C509" t="s">
        <v>152</v>
      </c>
      <c r="D509">
        <v>65</v>
      </c>
      <c r="E509" t="s">
        <v>155</v>
      </c>
    </row>
    <row r="510" spans="1:5" x14ac:dyDescent="0.2">
      <c r="A510">
        <v>509</v>
      </c>
      <c r="B510" s="1" t="s">
        <v>100</v>
      </c>
      <c r="C510" t="s">
        <v>151</v>
      </c>
      <c r="D510">
        <v>24</v>
      </c>
      <c r="E510" t="s">
        <v>155</v>
      </c>
    </row>
    <row r="511" spans="1:5" x14ac:dyDescent="0.2">
      <c r="A511">
        <v>510</v>
      </c>
      <c r="B511" s="1" t="s">
        <v>99</v>
      </c>
      <c r="C511" t="s">
        <v>152</v>
      </c>
      <c r="D511">
        <v>39</v>
      </c>
      <c r="E511" t="s">
        <v>155</v>
      </c>
    </row>
    <row r="512" spans="1:5" x14ac:dyDescent="0.2">
      <c r="A512">
        <v>511</v>
      </c>
      <c r="B512" s="1" t="s">
        <v>99</v>
      </c>
      <c r="C512" t="s">
        <v>151</v>
      </c>
      <c r="D512">
        <v>60</v>
      </c>
      <c r="E512" t="s">
        <v>155</v>
      </c>
    </row>
    <row r="513" spans="1:5" x14ac:dyDescent="0.2">
      <c r="A513">
        <v>512</v>
      </c>
      <c r="B513" s="1" t="s">
        <v>105</v>
      </c>
      <c r="C513" t="s">
        <v>152</v>
      </c>
      <c r="D513">
        <v>74</v>
      </c>
      <c r="E513" t="s">
        <v>155</v>
      </c>
    </row>
    <row r="514" spans="1:5" x14ac:dyDescent="0.2">
      <c r="A514">
        <v>513</v>
      </c>
      <c r="B514" s="1" t="s">
        <v>99</v>
      </c>
      <c r="C514" t="s">
        <v>152</v>
      </c>
      <c r="D514">
        <v>29</v>
      </c>
      <c r="E514" t="s">
        <v>155</v>
      </c>
    </row>
    <row r="515" spans="1:5" x14ac:dyDescent="0.2">
      <c r="A515">
        <v>514</v>
      </c>
      <c r="B515" s="1" t="s">
        <v>99</v>
      </c>
      <c r="C515" t="s">
        <v>152</v>
      </c>
      <c r="D515">
        <v>89</v>
      </c>
      <c r="E515" t="s">
        <v>155</v>
      </c>
    </row>
    <row r="516" spans="1:5" x14ac:dyDescent="0.2">
      <c r="A516">
        <v>515</v>
      </c>
      <c r="B516" s="1" t="s">
        <v>105</v>
      </c>
      <c r="C516" t="s">
        <v>152</v>
      </c>
      <c r="D516">
        <v>37</v>
      </c>
      <c r="E516" t="s">
        <v>155</v>
      </c>
    </row>
    <row r="517" spans="1:5" x14ac:dyDescent="0.2">
      <c r="A517">
        <v>516</v>
      </c>
      <c r="B517" s="1" t="s">
        <v>100</v>
      </c>
      <c r="C517" t="s">
        <v>151</v>
      </c>
      <c r="D517">
        <v>51</v>
      </c>
      <c r="E517" t="s">
        <v>155</v>
      </c>
    </row>
    <row r="518" spans="1:5" x14ac:dyDescent="0.2">
      <c r="A518">
        <v>517</v>
      </c>
      <c r="B518" s="1" t="s">
        <v>101</v>
      </c>
      <c r="C518" t="s">
        <v>152</v>
      </c>
      <c r="D518">
        <v>77</v>
      </c>
      <c r="E518" t="s">
        <v>155</v>
      </c>
    </row>
    <row r="519" spans="1:5" x14ac:dyDescent="0.2">
      <c r="A519">
        <v>518</v>
      </c>
      <c r="B519" s="1" t="s">
        <v>105</v>
      </c>
      <c r="C519" t="s">
        <v>151</v>
      </c>
      <c r="D519">
        <v>53</v>
      </c>
      <c r="E519" t="s">
        <v>155</v>
      </c>
    </row>
    <row r="520" spans="1:5" x14ac:dyDescent="0.2">
      <c r="A520">
        <v>519</v>
      </c>
      <c r="B520" s="1" t="s">
        <v>100</v>
      </c>
      <c r="C520" t="s">
        <v>151</v>
      </c>
      <c r="D520">
        <v>70</v>
      </c>
      <c r="E520" t="s">
        <v>155</v>
      </c>
    </row>
    <row r="521" spans="1:5" x14ac:dyDescent="0.2">
      <c r="A521">
        <v>520</v>
      </c>
      <c r="B521" s="1" t="s">
        <v>105</v>
      </c>
      <c r="C521" t="s">
        <v>151</v>
      </c>
      <c r="D521">
        <v>81</v>
      </c>
      <c r="E521" t="s">
        <v>155</v>
      </c>
    </row>
    <row r="522" spans="1:5" x14ac:dyDescent="0.2">
      <c r="A522">
        <v>521</v>
      </c>
      <c r="B522" s="1" t="s">
        <v>113</v>
      </c>
      <c r="C522" t="s">
        <v>151</v>
      </c>
      <c r="D522">
        <v>66</v>
      </c>
      <c r="E522" t="s">
        <v>155</v>
      </c>
    </row>
    <row r="523" spans="1:5" x14ac:dyDescent="0.2">
      <c r="A523">
        <v>522</v>
      </c>
      <c r="B523" s="1" t="s">
        <v>99</v>
      </c>
      <c r="C523" t="s">
        <v>152</v>
      </c>
      <c r="D523">
        <v>77</v>
      </c>
      <c r="E523" t="s">
        <v>155</v>
      </c>
    </row>
    <row r="524" spans="1:5" x14ac:dyDescent="0.2">
      <c r="A524">
        <v>523</v>
      </c>
      <c r="B524" s="1" t="s">
        <v>99</v>
      </c>
      <c r="C524" t="s">
        <v>151</v>
      </c>
      <c r="D524">
        <v>26</v>
      </c>
      <c r="E524" t="s">
        <v>155</v>
      </c>
    </row>
    <row r="525" spans="1:5" x14ac:dyDescent="0.2">
      <c r="A525">
        <v>524</v>
      </c>
      <c r="B525" s="1" t="s">
        <v>110</v>
      </c>
      <c r="C525" t="s">
        <v>152</v>
      </c>
      <c r="D525">
        <v>63</v>
      </c>
      <c r="E525" t="s">
        <v>155</v>
      </c>
    </row>
    <row r="526" spans="1:5" x14ac:dyDescent="0.2">
      <c r="A526">
        <v>525</v>
      </c>
      <c r="B526" s="1" t="s">
        <v>113</v>
      </c>
      <c r="C526" t="s">
        <v>152</v>
      </c>
      <c r="D526">
        <v>20</v>
      </c>
      <c r="E526" t="s">
        <v>155</v>
      </c>
    </row>
    <row r="527" spans="1:5" x14ac:dyDescent="0.2">
      <c r="A527">
        <v>526</v>
      </c>
      <c r="B527" s="1" t="s">
        <v>99</v>
      </c>
      <c r="C527" t="s">
        <v>151</v>
      </c>
      <c r="D527">
        <v>49</v>
      </c>
      <c r="E527" t="s">
        <v>155</v>
      </c>
    </row>
    <row r="528" spans="1:5" x14ac:dyDescent="0.2">
      <c r="A528">
        <v>527</v>
      </c>
      <c r="B528" s="1" t="s">
        <v>99</v>
      </c>
      <c r="C528" t="s">
        <v>152</v>
      </c>
      <c r="D528">
        <v>19</v>
      </c>
      <c r="E528" t="s">
        <v>155</v>
      </c>
    </row>
    <row r="529" spans="1:5" x14ac:dyDescent="0.2">
      <c r="A529">
        <v>528</v>
      </c>
      <c r="B529" s="1" t="s">
        <v>99</v>
      </c>
      <c r="C529" t="s">
        <v>151</v>
      </c>
      <c r="D529">
        <v>36</v>
      </c>
      <c r="E529" t="s">
        <v>155</v>
      </c>
    </row>
    <row r="530" spans="1:5" x14ac:dyDescent="0.2">
      <c r="A530">
        <v>529</v>
      </c>
      <c r="B530" s="1" t="s">
        <v>113</v>
      </c>
      <c r="C530" t="s">
        <v>151</v>
      </c>
      <c r="D530">
        <v>44</v>
      </c>
      <c r="E530" t="s">
        <v>155</v>
      </c>
    </row>
    <row r="531" spans="1:5" x14ac:dyDescent="0.2">
      <c r="A531">
        <v>530</v>
      </c>
      <c r="B531" s="1" t="s">
        <v>101</v>
      </c>
      <c r="C531" t="s">
        <v>152</v>
      </c>
      <c r="D531">
        <v>23</v>
      </c>
      <c r="E531" t="s">
        <v>155</v>
      </c>
    </row>
    <row r="532" spans="1:5" x14ac:dyDescent="0.2">
      <c r="A532">
        <v>531</v>
      </c>
      <c r="B532" s="1" t="s">
        <v>99</v>
      </c>
      <c r="C532" t="s">
        <v>152</v>
      </c>
      <c r="D532">
        <v>43</v>
      </c>
      <c r="E532" t="s">
        <v>155</v>
      </c>
    </row>
    <row r="533" spans="1:5" x14ac:dyDescent="0.2">
      <c r="A533">
        <v>532</v>
      </c>
      <c r="B533" s="1" t="s">
        <v>99</v>
      </c>
      <c r="C533" t="s">
        <v>152</v>
      </c>
      <c r="D533">
        <v>84</v>
      </c>
      <c r="E533" t="s">
        <v>155</v>
      </c>
    </row>
    <row r="534" spans="1:5" x14ac:dyDescent="0.2">
      <c r="A534">
        <v>533</v>
      </c>
      <c r="B534" s="1" t="s">
        <v>99</v>
      </c>
      <c r="C534" t="s">
        <v>152</v>
      </c>
      <c r="D534">
        <v>55</v>
      </c>
      <c r="E534" t="s">
        <v>155</v>
      </c>
    </row>
    <row r="535" spans="1:5" x14ac:dyDescent="0.2">
      <c r="A535">
        <v>534</v>
      </c>
      <c r="B535" s="1" t="s">
        <v>113</v>
      </c>
      <c r="C535" t="s">
        <v>151</v>
      </c>
      <c r="D535">
        <v>90</v>
      </c>
      <c r="E535" t="s">
        <v>155</v>
      </c>
    </row>
    <row r="536" spans="1:5" x14ac:dyDescent="0.2">
      <c r="A536">
        <v>535</v>
      </c>
      <c r="B536" s="1" t="s">
        <v>104</v>
      </c>
      <c r="C536" t="s">
        <v>151</v>
      </c>
      <c r="D536">
        <v>45</v>
      </c>
      <c r="E536" t="s">
        <v>155</v>
      </c>
    </row>
    <row r="537" spans="1:5" x14ac:dyDescent="0.2">
      <c r="A537">
        <v>536</v>
      </c>
      <c r="B537" s="1" t="s">
        <v>109</v>
      </c>
      <c r="C537" t="s">
        <v>152</v>
      </c>
      <c r="D537">
        <v>69</v>
      </c>
      <c r="E537" t="s">
        <v>155</v>
      </c>
    </row>
    <row r="538" spans="1:5" x14ac:dyDescent="0.2">
      <c r="A538">
        <v>537</v>
      </c>
      <c r="B538" s="1" t="s">
        <v>101</v>
      </c>
      <c r="C538" t="s">
        <v>152</v>
      </c>
      <c r="D538">
        <v>58</v>
      </c>
      <c r="E538" t="s">
        <v>155</v>
      </c>
    </row>
    <row r="539" spans="1:5" x14ac:dyDescent="0.2">
      <c r="A539">
        <v>538</v>
      </c>
      <c r="B539" s="1" t="s">
        <v>113</v>
      </c>
      <c r="C539" t="s">
        <v>151</v>
      </c>
      <c r="D539">
        <v>32</v>
      </c>
      <c r="E539" t="s">
        <v>155</v>
      </c>
    </row>
    <row r="540" spans="1:5" x14ac:dyDescent="0.2">
      <c r="A540">
        <v>539</v>
      </c>
      <c r="B540" s="1" t="s">
        <v>113</v>
      </c>
      <c r="C540" t="s">
        <v>152</v>
      </c>
      <c r="D540">
        <v>24</v>
      </c>
      <c r="E540" t="s">
        <v>155</v>
      </c>
    </row>
    <row r="541" spans="1:5" x14ac:dyDescent="0.2">
      <c r="A541">
        <v>540</v>
      </c>
      <c r="B541" s="1" t="s">
        <v>101</v>
      </c>
      <c r="C541" t="s">
        <v>151</v>
      </c>
      <c r="D541">
        <v>27</v>
      </c>
      <c r="E541" t="s">
        <v>155</v>
      </c>
    </row>
    <row r="542" spans="1:5" x14ac:dyDescent="0.2">
      <c r="A542">
        <v>541</v>
      </c>
      <c r="B542" s="1" t="s">
        <v>99</v>
      </c>
      <c r="C542" t="s">
        <v>151</v>
      </c>
      <c r="D542">
        <v>85</v>
      </c>
      <c r="E542" t="s">
        <v>155</v>
      </c>
    </row>
    <row r="543" spans="1:5" x14ac:dyDescent="0.2">
      <c r="A543">
        <v>542</v>
      </c>
      <c r="B543" s="1" t="s">
        <v>101</v>
      </c>
      <c r="C543" t="s">
        <v>152</v>
      </c>
      <c r="D543">
        <v>33</v>
      </c>
      <c r="E543" t="s">
        <v>155</v>
      </c>
    </row>
    <row r="544" spans="1:5" x14ac:dyDescent="0.2">
      <c r="A544">
        <v>543</v>
      </c>
      <c r="B544" s="1" t="s">
        <v>100</v>
      </c>
      <c r="C544" t="s">
        <v>152</v>
      </c>
      <c r="D544">
        <v>80</v>
      </c>
      <c r="E544" t="s">
        <v>155</v>
      </c>
    </row>
    <row r="545" spans="1:5" x14ac:dyDescent="0.2">
      <c r="A545">
        <v>544</v>
      </c>
      <c r="B545" s="1" t="s">
        <v>106</v>
      </c>
      <c r="C545" t="s">
        <v>151</v>
      </c>
      <c r="D545">
        <v>39</v>
      </c>
      <c r="E545" t="s">
        <v>155</v>
      </c>
    </row>
    <row r="546" spans="1:5" x14ac:dyDescent="0.2">
      <c r="A546">
        <v>545</v>
      </c>
      <c r="B546" s="1" t="s">
        <v>99</v>
      </c>
      <c r="C546" t="s">
        <v>151</v>
      </c>
      <c r="D546">
        <v>76</v>
      </c>
      <c r="E546" t="s">
        <v>155</v>
      </c>
    </row>
    <row r="547" spans="1:5" x14ac:dyDescent="0.2">
      <c r="A547">
        <v>546</v>
      </c>
      <c r="B547" s="1" t="s">
        <v>99</v>
      </c>
      <c r="C547" t="s">
        <v>151</v>
      </c>
      <c r="D547">
        <v>57</v>
      </c>
      <c r="E547" t="s">
        <v>155</v>
      </c>
    </row>
    <row r="548" spans="1:5" x14ac:dyDescent="0.2">
      <c r="A548">
        <v>547</v>
      </c>
      <c r="B548" s="1" t="s">
        <v>99</v>
      </c>
      <c r="C548" t="s">
        <v>152</v>
      </c>
      <c r="D548">
        <v>69</v>
      </c>
      <c r="E548" t="s">
        <v>155</v>
      </c>
    </row>
    <row r="549" spans="1:5" x14ac:dyDescent="0.2">
      <c r="A549">
        <v>548</v>
      </c>
      <c r="B549" s="1" t="s">
        <v>99</v>
      </c>
      <c r="C549" t="s">
        <v>151</v>
      </c>
      <c r="D549">
        <v>48</v>
      </c>
      <c r="E549" t="s">
        <v>155</v>
      </c>
    </row>
    <row r="550" spans="1:5" x14ac:dyDescent="0.2">
      <c r="A550">
        <v>549</v>
      </c>
      <c r="B550" s="1" t="s">
        <v>99</v>
      </c>
      <c r="C550" t="s">
        <v>151</v>
      </c>
      <c r="D550">
        <v>70</v>
      </c>
      <c r="E550" t="s">
        <v>155</v>
      </c>
    </row>
    <row r="551" spans="1:5" x14ac:dyDescent="0.2">
      <c r="A551">
        <v>550</v>
      </c>
      <c r="B551" s="1" t="s">
        <v>99</v>
      </c>
      <c r="C551" t="s">
        <v>151</v>
      </c>
      <c r="D551">
        <v>31</v>
      </c>
      <c r="E551" t="s">
        <v>155</v>
      </c>
    </row>
    <row r="552" spans="1:5" x14ac:dyDescent="0.2">
      <c r="A552">
        <v>551</v>
      </c>
      <c r="B552" s="1" t="s">
        <v>110</v>
      </c>
      <c r="C552" t="s">
        <v>151</v>
      </c>
      <c r="D552">
        <v>20</v>
      </c>
      <c r="E552" t="s">
        <v>155</v>
      </c>
    </row>
    <row r="553" spans="1:5" x14ac:dyDescent="0.2">
      <c r="A553">
        <v>552</v>
      </c>
      <c r="B553" s="1" t="s">
        <v>113</v>
      </c>
      <c r="C553" t="s">
        <v>152</v>
      </c>
      <c r="D553">
        <v>67</v>
      </c>
      <c r="E553" t="s">
        <v>155</v>
      </c>
    </row>
    <row r="554" spans="1:5" x14ac:dyDescent="0.2">
      <c r="A554">
        <v>553</v>
      </c>
      <c r="B554" s="1" t="s">
        <v>101</v>
      </c>
      <c r="C554" t="s">
        <v>151</v>
      </c>
      <c r="D554">
        <v>34</v>
      </c>
      <c r="E554" t="s">
        <v>155</v>
      </c>
    </row>
    <row r="555" spans="1:5" x14ac:dyDescent="0.2">
      <c r="A555">
        <v>554</v>
      </c>
      <c r="B555" s="1" t="s">
        <v>113</v>
      </c>
      <c r="C555" t="s">
        <v>152</v>
      </c>
      <c r="D555">
        <v>29</v>
      </c>
      <c r="E555" t="s">
        <v>155</v>
      </c>
    </row>
    <row r="556" spans="1:5" x14ac:dyDescent="0.2">
      <c r="A556">
        <v>555</v>
      </c>
      <c r="B556" s="1" t="s">
        <v>99</v>
      </c>
      <c r="C556" t="s">
        <v>152</v>
      </c>
      <c r="D556">
        <v>90</v>
      </c>
      <c r="E556" t="s">
        <v>155</v>
      </c>
    </row>
    <row r="557" spans="1:5" x14ac:dyDescent="0.2">
      <c r="A557">
        <v>556</v>
      </c>
      <c r="B557" s="1" t="s">
        <v>100</v>
      </c>
      <c r="C557" t="s">
        <v>152</v>
      </c>
      <c r="D557">
        <v>72</v>
      </c>
      <c r="E557" t="s">
        <v>155</v>
      </c>
    </row>
    <row r="558" spans="1:5" x14ac:dyDescent="0.2">
      <c r="A558">
        <v>557</v>
      </c>
      <c r="B558" s="1" t="s">
        <v>109</v>
      </c>
      <c r="C558" t="s">
        <v>151</v>
      </c>
      <c r="D558">
        <v>84</v>
      </c>
      <c r="E558" t="s">
        <v>155</v>
      </c>
    </row>
    <row r="559" spans="1:5" x14ac:dyDescent="0.2">
      <c r="A559">
        <v>558</v>
      </c>
      <c r="B559" s="1" t="s">
        <v>113</v>
      </c>
      <c r="C559" t="s">
        <v>152</v>
      </c>
      <c r="D559">
        <v>72</v>
      </c>
      <c r="E559" t="s">
        <v>155</v>
      </c>
    </row>
    <row r="560" spans="1:5" x14ac:dyDescent="0.2">
      <c r="A560">
        <v>559</v>
      </c>
      <c r="B560" s="1" t="s">
        <v>108</v>
      </c>
      <c r="C560" t="s">
        <v>152</v>
      </c>
      <c r="D560">
        <v>70</v>
      </c>
      <c r="E560" t="s">
        <v>155</v>
      </c>
    </row>
    <row r="561" spans="1:5" x14ac:dyDescent="0.2">
      <c r="A561">
        <v>560</v>
      </c>
      <c r="B561" s="1" t="s">
        <v>108</v>
      </c>
      <c r="C561" t="s">
        <v>152</v>
      </c>
      <c r="D561">
        <v>81</v>
      </c>
      <c r="E561" t="s">
        <v>155</v>
      </c>
    </row>
    <row r="562" spans="1:5" x14ac:dyDescent="0.2">
      <c r="A562">
        <v>561</v>
      </c>
      <c r="B562" s="1" t="s">
        <v>102</v>
      </c>
      <c r="C562" t="s">
        <v>152</v>
      </c>
      <c r="D562">
        <v>33</v>
      </c>
      <c r="E562" t="s">
        <v>155</v>
      </c>
    </row>
    <row r="563" spans="1:5" x14ac:dyDescent="0.2">
      <c r="A563">
        <v>562</v>
      </c>
      <c r="B563" s="1" t="s">
        <v>106</v>
      </c>
      <c r="C563" t="s">
        <v>152</v>
      </c>
      <c r="D563">
        <v>75</v>
      </c>
      <c r="E563" t="s">
        <v>155</v>
      </c>
    </row>
    <row r="564" spans="1:5" x14ac:dyDescent="0.2">
      <c r="A564">
        <v>563</v>
      </c>
      <c r="B564" s="1" t="s">
        <v>100</v>
      </c>
      <c r="C564" t="s">
        <v>152</v>
      </c>
      <c r="D564">
        <v>80</v>
      </c>
      <c r="E564" t="s">
        <v>155</v>
      </c>
    </row>
    <row r="565" spans="1:5" x14ac:dyDescent="0.2">
      <c r="A565">
        <v>564</v>
      </c>
      <c r="B565" s="1" t="s">
        <v>99</v>
      </c>
      <c r="C565" t="s">
        <v>152</v>
      </c>
      <c r="D565">
        <v>83</v>
      </c>
      <c r="E565" t="s">
        <v>155</v>
      </c>
    </row>
    <row r="566" spans="1:5" x14ac:dyDescent="0.2">
      <c r="A566">
        <v>565</v>
      </c>
      <c r="B566" s="1" t="s">
        <v>100</v>
      </c>
      <c r="C566" t="s">
        <v>151</v>
      </c>
      <c r="D566">
        <v>62</v>
      </c>
      <c r="E566" t="s">
        <v>155</v>
      </c>
    </row>
    <row r="567" spans="1:5" x14ac:dyDescent="0.2">
      <c r="A567">
        <v>566</v>
      </c>
      <c r="B567" s="1" t="s">
        <v>99</v>
      </c>
      <c r="C567" t="s">
        <v>151</v>
      </c>
      <c r="D567">
        <v>74</v>
      </c>
      <c r="E567" t="s">
        <v>155</v>
      </c>
    </row>
    <row r="568" spans="1:5" x14ac:dyDescent="0.2">
      <c r="A568">
        <v>567</v>
      </c>
      <c r="B568" s="1" t="s">
        <v>101</v>
      </c>
      <c r="C568" t="s">
        <v>151</v>
      </c>
      <c r="D568">
        <v>37</v>
      </c>
      <c r="E568" t="s">
        <v>155</v>
      </c>
    </row>
    <row r="569" spans="1:5" x14ac:dyDescent="0.2">
      <c r="A569">
        <v>568</v>
      </c>
      <c r="B569" s="1" t="s">
        <v>100</v>
      </c>
      <c r="C569" t="s">
        <v>152</v>
      </c>
      <c r="D569">
        <v>82</v>
      </c>
      <c r="E569" t="s">
        <v>155</v>
      </c>
    </row>
    <row r="570" spans="1:5" x14ac:dyDescent="0.2">
      <c r="A570">
        <v>569</v>
      </c>
      <c r="B570" s="1" t="s">
        <v>99</v>
      </c>
      <c r="C570" t="s">
        <v>151</v>
      </c>
      <c r="D570">
        <v>62</v>
      </c>
      <c r="E570" t="s">
        <v>155</v>
      </c>
    </row>
    <row r="571" spans="1:5" x14ac:dyDescent="0.2">
      <c r="A571">
        <v>570</v>
      </c>
      <c r="B571" s="1" t="s">
        <v>113</v>
      </c>
      <c r="C571" t="s">
        <v>152</v>
      </c>
      <c r="D571">
        <v>66</v>
      </c>
      <c r="E571" t="s">
        <v>155</v>
      </c>
    </row>
    <row r="572" spans="1:5" x14ac:dyDescent="0.2">
      <c r="A572">
        <v>571</v>
      </c>
      <c r="B572" s="1" t="s">
        <v>102</v>
      </c>
      <c r="C572" t="s">
        <v>152</v>
      </c>
      <c r="D572">
        <v>88</v>
      </c>
      <c r="E572" t="s">
        <v>155</v>
      </c>
    </row>
    <row r="573" spans="1:5" x14ac:dyDescent="0.2">
      <c r="A573">
        <v>572</v>
      </c>
      <c r="B573" s="1" t="s">
        <v>100</v>
      </c>
      <c r="C573" t="s">
        <v>152</v>
      </c>
      <c r="D573">
        <v>79</v>
      </c>
      <c r="E573" t="s">
        <v>155</v>
      </c>
    </row>
    <row r="574" spans="1:5" x14ac:dyDescent="0.2">
      <c r="A574">
        <v>573</v>
      </c>
      <c r="B574" s="1" t="s">
        <v>100</v>
      </c>
      <c r="C574" t="s">
        <v>152</v>
      </c>
      <c r="D574">
        <v>69</v>
      </c>
      <c r="E574" t="s">
        <v>155</v>
      </c>
    </row>
    <row r="575" spans="1:5" x14ac:dyDescent="0.2">
      <c r="A575">
        <v>574</v>
      </c>
      <c r="B575" s="1" t="s">
        <v>99</v>
      </c>
      <c r="C575" t="s">
        <v>152</v>
      </c>
      <c r="D575">
        <v>41</v>
      </c>
      <c r="E575" t="s">
        <v>155</v>
      </c>
    </row>
    <row r="576" spans="1:5" x14ac:dyDescent="0.2">
      <c r="A576">
        <v>575</v>
      </c>
      <c r="B576" s="1" t="s">
        <v>113</v>
      </c>
      <c r="C576" t="s">
        <v>152</v>
      </c>
      <c r="D576">
        <v>85</v>
      </c>
      <c r="E576" t="s">
        <v>155</v>
      </c>
    </row>
    <row r="577" spans="1:5" x14ac:dyDescent="0.2">
      <c r="A577">
        <v>576</v>
      </c>
      <c r="B577" s="1" t="s">
        <v>99</v>
      </c>
      <c r="C577" t="s">
        <v>151</v>
      </c>
      <c r="D577">
        <v>47</v>
      </c>
      <c r="E577" t="s">
        <v>155</v>
      </c>
    </row>
    <row r="578" spans="1:5" x14ac:dyDescent="0.2">
      <c r="A578">
        <v>577</v>
      </c>
      <c r="B578" s="1" t="s">
        <v>100</v>
      </c>
      <c r="C578" t="s">
        <v>152</v>
      </c>
      <c r="D578">
        <v>74</v>
      </c>
      <c r="E578" t="s">
        <v>155</v>
      </c>
    </row>
    <row r="579" spans="1:5" x14ac:dyDescent="0.2">
      <c r="A579">
        <v>578</v>
      </c>
      <c r="B579" s="1" t="s">
        <v>101</v>
      </c>
      <c r="C579" t="s">
        <v>152</v>
      </c>
      <c r="D579">
        <v>29</v>
      </c>
      <c r="E579" t="s">
        <v>155</v>
      </c>
    </row>
    <row r="580" spans="1:5" x14ac:dyDescent="0.2">
      <c r="A580">
        <v>579</v>
      </c>
      <c r="B580" s="1" t="s">
        <v>99</v>
      </c>
      <c r="C580" t="s">
        <v>152</v>
      </c>
      <c r="D580">
        <v>62</v>
      </c>
      <c r="E580" t="s">
        <v>155</v>
      </c>
    </row>
    <row r="581" spans="1:5" x14ac:dyDescent="0.2">
      <c r="A581">
        <v>580</v>
      </c>
      <c r="B581" s="1" t="s">
        <v>99</v>
      </c>
      <c r="C581" t="s">
        <v>152</v>
      </c>
      <c r="D581">
        <v>24</v>
      </c>
      <c r="E581" t="s">
        <v>155</v>
      </c>
    </row>
    <row r="582" spans="1:5" x14ac:dyDescent="0.2">
      <c r="A582">
        <v>581</v>
      </c>
      <c r="B582" s="1" t="s">
        <v>99</v>
      </c>
      <c r="C582" t="s">
        <v>151</v>
      </c>
      <c r="D582">
        <v>53</v>
      </c>
      <c r="E582" t="s">
        <v>155</v>
      </c>
    </row>
    <row r="583" spans="1:5" x14ac:dyDescent="0.2">
      <c r="A583">
        <v>582</v>
      </c>
      <c r="B583" s="1" t="s">
        <v>113</v>
      </c>
      <c r="C583" t="s">
        <v>151</v>
      </c>
      <c r="D583">
        <v>20</v>
      </c>
      <c r="E583" t="s">
        <v>155</v>
      </c>
    </row>
    <row r="584" spans="1:5" x14ac:dyDescent="0.2">
      <c r="A584">
        <v>583</v>
      </c>
      <c r="B584" s="1" t="s">
        <v>101</v>
      </c>
      <c r="C584" t="s">
        <v>151</v>
      </c>
      <c r="D584">
        <v>88</v>
      </c>
      <c r="E584" t="s">
        <v>155</v>
      </c>
    </row>
    <row r="585" spans="1:5" x14ac:dyDescent="0.2">
      <c r="A585">
        <v>584</v>
      </c>
      <c r="B585" s="1" t="s">
        <v>99</v>
      </c>
      <c r="C585" t="s">
        <v>152</v>
      </c>
      <c r="D585">
        <v>70</v>
      </c>
      <c r="E585" t="s">
        <v>155</v>
      </c>
    </row>
    <row r="586" spans="1:5" x14ac:dyDescent="0.2">
      <c r="A586">
        <v>585</v>
      </c>
      <c r="B586" s="1" t="s">
        <v>107</v>
      </c>
      <c r="C586" t="s">
        <v>152</v>
      </c>
      <c r="D586">
        <v>47</v>
      </c>
      <c r="E586" t="s">
        <v>155</v>
      </c>
    </row>
    <row r="587" spans="1:5" x14ac:dyDescent="0.2">
      <c r="A587">
        <v>586</v>
      </c>
      <c r="B587" s="1" t="s">
        <v>113</v>
      </c>
      <c r="C587" t="s">
        <v>152</v>
      </c>
      <c r="D587">
        <v>53</v>
      </c>
      <c r="E587" t="s">
        <v>155</v>
      </c>
    </row>
    <row r="588" spans="1:5" x14ac:dyDescent="0.2">
      <c r="A588">
        <v>587</v>
      </c>
      <c r="B588" s="1" t="s">
        <v>99</v>
      </c>
      <c r="C588" t="s">
        <v>151</v>
      </c>
      <c r="D588">
        <v>51</v>
      </c>
      <c r="E588" t="s">
        <v>155</v>
      </c>
    </row>
    <row r="589" spans="1:5" x14ac:dyDescent="0.2">
      <c r="A589">
        <v>588</v>
      </c>
      <c r="B589" s="1" t="s">
        <v>107</v>
      </c>
      <c r="C589" t="s">
        <v>152</v>
      </c>
      <c r="D589">
        <v>42</v>
      </c>
      <c r="E589" t="s">
        <v>155</v>
      </c>
    </row>
    <row r="590" spans="1:5" x14ac:dyDescent="0.2">
      <c r="A590">
        <v>589</v>
      </c>
      <c r="B590" s="1" t="s">
        <v>99</v>
      </c>
      <c r="C590" t="s">
        <v>151</v>
      </c>
      <c r="D590">
        <v>37</v>
      </c>
      <c r="E590" t="s">
        <v>155</v>
      </c>
    </row>
    <row r="591" spans="1:5" x14ac:dyDescent="0.2">
      <c r="A591">
        <v>590</v>
      </c>
      <c r="B591" s="1" t="s">
        <v>113</v>
      </c>
      <c r="C591" t="s">
        <v>152</v>
      </c>
      <c r="D591">
        <v>25</v>
      </c>
      <c r="E591" t="s">
        <v>155</v>
      </c>
    </row>
    <row r="592" spans="1:5" x14ac:dyDescent="0.2">
      <c r="A592">
        <v>591</v>
      </c>
      <c r="B592" s="1" t="s">
        <v>113</v>
      </c>
      <c r="C592" t="s">
        <v>151</v>
      </c>
      <c r="D592">
        <v>49</v>
      </c>
      <c r="E592" t="s">
        <v>155</v>
      </c>
    </row>
    <row r="593" spans="1:5" x14ac:dyDescent="0.2">
      <c r="A593">
        <v>592</v>
      </c>
      <c r="B593" s="1" t="s">
        <v>111</v>
      </c>
      <c r="C593" t="s">
        <v>152</v>
      </c>
      <c r="D593">
        <v>66</v>
      </c>
      <c r="E593" t="s">
        <v>155</v>
      </c>
    </row>
    <row r="594" spans="1:5" x14ac:dyDescent="0.2">
      <c r="A594">
        <v>593</v>
      </c>
      <c r="B594" s="1" t="s">
        <v>99</v>
      </c>
      <c r="C594" t="s">
        <v>152</v>
      </c>
      <c r="D594">
        <v>48</v>
      </c>
      <c r="E594" t="s">
        <v>155</v>
      </c>
    </row>
    <row r="595" spans="1:5" x14ac:dyDescent="0.2">
      <c r="A595">
        <v>594</v>
      </c>
      <c r="B595" s="1" t="s">
        <v>99</v>
      </c>
      <c r="C595" t="s">
        <v>152</v>
      </c>
      <c r="D595">
        <v>58</v>
      </c>
      <c r="E595" t="s">
        <v>155</v>
      </c>
    </row>
    <row r="596" spans="1:5" x14ac:dyDescent="0.2">
      <c r="A596">
        <v>595</v>
      </c>
      <c r="B596" s="1" t="s">
        <v>99</v>
      </c>
      <c r="C596" t="s">
        <v>152</v>
      </c>
      <c r="D596">
        <v>90</v>
      </c>
      <c r="E596" t="s">
        <v>155</v>
      </c>
    </row>
    <row r="597" spans="1:5" x14ac:dyDescent="0.2">
      <c r="A597">
        <v>596</v>
      </c>
      <c r="B597" s="1" t="s">
        <v>102</v>
      </c>
      <c r="C597" t="s">
        <v>151</v>
      </c>
      <c r="D597">
        <v>66</v>
      </c>
      <c r="E597" t="s">
        <v>155</v>
      </c>
    </row>
    <row r="598" spans="1:5" x14ac:dyDescent="0.2">
      <c r="A598">
        <v>597</v>
      </c>
      <c r="B598" s="1" t="s">
        <v>100</v>
      </c>
      <c r="C598" t="s">
        <v>152</v>
      </c>
      <c r="D598">
        <v>43</v>
      </c>
      <c r="E598" t="s">
        <v>155</v>
      </c>
    </row>
    <row r="599" spans="1:5" x14ac:dyDescent="0.2">
      <c r="A599">
        <v>598</v>
      </c>
      <c r="B599" s="1" t="s">
        <v>99</v>
      </c>
      <c r="C599" t="s">
        <v>152</v>
      </c>
      <c r="D599">
        <v>76</v>
      </c>
      <c r="E599" t="s">
        <v>155</v>
      </c>
    </row>
    <row r="600" spans="1:5" x14ac:dyDescent="0.2">
      <c r="A600">
        <v>599</v>
      </c>
      <c r="B600" s="1" t="s">
        <v>101</v>
      </c>
      <c r="C600" t="s">
        <v>152</v>
      </c>
      <c r="D600">
        <v>32</v>
      </c>
      <c r="E600" t="s">
        <v>155</v>
      </c>
    </row>
    <row r="601" spans="1:5" x14ac:dyDescent="0.2">
      <c r="A601">
        <v>600</v>
      </c>
      <c r="B601" s="1" t="s">
        <v>99</v>
      </c>
      <c r="C601" t="s">
        <v>151</v>
      </c>
      <c r="D601">
        <v>77</v>
      </c>
      <c r="E601" t="s">
        <v>155</v>
      </c>
    </row>
    <row r="602" spans="1:5" x14ac:dyDescent="0.2">
      <c r="A602">
        <v>601</v>
      </c>
      <c r="B602" s="1" t="s">
        <v>113</v>
      </c>
      <c r="C602" t="s">
        <v>151</v>
      </c>
      <c r="D602">
        <v>57</v>
      </c>
      <c r="E602" t="s">
        <v>155</v>
      </c>
    </row>
    <row r="603" spans="1:5" x14ac:dyDescent="0.2">
      <c r="A603">
        <v>602</v>
      </c>
      <c r="B603" s="1" t="s">
        <v>104</v>
      </c>
      <c r="C603" t="s">
        <v>152</v>
      </c>
      <c r="D603">
        <v>24</v>
      </c>
      <c r="E603" t="s">
        <v>155</v>
      </c>
    </row>
    <row r="604" spans="1:5" x14ac:dyDescent="0.2">
      <c r="A604">
        <v>603</v>
      </c>
      <c r="B604" s="1" t="s">
        <v>113</v>
      </c>
      <c r="C604" t="s">
        <v>151</v>
      </c>
      <c r="D604">
        <v>41</v>
      </c>
      <c r="E604" t="s">
        <v>155</v>
      </c>
    </row>
    <row r="605" spans="1:5" x14ac:dyDescent="0.2">
      <c r="A605">
        <v>604</v>
      </c>
      <c r="B605" s="1" t="s">
        <v>104</v>
      </c>
      <c r="C605" t="s">
        <v>152</v>
      </c>
      <c r="D605">
        <v>85</v>
      </c>
      <c r="E605" t="s">
        <v>155</v>
      </c>
    </row>
    <row r="606" spans="1:5" x14ac:dyDescent="0.2">
      <c r="A606">
        <v>605</v>
      </c>
      <c r="B606" s="1" t="s">
        <v>99</v>
      </c>
      <c r="C606" t="s">
        <v>151</v>
      </c>
      <c r="D606">
        <v>58</v>
      </c>
      <c r="E606" t="s">
        <v>155</v>
      </c>
    </row>
    <row r="607" spans="1:5" x14ac:dyDescent="0.2">
      <c r="A607">
        <v>606</v>
      </c>
      <c r="B607" s="1" t="s">
        <v>99</v>
      </c>
      <c r="C607" t="s">
        <v>151</v>
      </c>
      <c r="D607">
        <v>18</v>
      </c>
      <c r="E607" t="s">
        <v>155</v>
      </c>
    </row>
    <row r="608" spans="1:5" x14ac:dyDescent="0.2">
      <c r="A608">
        <v>607</v>
      </c>
      <c r="B608" s="1" t="s">
        <v>106</v>
      </c>
      <c r="C608" t="s">
        <v>152</v>
      </c>
      <c r="D608">
        <v>41</v>
      </c>
      <c r="E608" t="s">
        <v>155</v>
      </c>
    </row>
    <row r="609" spans="1:5" x14ac:dyDescent="0.2">
      <c r="A609">
        <v>608</v>
      </c>
      <c r="B609" s="1" t="s">
        <v>108</v>
      </c>
      <c r="C609" t="s">
        <v>151</v>
      </c>
      <c r="D609">
        <v>57</v>
      </c>
      <c r="E609" t="s">
        <v>155</v>
      </c>
    </row>
    <row r="610" spans="1:5" x14ac:dyDescent="0.2">
      <c r="A610">
        <v>609</v>
      </c>
      <c r="B610" s="1" t="s">
        <v>99</v>
      </c>
      <c r="C610" t="s">
        <v>151</v>
      </c>
      <c r="D610">
        <v>87</v>
      </c>
      <c r="E610" t="s">
        <v>155</v>
      </c>
    </row>
    <row r="611" spans="1:5" x14ac:dyDescent="0.2">
      <c r="A611">
        <v>610</v>
      </c>
      <c r="B611" s="1" t="s">
        <v>100</v>
      </c>
      <c r="C611" t="s">
        <v>152</v>
      </c>
      <c r="D611">
        <v>62</v>
      </c>
      <c r="E611" t="s">
        <v>155</v>
      </c>
    </row>
    <row r="612" spans="1:5" x14ac:dyDescent="0.2">
      <c r="A612">
        <v>611</v>
      </c>
      <c r="B612" s="1" t="s">
        <v>113</v>
      </c>
      <c r="C612" t="s">
        <v>151</v>
      </c>
      <c r="D612">
        <v>31</v>
      </c>
      <c r="E612" t="s">
        <v>155</v>
      </c>
    </row>
    <row r="613" spans="1:5" x14ac:dyDescent="0.2">
      <c r="A613">
        <v>612</v>
      </c>
      <c r="B613" s="1" t="s">
        <v>99</v>
      </c>
      <c r="C613" t="s">
        <v>151</v>
      </c>
      <c r="D613">
        <v>18</v>
      </c>
      <c r="E613" t="s">
        <v>155</v>
      </c>
    </row>
    <row r="614" spans="1:5" x14ac:dyDescent="0.2">
      <c r="A614">
        <v>613</v>
      </c>
      <c r="B614" s="1" t="s">
        <v>113</v>
      </c>
      <c r="C614" t="s">
        <v>152</v>
      </c>
      <c r="D614">
        <v>51</v>
      </c>
      <c r="E614" t="s">
        <v>155</v>
      </c>
    </row>
    <row r="615" spans="1:5" x14ac:dyDescent="0.2">
      <c r="A615">
        <v>614</v>
      </c>
      <c r="B615" s="1" t="s">
        <v>99</v>
      </c>
      <c r="C615" t="s">
        <v>151</v>
      </c>
      <c r="D615">
        <v>36</v>
      </c>
      <c r="E615" t="s">
        <v>155</v>
      </c>
    </row>
    <row r="616" spans="1:5" x14ac:dyDescent="0.2">
      <c r="A616">
        <v>615</v>
      </c>
      <c r="B616" s="1" t="s">
        <v>100</v>
      </c>
      <c r="C616" t="s">
        <v>152</v>
      </c>
      <c r="D616">
        <v>53</v>
      </c>
      <c r="E616" t="s">
        <v>155</v>
      </c>
    </row>
    <row r="617" spans="1:5" x14ac:dyDescent="0.2">
      <c r="A617">
        <v>616</v>
      </c>
      <c r="B617" s="1" t="s">
        <v>100</v>
      </c>
      <c r="C617" t="s">
        <v>151</v>
      </c>
      <c r="D617">
        <v>40</v>
      </c>
      <c r="E617" t="s">
        <v>155</v>
      </c>
    </row>
    <row r="618" spans="1:5" x14ac:dyDescent="0.2">
      <c r="A618">
        <v>617</v>
      </c>
      <c r="B618" s="1" t="s">
        <v>99</v>
      </c>
      <c r="C618" t="s">
        <v>152</v>
      </c>
      <c r="D618">
        <v>45</v>
      </c>
      <c r="E618" t="s">
        <v>155</v>
      </c>
    </row>
    <row r="619" spans="1:5" x14ac:dyDescent="0.2">
      <c r="A619">
        <v>618</v>
      </c>
      <c r="B619" s="1" t="s">
        <v>102</v>
      </c>
      <c r="C619" t="s">
        <v>152</v>
      </c>
      <c r="D619">
        <v>58</v>
      </c>
      <c r="E619" t="s">
        <v>155</v>
      </c>
    </row>
    <row r="620" spans="1:5" x14ac:dyDescent="0.2">
      <c r="A620">
        <v>619</v>
      </c>
      <c r="B620" s="1" t="s">
        <v>99</v>
      </c>
      <c r="C620" t="s">
        <v>152</v>
      </c>
      <c r="D620">
        <v>38</v>
      </c>
      <c r="E620" t="s">
        <v>155</v>
      </c>
    </row>
    <row r="621" spans="1:5" x14ac:dyDescent="0.2">
      <c r="A621">
        <v>620</v>
      </c>
      <c r="B621" s="1" t="s">
        <v>106</v>
      </c>
      <c r="C621" t="s">
        <v>151</v>
      </c>
      <c r="D621">
        <v>41</v>
      </c>
      <c r="E621" t="s">
        <v>155</v>
      </c>
    </row>
    <row r="622" spans="1:5" x14ac:dyDescent="0.2">
      <c r="A622">
        <v>621</v>
      </c>
      <c r="B622" s="1" t="s">
        <v>99</v>
      </c>
      <c r="C622" t="s">
        <v>152</v>
      </c>
      <c r="D622">
        <v>50</v>
      </c>
      <c r="E622" t="s">
        <v>155</v>
      </c>
    </row>
    <row r="623" spans="1:5" x14ac:dyDescent="0.2">
      <c r="A623">
        <v>622</v>
      </c>
      <c r="B623" s="1" t="s">
        <v>113</v>
      </c>
      <c r="C623" t="s">
        <v>151</v>
      </c>
      <c r="D623">
        <v>71</v>
      </c>
      <c r="E623" t="s">
        <v>155</v>
      </c>
    </row>
    <row r="624" spans="1:5" x14ac:dyDescent="0.2">
      <c r="A624">
        <v>623</v>
      </c>
      <c r="B624" s="1" t="s">
        <v>113</v>
      </c>
      <c r="C624" t="s">
        <v>152</v>
      </c>
      <c r="D624">
        <v>80</v>
      </c>
      <c r="E624" t="s">
        <v>155</v>
      </c>
    </row>
    <row r="625" spans="1:5" x14ac:dyDescent="0.2">
      <c r="A625">
        <v>624</v>
      </c>
      <c r="B625" s="1" t="s">
        <v>101</v>
      </c>
      <c r="C625" t="s">
        <v>151</v>
      </c>
      <c r="D625">
        <v>43</v>
      </c>
      <c r="E625" t="s">
        <v>155</v>
      </c>
    </row>
    <row r="626" spans="1:5" x14ac:dyDescent="0.2">
      <c r="A626">
        <v>625</v>
      </c>
      <c r="B626" s="1" t="s">
        <v>113</v>
      </c>
      <c r="C626" t="s">
        <v>151</v>
      </c>
      <c r="D626">
        <v>54</v>
      </c>
      <c r="E626" t="s">
        <v>155</v>
      </c>
    </row>
    <row r="627" spans="1:5" x14ac:dyDescent="0.2">
      <c r="A627">
        <v>626</v>
      </c>
      <c r="B627" s="1" t="s">
        <v>99</v>
      </c>
      <c r="C627" t="s">
        <v>152</v>
      </c>
      <c r="D627">
        <v>59</v>
      </c>
      <c r="E627" t="s">
        <v>155</v>
      </c>
    </row>
    <row r="628" spans="1:5" x14ac:dyDescent="0.2">
      <c r="A628">
        <v>627</v>
      </c>
      <c r="B628" s="1" t="s">
        <v>102</v>
      </c>
      <c r="C628" t="s">
        <v>151</v>
      </c>
      <c r="D628">
        <v>62</v>
      </c>
      <c r="E628" t="s">
        <v>155</v>
      </c>
    </row>
    <row r="629" spans="1:5" x14ac:dyDescent="0.2">
      <c r="A629">
        <v>628</v>
      </c>
      <c r="B629" s="1" t="s">
        <v>100</v>
      </c>
      <c r="C629" t="s">
        <v>152</v>
      </c>
      <c r="D629">
        <v>85</v>
      </c>
      <c r="E629" t="s">
        <v>155</v>
      </c>
    </row>
    <row r="630" spans="1:5" x14ac:dyDescent="0.2">
      <c r="A630">
        <v>629</v>
      </c>
      <c r="B630" s="1" t="s">
        <v>99</v>
      </c>
      <c r="C630" t="s">
        <v>151</v>
      </c>
      <c r="D630">
        <v>82</v>
      </c>
      <c r="E630" t="s">
        <v>155</v>
      </c>
    </row>
    <row r="631" spans="1:5" x14ac:dyDescent="0.2">
      <c r="A631">
        <v>630</v>
      </c>
      <c r="B631" s="1" t="s">
        <v>113</v>
      </c>
      <c r="C631" t="s">
        <v>152</v>
      </c>
      <c r="D631">
        <v>86</v>
      </c>
      <c r="E631" t="s">
        <v>155</v>
      </c>
    </row>
    <row r="632" spans="1:5" x14ac:dyDescent="0.2">
      <c r="A632">
        <v>631</v>
      </c>
      <c r="B632" s="1" t="s">
        <v>113</v>
      </c>
      <c r="C632" t="s">
        <v>152</v>
      </c>
      <c r="D632">
        <v>53</v>
      </c>
      <c r="E632" t="s">
        <v>155</v>
      </c>
    </row>
    <row r="633" spans="1:5" x14ac:dyDescent="0.2">
      <c r="A633">
        <v>632</v>
      </c>
      <c r="B633" s="1" t="s">
        <v>99</v>
      </c>
      <c r="C633" t="s">
        <v>152</v>
      </c>
      <c r="D633">
        <v>67</v>
      </c>
      <c r="E633" t="s">
        <v>155</v>
      </c>
    </row>
    <row r="634" spans="1:5" x14ac:dyDescent="0.2">
      <c r="A634">
        <v>633</v>
      </c>
      <c r="B634" s="1" t="s">
        <v>100</v>
      </c>
      <c r="C634" t="s">
        <v>152</v>
      </c>
      <c r="D634">
        <v>88</v>
      </c>
      <c r="E634" t="s">
        <v>155</v>
      </c>
    </row>
    <row r="635" spans="1:5" x14ac:dyDescent="0.2">
      <c r="A635">
        <v>634</v>
      </c>
      <c r="B635" s="1" t="s">
        <v>99</v>
      </c>
      <c r="C635" t="s">
        <v>151</v>
      </c>
      <c r="D635">
        <v>62</v>
      </c>
      <c r="E635" t="s">
        <v>155</v>
      </c>
    </row>
    <row r="636" spans="1:5" x14ac:dyDescent="0.2">
      <c r="A636">
        <v>635</v>
      </c>
      <c r="B636" s="1" t="s">
        <v>99</v>
      </c>
      <c r="C636" t="s">
        <v>151</v>
      </c>
      <c r="D636">
        <v>32</v>
      </c>
      <c r="E636" t="s">
        <v>155</v>
      </c>
    </row>
    <row r="637" spans="1:5" x14ac:dyDescent="0.2">
      <c r="A637">
        <v>636</v>
      </c>
      <c r="B637" s="1" t="s">
        <v>99</v>
      </c>
      <c r="C637" t="s">
        <v>151</v>
      </c>
      <c r="D637">
        <v>57</v>
      </c>
      <c r="E637" t="s">
        <v>155</v>
      </c>
    </row>
    <row r="638" spans="1:5" x14ac:dyDescent="0.2">
      <c r="A638">
        <v>637</v>
      </c>
      <c r="B638" s="1" t="s">
        <v>99</v>
      </c>
      <c r="C638" t="s">
        <v>151</v>
      </c>
      <c r="D638">
        <v>38</v>
      </c>
      <c r="E638" t="s">
        <v>155</v>
      </c>
    </row>
    <row r="639" spans="1:5" x14ac:dyDescent="0.2">
      <c r="A639">
        <v>638</v>
      </c>
      <c r="B639" s="1" t="s">
        <v>100</v>
      </c>
      <c r="C639" t="s">
        <v>151</v>
      </c>
      <c r="D639">
        <v>65</v>
      </c>
      <c r="E639" t="s">
        <v>155</v>
      </c>
    </row>
    <row r="640" spans="1:5" x14ac:dyDescent="0.2">
      <c r="A640">
        <v>639</v>
      </c>
      <c r="B640" s="1" t="s">
        <v>99</v>
      </c>
      <c r="C640" t="s">
        <v>152</v>
      </c>
      <c r="D640">
        <v>59</v>
      </c>
      <c r="E640" t="s">
        <v>155</v>
      </c>
    </row>
    <row r="641" spans="1:5" x14ac:dyDescent="0.2">
      <c r="A641">
        <v>640</v>
      </c>
      <c r="B641" s="1" t="s">
        <v>100</v>
      </c>
      <c r="C641" t="s">
        <v>152</v>
      </c>
      <c r="D641">
        <v>51</v>
      </c>
      <c r="E641" t="s">
        <v>155</v>
      </c>
    </row>
    <row r="642" spans="1:5" x14ac:dyDescent="0.2">
      <c r="A642">
        <v>641</v>
      </c>
      <c r="B642" s="1" t="s">
        <v>99</v>
      </c>
      <c r="C642" t="s">
        <v>151</v>
      </c>
      <c r="D642">
        <v>28</v>
      </c>
      <c r="E642" t="s">
        <v>155</v>
      </c>
    </row>
    <row r="643" spans="1:5" x14ac:dyDescent="0.2">
      <c r="A643">
        <v>642</v>
      </c>
      <c r="B643" s="1" t="s">
        <v>100</v>
      </c>
      <c r="C643" t="s">
        <v>152</v>
      </c>
      <c r="D643">
        <v>32</v>
      </c>
      <c r="E643" t="s">
        <v>155</v>
      </c>
    </row>
    <row r="644" spans="1:5" x14ac:dyDescent="0.2">
      <c r="A644">
        <v>643</v>
      </c>
      <c r="B644" s="1" t="s">
        <v>113</v>
      </c>
      <c r="C644" t="s">
        <v>152</v>
      </c>
      <c r="D644">
        <v>39</v>
      </c>
      <c r="E644" t="s">
        <v>155</v>
      </c>
    </row>
    <row r="645" spans="1:5" x14ac:dyDescent="0.2">
      <c r="A645">
        <v>644</v>
      </c>
      <c r="B645" s="1" t="s">
        <v>106</v>
      </c>
      <c r="C645" t="s">
        <v>151</v>
      </c>
      <c r="D645">
        <v>61</v>
      </c>
      <c r="E645" t="s">
        <v>155</v>
      </c>
    </row>
    <row r="646" spans="1:5" x14ac:dyDescent="0.2">
      <c r="A646">
        <v>645</v>
      </c>
      <c r="B646" s="1" t="s">
        <v>108</v>
      </c>
      <c r="C646" t="s">
        <v>152</v>
      </c>
      <c r="D646">
        <v>40</v>
      </c>
      <c r="E646" t="s">
        <v>155</v>
      </c>
    </row>
    <row r="647" spans="1:5" x14ac:dyDescent="0.2">
      <c r="A647">
        <v>646</v>
      </c>
      <c r="B647" s="1" t="s">
        <v>106</v>
      </c>
      <c r="C647" t="s">
        <v>152</v>
      </c>
      <c r="D647">
        <v>69</v>
      </c>
      <c r="E647" t="s">
        <v>155</v>
      </c>
    </row>
    <row r="648" spans="1:5" x14ac:dyDescent="0.2">
      <c r="A648">
        <v>647</v>
      </c>
      <c r="B648" s="1" t="s">
        <v>101</v>
      </c>
      <c r="C648" t="s">
        <v>151</v>
      </c>
      <c r="D648">
        <v>76</v>
      </c>
      <c r="E648" t="s">
        <v>155</v>
      </c>
    </row>
    <row r="649" spans="1:5" x14ac:dyDescent="0.2">
      <c r="A649">
        <v>648</v>
      </c>
      <c r="B649" s="1" t="s">
        <v>104</v>
      </c>
      <c r="C649" t="s">
        <v>152</v>
      </c>
      <c r="D649">
        <v>34</v>
      </c>
      <c r="E649" t="s">
        <v>155</v>
      </c>
    </row>
    <row r="650" spans="1:5" x14ac:dyDescent="0.2">
      <c r="A650">
        <v>649</v>
      </c>
      <c r="B650" s="1" t="s">
        <v>99</v>
      </c>
      <c r="C650" t="s">
        <v>152</v>
      </c>
      <c r="D650">
        <v>72</v>
      </c>
      <c r="E650" t="s">
        <v>155</v>
      </c>
    </row>
    <row r="651" spans="1:5" x14ac:dyDescent="0.2">
      <c r="A651">
        <v>650</v>
      </c>
      <c r="B651" s="1" t="s">
        <v>100</v>
      </c>
      <c r="C651" t="s">
        <v>152</v>
      </c>
      <c r="D651">
        <v>38</v>
      </c>
      <c r="E651" t="s">
        <v>155</v>
      </c>
    </row>
    <row r="652" spans="1:5" x14ac:dyDescent="0.2">
      <c r="A652">
        <v>651</v>
      </c>
      <c r="B652" s="1" t="s">
        <v>99</v>
      </c>
      <c r="C652" t="s">
        <v>152</v>
      </c>
      <c r="D652">
        <v>61</v>
      </c>
      <c r="E652" t="s">
        <v>155</v>
      </c>
    </row>
    <row r="653" spans="1:5" x14ac:dyDescent="0.2">
      <c r="A653">
        <v>652</v>
      </c>
      <c r="B653" s="1" t="s">
        <v>99</v>
      </c>
      <c r="C653" t="s">
        <v>152</v>
      </c>
      <c r="D653">
        <v>79</v>
      </c>
      <c r="E653" t="s">
        <v>155</v>
      </c>
    </row>
    <row r="654" spans="1:5" x14ac:dyDescent="0.2">
      <c r="A654">
        <v>653</v>
      </c>
      <c r="B654" s="1" t="s">
        <v>100</v>
      </c>
      <c r="C654" t="s">
        <v>152</v>
      </c>
      <c r="D654">
        <v>68</v>
      </c>
      <c r="E654" t="s">
        <v>155</v>
      </c>
    </row>
    <row r="655" spans="1:5" x14ac:dyDescent="0.2">
      <c r="A655">
        <v>654</v>
      </c>
      <c r="B655" s="1" t="s">
        <v>100</v>
      </c>
      <c r="C655" t="s">
        <v>151</v>
      </c>
      <c r="D655">
        <v>51</v>
      </c>
      <c r="E655" t="s">
        <v>155</v>
      </c>
    </row>
    <row r="656" spans="1:5" x14ac:dyDescent="0.2">
      <c r="A656">
        <v>655</v>
      </c>
      <c r="B656" s="1" t="s">
        <v>99</v>
      </c>
      <c r="C656" t="s">
        <v>151</v>
      </c>
      <c r="D656">
        <v>22</v>
      </c>
      <c r="E656" t="s">
        <v>155</v>
      </c>
    </row>
    <row r="657" spans="1:5" x14ac:dyDescent="0.2">
      <c r="A657">
        <v>656</v>
      </c>
      <c r="B657" s="1" t="s">
        <v>99</v>
      </c>
      <c r="C657" t="s">
        <v>152</v>
      </c>
      <c r="D657">
        <v>30</v>
      </c>
      <c r="E657" t="s">
        <v>155</v>
      </c>
    </row>
    <row r="658" spans="1:5" x14ac:dyDescent="0.2">
      <c r="A658">
        <v>657</v>
      </c>
      <c r="B658" s="1" t="s">
        <v>100</v>
      </c>
      <c r="C658" t="s">
        <v>151</v>
      </c>
      <c r="D658">
        <v>63</v>
      </c>
      <c r="E658" t="s">
        <v>155</v>
      </c>
    </row>
    <row r="659" spans="1:5" x14ac:dyDescent="0.2">
      <c r="A659">
        <v>658</v>
      </c>
      <c r="B659" s="1" t="s">
        <v>113</v>
      </c>
      <c r="C659" t="s">
        <v>151</v>
      </c>
      <c r="D659">
        <v>42</v>
      </c>
      <c r="E659" t="s">
        <v>155</v>
      </c>
    </row>
    <row r="660" spans="1:5" x14ac:dyDescent="0.2">
      <c r="A660">
        <v>659</v>
      </c>
      <c r="B660" s="1" t="s">
        <v>101</v>
      </c>
      <c r="C660" t="s">
        <v>152</v>
      </c>
      <c r="D660">
        <v>61</v>
      </c>
      <c r="E660" t="s">
        <v>155</v>
      </c>
    </row>
    <row r="661" spans="1:5" x14ac:dyDescent="0.2">
      <c r="A661">
        <v>660</v>
      </c>
      <c r="B661" s="1" t="s">
        <v>99</v>
      </c>
      <c r="C661" t="s">
        <v>151</v>
      </c>
      <c r="D661">
        <v>23</v>
      </c>
      <c r="E661" t="s">
        <v>155</v>
      </c>
    </row>
    <row r="662" spans="1:5" x14ac:dyDescent="0.2">
      <c r="A662">
        <v>661</v>
      </c>
      <c r="B662" s="1" t="s">
        <v>99</v>
      </c>
      <c r="C662" t="s">
        <v>152</v>
      </c>
      <c r="D662">
        <v>50</v>
      </c>
      <c r="E662" t="s">
        <v>155</v>
      </c>
    </row>
    <row r="663" spans="1:5" x14ac:dyDescent="0.2">
      <c r="A663">
        <v>662</v>
      </c>
      <c r="B663" s="1" t="s">
        <v>99</v>
      </c>
      <c r="C663" t="s">
        <v>152</v>
      </c>
      <c r="D663">
        <v>23</v>
      </c>
      <c r="E663" t="s">
        <v>155</v>
      </c>
    </row>
    <row r="664" spans="1:5" x14ac:dyDescent="0.2">
      <c r="A664">
        <v>663</v>
      </c>
      <c r="B664" s="1" t="s">
        <v>113</v>
      </c>
      <c r="C664" t="s">
        <v>151</v>
      </c>
      <c r="D664">
        <v>26</v>
      </c>
      <c r="E664" t="s">
        <v>155</v>
      </c>
    </row>
    <row r="665" spans="1:5" x14ac:dyDescent="0.2">
      <c r="A665">
        <v>664</v>
      </c>
      <c r="B665" s="1" t="s">
        <v>99</v>
      </c>
      <c r="C665" t="s">
        <v>151</v>
      </c>
      <c r="D665">
        <v>19</v>
      </c>
      <c r="E665" t="s">
        <v>155</v>
      </c>
    </row>
    <row r="666" spans="1:5" x14ac:dyDescent="0.2">
      <c r="A666">
        <v>665</v>
      </c>
      <c r="B666" s="1" t="s">
        <v>100</v>
      </c>
      <c r="C666" t="s">
        <v>151</v>
      </c>
      <c r="D666">
        <v>42</v>
      </c>
      <c r="E666" t="s">
        <v>155</v>
      </c>
    </row>
    <row r="667" spans="1:5" x14ac:dyDescent="0.2">
      <c r="A667">
        <v>666</v>
      </c>
      <c r="B667" s="1" t="s">
        <v>100</v>
      </c>
      <c r="C667" t="s">
        <v>152</v>
      </c>
      <c r="D667">
        <v>24</v>
      </c>
      <c r="E667" t="s">
        <v>155</v>
      </c>
    </row>
    <row r="668" spans="1:5" x14ac:dyDescent="0.2">
      <c r="A668">
        <v>667</v>
      </c>
      <c r="B668" s="1" t="s">
        <v>100</v>
      </c>
      <c r="C668" t="s">
        <v>151</v>
      </c>
      <c r="D668">
        <v>64</v>
      </c>
      <c r="E668" t="s">
        <v>155</v>
      </c>
    </row>
    <row r="669" spans="1:5" x14ac:dyDescent="0.2">
      <c r="A669">
        <v>668</v>
      </c>
      <c r="B669" s="1" t="s">
        <v>100</v>
      </c>
      <c r="C669" t="s">
        <v>152</v>
      </c>
      <c r="D669">
        <v>90</v>
      </c>
      <c r="E669" t="s">
        <v>155</v>
      </c>
    </row>
    <row r="670" spans="1:5" x14ac:dyDescent="0.2">
      <c r="A670">
        <v>669</v>
      </c>
      <c r="B670" s="1" t="s">
        <v>99</v>
      </c>
      <c r="C670" t="s">
        <v>151</v>
      </c>
      <c r="D670">
        <v>33</v>
      </c>
      <c r="E670" t="s">
        <v>155</v>
      </c>
    </row>
    <row r="671" spans="1:5" x14ac:dyDescent="0.2">
      <c r="A671">
        <v>670</v>
      </c>
      <c r="B671" s="1" t="s">
        <v>101</v>
      </c>
      <c r="C671" t="s">
        <v>152</v>
      </c>
      <c r="D671">
        <v>57</v>
      </c>
      <c r="E671" t="s">
        <v>155</v>
      </c>
    </row>
    <row r="672" spans="1:5" x14ac:dyDescent="0.2">
      <c r="A672">
        <v>671</v>
      </c>
      <c r="B672" s="1" t="s">
        <v>113</v>
      </c>
      <c r="C672" t="s">
        <v>151</v>
      </c>
      <c r="D672">
        <v>59</v>
      </c>
      <c r="E672" t="s">
        <v>155</v>
      </c>
    </row>
    <row r="673" spans="1:5" x14ac:dyDescent="0.2">
      <c r="A673">
        <v>672</v>
      </c>
      <c r="B673" s="1" t="s">
        <v>99</v>
      </c>
      <c r="C673" t="s">
        <v>152</v>
      </c>
      <c r="D673">
        <v>78</v>
      </c>
      <c r="E673" t="s">
        <v>155</v>
      </c>
    </row>
    <row r="674" spans="1:5" x14ac:dyDescent="0.2">
      <c r="A674">
        <v>673</v>
      </c>
      <c r="B674" s="1" t="s">
        <v>99</v>
      </c>
      <c r="C674" t="s">
        <v>151</v>
      </c>
      <c r="D674">
        <v>78</v>
      </c>
      <c r="E674" t="s">
        <v>155</v>
      </c>
    </row>
    <row r="675" spans="1:5" x14ac:dyDescent="0.2">
      <c r="A675">
        <v>674</v>
      </c>
      <c r="B675" s="1" t="s">
        <v>99</v>
      </c>
      <c r="C675" t="s">
        <v>152</v>
      </c>
      <c r="D675">
        <v>71</v>
      </c>
      <c r="E675" t="s">
        <v>155</v>
      </c>
    </row>
    <row r="676" spans="1:5" x14ac:dyDescent="0.2">
      <c r="A676">
        <v>675</v>
      </c>
      <c r="B676" s="1" t="s">
        <v>107</v>
      </c>
      <c r="C676" t="s">
        <v>152</v>
      </c>
      <c r="D676">
        <v>52</v>
      </c>
      <c r="E676" t="s">
        <v>155</v>
      </c>
    </row>
    <row r="677" spans="1:5" x14ac:dyDescent="0.2">
      <c r="A677">
        <v>676</v>
      </c>
      <c r="B677" s="1" t="s">
        <v>113</v>
      </c>
      <c r="C677" t="s">
        <v>152</v>
      </c>
      <c r="D677">
        <v>74</v>
      </c>
      <c r="E677" t="s">
        <v>155</v>
      </c>
    </row>
    <row r="678" spans="1:5" x14ac:dyDescent="0.2">
      <c r="A678">
        <v>677</v>
      </c>
      <c r="B678" s="1" t="s">
        <v>104</v>
      </c>
      <c r="C678" t="s">
        <v>151</v>
      </c>
      <c r="D678">
        <v>75</v>
      </c>
      <c r="E678" t="s">
        <v>155</v>
      </c>
    </row>
    <row r="679" spans="1:5" x14ac:dyDescent="0.2">
      <c r="A679">
        <v>678</v>
      </c>
      <c r="B679" s="1" t="s">
        <v>100</v>
      </c>
      <c r="C679" t="s">
        <v>152</v>
      </c>
      <c r="D679">
        <v>29</v>
      </c>
      <c r="E679" t="s">
        <v>155</v>
      </c>
    </row>
    <row r="680" spans="1:5" x14ac:dyDescent="0.2">
      <c r="A680">
        <v>679</v>
      </c>
      <c r="B680" s="1" t="s">
        <v>106</v>
      </c>
      <c r="C680" t="s">
        <v>151</v>
      </c>
      <c r="D680">
        <v>34</v>
      </c>
      <c r="E680" t="s">
        <v>155</v>
      </c>
    </row>
    <row r="681" spans="1:5" x14ac:dyDescent="0.2">
      <c r="A681">
        <v>680</v>
      </c>
      <c r="B681" s="1" t="s">
        <v>99</v>
      </c>
      <c r="C681" t="s">
        <v>151</v>
      </c>
      <c r="D681">
        <v>81</v>
      </c>
      <c r="E681" t="s">
        <v>155</v>
      </c>
    </row>
    <row r="682" spans="1:5" x14ac:dyDescent="0.2">
      <c r="A682">
        <v>681</v>
      </c>
      <c r="B682" s="1" t="s">
        <v>99</v>
      </c>
      <c r="C682" t="s">
        <v>151</v>
      </c>
      <c r="D682">
        <v>62</v>
      </c>
      <c r="E682" t="s">
        <v>155</v>
      </c>
    </row>
    <row r="683" spans="1:5" x14ac:dyDescent="0.2">
      <c r="A683">
        <v>682</v>
      </c>
      <c r="B683" s="1" t="s">
        <v>99</v>
      </c>
      <c r="C683" t="s">
        <v>151</v>
      </c>
      <c r="D683">
        <v>83</v>
      </c>
      <c r="E683" t="s">
        <v>155</v>
      </c>
    </row>
    <row r="684" spans="1:5" x14ac:dyDescent="0.2">
      <c r="A684">
        <v>683</v>
      </c>
      <c r="B684" s="1" t="s">
        <v>101</v>
      </c>
      <c r="C684" t="s">
        <v>152</v>
      </c>
      <c r="D684">
        <v>47</v>
      </c>
      <c r="E684" t="s">
        <v>155</v>
      </c>
    </row>
    <row r="685" spans="1:5" x14ac:dyDescent="0.2">
      <c r="A685">
        <v>684</v>
      </c>
      <c r="B685" s="1" t="s">
        <v>102</v>
      </c>
      <c r="C685" t="s">
        <v>152</v>
      </c>
      <c r="D685">
        <v>88</v>
      </c>
      <c r="E685" t="s">
        <v>155</v>
      </c>
    </row>
    <row r="686" spans="1:5" x14ac:dyDescent="0.2">
      <c r="A686">
        <v>685</v>
      </c>
      <c r="B686" s="1" t="s">
        <v>101</v>
      </c>
      <c r="C686" t="s">
        <v>151</v>
      </c>
      <c r="D686">
        <v>50</v>
      </c>
      <c r="E686" t="s">
        <v>155</v>
      </c>
    </row>
    <row r="687" spans="1:5" x14ac:dyDescent="0.2">
      <c r="A687">
        <v>686</v>
      </c>
      <c r="B687" s="1" t="s">
        <v>113</v>
      </c>
      <c r="C687" t="s">
        <v>152</v>
      </c>
      <c r="D687">
        <v>64</v>
      </c>
      <c r="E687" t="s">
        <v>155</v>
      </c>
    </row>
    <row r="688" spans="1:5" x14ac:dyDescent="0.2">
      <c r="A688">
        <v>687</v>
      </c>
      <c r="B688" s="1" t="s">
        <v>100</v>
      </c>
      <c r="C688" t="s">
        <v>152</v>
      </c>
      <c r="D688">
        <v>50</v>
      </c>
      <c r="E688" t="s">
        <v>155</v>
      </c>
    </row>
    <row r="689" spans="1:5" x14ac:dyDescent="0.2">
      <c r="A689">
        <v>688</v>
      </c>
      <c r="B689" s="1" t="s">
        <v>108</v>
      </c>
      <c r="C689" t="s">
        <v>152</v>
      </c>
      <c r="D689">
        <v>89</v>
      </c>
      <c r="E689" t="s">
        <v>155</v>
      </c>
    </row>
    <row r="690" spans="1:5" x14ac:dyDescent="0.2">
      <c r="A690">
        <v>689</v>
      </c>
      <c r="B690" s="1" t="s">
        <v>100</v>
      </c>
      <c r="C690" t="s">
        <v>152</v>
      </c>
      <c r="D690">
        <v>41</v>
      </c>
      <c r="E690" t="s">
        <v>155</v>
      </c>
    </row>
    <row r="691" spans="1:5" x14ac:dyDescent="0.2">
      <c r="A691">
        <v>690</v>
      </c>
      <c r="B691" s="1" t="s">
        <v>109</v>
      </c>
      <c r="C691" t="s">
        <v>151</v>
      </c>
      <c r="D691">
        <v>37</v>
      </c>
      <c r="E691" t="s">
        <v>155</v>
      </c>
    </row>
    <row r="692" spans="1:5" x14ac:dyDescent="0.2">
      <c r="A692">
        <v>691</v>
      </c>
      <c r="B692" s="1" t="s">
        <v>103</v>
      </c>
      <c r="C692" t="s">
        <v>152</v>
      </c>
      <c r="D692">
        <v>33</v>
      </c>
      <c r="E692" t="s">
        <v>155</v>
      </c>
    </row>
    <row r="693" spans="1:5" x14ac:dyDescent="0.2">
      <c r="A693">
        <v>692</v>
      </c>
      <c r="B693" s="1" t="s">
        <v>99</v>
      </c>
      <c r="C693" t="s">
        <v>152</v>
      </c>
      <c r="D693">
        <v>53</v>
      </c>
      <c r="E693" t="s">
        <v>155</v>
      </c>
    </row>
    <row r="694" spans="1:5" x14ac:dyDescent="0.2">
      <c r="A694">
        <v>693</v>
      </c>
      <c r="B694" s="1" t="s">
        <v>100</v>
      </c>
      <c r="C694" t="s">
        <v>151</v>
      </c>
      <c r="D694">
        <v>59</v>
      </c>
      <c r="E694" t="s">
        <v>155</v>
      </c>
    </row>
    <row r="695" spans="1:5" x14ac:dyDescent="0.2">
      <c r="A695">
        <v>694</v>
      </c>
      <c r="B695" s="1" t="s">
        <v>102</v>
      </c>
      <c r="C695" t="s">
        <v>151</v>
      </c>
      <c r="D695">
        <v>36</v>
      </c>
      <c r="E695" t="s">
        <v>155</v>
      </c>
    </row>
    <row r="696" spans="1:5" x14ac:dyDescent="0.2">
      <c r="A696">
        <v>695</v>
      </c>
      <c r="B696" s="1" t="s">
        <v>100</v>
      </c>
      <c r="C696" t="s">
        <v>151</v>
      </c>
      <c r="D696">
        <v>25</v>
      </c>
      <c r="E696" t="s">
        <v>155</v>
      </c>
    </row>
    <row r="697" spans="1:5" x14ac:dyDescent="0.2">
      <c r="A697">
        <v>696</v>
      </c>
      <c r="B697" s="1" t="s">
        <v>100</v>
      </c>
      <c r="C697" t="s">
        <v>152</v>
      </c>
      <c r="D697">
        <v>30</v>
      </c>
      <c r="E697" t="s">
        <v>155</v>
      </c>
    </row>
    <row r="698" spans="1:5" x14ac:dyDescent="0.2">
      <c r="A698">
        <v>697</v>
      </c>
      <c r="B698" s="1" t="s">
        <v>99</v>
      </c>
      <c r="C698" t="s">
        <v>152</v>
      </c>
      <c r="D698">
        <v>63</v>
      </c>
      <c r="E698" t="s">
        <v>155</v>
      </c>
    </row>
    <row r="699" spans="1:5" x14ac:dyDescent="0.2">
      <c r="A699">
        <v>698</v>
      </c>
      <c r="B699" s="1" t="s">
        <v>101</v>
      </c>
      <c r="C699" t="s">
        <v>151</v>
      </c>
      <c r="D699">
        <v>61</v>
      </c>
      <c r="E699" t="s">
        <v>155</v>
      </c>
    </row>
    <row r="700" spans="1:5" x14ac:dyDescent="0.2">
      <c r="A700">
        <v>699</v>
      </c>
      <c r="B700" s="1" t="s">
        <v>99</v>
      </c>
      <c r="C700" t="s">
        <v>152</v>
      </c>
      <c r="D700">
        <v>68</v>
      </c>
      <c r="E700" t="s">
        <v>155</v>
      </c>
    </row>
    <row r="701" spans="1:5" x14ac:dyDescent="0.2">
      <c r="A701">
        <v>700</v>
      </c>
      <c r="B701" s="1" t="s">
        <v>99</v>
      </c>
      <c r="C701" t="s">
        <v>152</v>
      </c>
      <c r="D701">
        <v>53</v>
      </c>
      <c r="E701" t="s">
        <v>155</v>
      </c>
    </row>
    <row r="702" spans="1:5" x14ac:dyDescent="0.2">
      <c r="A702">
        <v>701</v>
      </c>
      <c r="B702" s="1" t="s">
        <v>113</v>
      </c>
      <c r="C702" t="s">
        <v>151</v>
      </c>
      <c r="D702">
        <v>72</v>
      </c>
      <c r="E702" t="s">
        <v>155</v>
      </c>
    </row>
    <row r="703" spans="1:5" x14ac:dyDescent="0.2">
      <c r="A703">
        <v>702</v>
      </c>
      <c r="B703" s="1" t="s">
        <v>101</v>
      </c>
      <c r="C703" t="s">
        <v>152</v>
      </c>
      <c r="D703">
        <v>75</v>
      </c>
      <c r="E703" t="s">
        <v>155</v>
      </c>
    </row>
    <row r="704" spans="1:5" x14ac:dyDescent="0.2">
      <c r="A704">
        <v>703</v>
      </c>
      <c r="B704" s="1" t="s">
        <v>99</v>
      </c>
      <c r="C704" t="s">
        <v>151</v>
      </c>
      <c r="D704">
        <v>84</v>
      </c>
      <c r="E704" t="s">
        <v>155</v>
      </c>
    </row>
    <row r="705" spans="1:5" x14ac:dyDescent="0.2">
      <c r="A705">
        <v>704</v>
      </c>
      <c r="B705" s="1" t="s">
        <v>99</v>
      </c>
      <c r="C705" t="s">
        <v>152</v>
      </c>
      <c r="D705">
        <v>76</v>
      </c>
      <c r="E705" t="s">
        <v>155</v>
      </c>
    </row>
    <row r="706" spans="1:5" x14ac:dyDescent="0.2">
      <c r="A706">
        <v>705</v>
      </c>
      <c r="B706" s="1" t="s">
        <v>99</v>
      </c>
      <c r="C706" t="s">
        <v>152</v>
      </c>
      <c r="D706">
        <v>20</v>
      </c>
      <c r="E706" t="s">
        <v>155</v>
      </c>
    </row>
    <row r="707" spans="1:5" x14ac:dyDescent="0.2">
      <c r="A707">
        <v>706</v>
      </c>
      <c r="B707" s="1" t="s">
        <v>100</v>
      </c>
      <c r="C707" t="s">
        <v>151</v>
      </c>
      <c r="D707">
        <v>29</v>
      </c>
      <c r="E707" t="s">
        <v>155</v>
      </c>
    </row>
    <row r="708" spans="1:5" x14ac:dyDescent="0.2">
      <c r="A708">
        <v>707</v>
      </c>
      <c r="B708" s="1" t="s">
        <v>100</v>
      </c>
      <c r="C708" t="s">
        <v>151</v>
      </c>
      <c r="D708">
        <v>23</v>
      </c>
      <c r="E708" t="s">
        <v>155</v>
      </c>
    </row>
    <row r="709" spans="1:5" x14ac:dyDescent="0.2">
      <c r="A709">
        <v>708</v>
      </c>
      <c r="B709" s="1" t="s">
        <v>108</v>
      </c>
      <c r="C709" t="s">
        <v>151</v>
      </c>
      <c r="D709">
        <v>39</v>
      </c>
      <c r="E709" t="s">
        <v>155</v>
      </c>
    </row>
    <row r="710" spans="1:5" x14ac:dyDescent="0.2">
      <c r="A710">
        <v>709</v>
      </c>
      <c r="B710" s="1" t="s">
        <v>100</v>
      </c>
      <c r="C710" t="s">
        <v>152</v>
      </c>
      <c r="D710">
        <v>58</v>
      </c>
      <c r="E710" t="s">
        <v>155</v>
      </c>
    </row>
    <row r="711" spans="1:5" x14ac:dyDescent="0.2">
      <c r="A711">
        <v>710</v>
      </c>
      <c r="B711" s="1" t="s">
        <v>99</v>
      </c>
      <c r="C711" t="s">
        <v>151</v>
      </c>
      <c r="D711">
        <v>34</v>
      </c>
      <c r="E711" t="s">
        <v>155</v>
      </c>
    </row>
    <row r="712" spans="1:5" x14ac:dyDescent="0.2">
      <c r="A712">
        <v>711</v>
      </c>
      <c r="B712" s="1" t="s">
        <v>99</v>
      </c>
      <c r="C712" t="s">
        <v>151</v>
      </c>
      <c r="D712">
        <v>56</v>
      </c>
      <c r="E712" t="s">
        <v>155</v>
      </c>
    </row>
    <row r="713" spans="1:5" x14ac:dyDescent="0.2">
      <c r="A713">
        <v>712</v>
      </c>
      <c r="B713" s="1" t="s">
        <v>99</v>
      </c>
      <c r="C713" t="s">
        <v>151</v>
      </c>
      <c r="D713">
        <v>90</v>
      </c>
      <c r="E713" t="s">
        <v>155</v>
      </c>
    </row>
    <row r="714" spans="1:5" x14ac:dyDescent="0.2">
      <c r="A714">
        <v>713</v>
      </c>
      <c r="B714" s="1" t="s">
        <v>102</v>
      </c>
      <c r="C714" t="s">
        <v>151</v>
      </c>
      <c r="D714">
        <v>89</v>
      </c>
      <c r="E714" t="s">
        <v>155</v>
      </c>
    </row>
    <row r="715" spans="1:5" x14ac:dyDescent="0.2">
      <c r="A715">
        <v>714</v>
      </c>
      <c r="B715" s="1" t="s">
        <v>99</v>
      </c>
      <c r="C715" t="s">
        <v>151</v>
      </c>
      <c r="D715">
        <v>25</v>
      </c>
      <c r="E715" t="s">
        <v>155</v>
      </c>
    </row>
    <row r="716" spans="1:5" x14ac:dyDescent="0.2">
      <c r="A716">
        <v>715</v>
      </c>
      <c r="B716" s="1" t="s">
        <v>99</v>
      </c>
      <c r="C716" t="s">
        <v>151</v>
      </c>
      <c r="D716">
        <v>81</v>
      </c>
      <c r="E716" t="s">
        <v>155</v>
      </c>
    </row>
    <row r="717" spans="1:5" x14ac:dyDescent="0.2">
      <c r="A717">
        <v>716</v>
      </c>
      <c r="B717" s="1" t="s">
        <v>113</v>
      </c>
      <c r="C717" t="s">
        <v>151</v>
      </c>
      <c r="D717">
        <v>86</v>
      </c>
      <c r="E717" t="s">
        <v>155</v>
      </c>
    </row>
    <row r="718" spans="1:5" x14ac:dyDescent="0.2">
      <c r="A718">
        <v>717</v>
      </c>
      <c r="B718" s="1" t="s">
        <v>101</v>
      </c>
      <c r="C718" t="s">
        <v>151</v>
      </c>
      <c r="D718">
        <v>90</v>
      </c>
      <c r="E718" t="s">
        <v>155</v>
      </c>
    </row>
    <row r="719" spans="1:5" x14ac:dyDescent="0.2">
      <c r="A719">
        <v>718</v>
      </c>
      <c r="B719" s="1" t="s">
        <v>103</v>
      </c>
      <c r="C719" t="s">
        <v>152</v>
      </c>
      <c r="D719">
        <v>77</v>
      </c>
      <c r="E719" t="s">
        <v>155</v>
      </c>
    </row>
    <row r="720" spans="1:5" x14ac:dyDescent="0.2">
      <c r="A720">
        <v>719</v>
      </c>
      <c r="B720" s="1" t="s">
        <v>103</v>
      </c>
      <c r="C720" t="s">
        <v>151</v>
      </c>
      <c r="D720">
        <v>29</v>
      </c>
      <c r="E720" t="s">
        <v>155</v>
      </c>
    </row>
    <row r="721" spans="1:5" x14ac:dyDescent="0.2">
      <c r="A721">
        <v>720</v>
      </c>
      <c r="B721" s="1" t="s">
        <v>107</v>
      </c>
      <c r="C721" t="s">
        <v>151</v>
      </c>
      <c r="D721">
        <v>36</v>
      </c>
      <c r="E721" t="s">
        <v>155</v>
      </c>
    </row>
    <row r="722" spans="1:5" x14ac:dyDescent="0.2">
      <c r="A722">
        <v>721</v>
      </c>
      <c r="B722" s="1" t="s">
        <v>113</v>
      </c>
      <c r="C722" t="s">
        <v>151</v>
      </c>
      <c r="D722">
        <v>46</v>
      </c>
      <c r="E722" t="s">
        <v>155</v>
      </c>
    </row>
    <row r="723" spans="1:5" x14ac:dyDescent="0.2">
      <c r="A723">
        <v>722</v>
      </c>
      <c r="B723" s="1" t="s">
        <v>99</v>
      </c>
      <c r="C723" t="s">
        <v>152</v>
      </c>
      <c r="D723">
        <v>27</v>
      </c>
      <c r="E723" t="s">
        <v>155</v>
      </c>
    </row>
    <row r="724" spans="1:5" x14ac:dyDescent="0.2">
      <c r="A724">
        <v>723</v>
      </c>
      <c r="B724" s="1" t="s">
        <v>108</v>
      </c>
      <c r="C724" t="s">
        <v>152</v>
      </c>
      <c r="D724">
        <v>80</v>
      </c>
      <c r="E724" t="s">
        <v>155</v>
      </c>
    </row>
    <row r="725" spans="1:5" x14ac:dyDescent="0.2">
      <c r="A725">
        <v>724</v>
      </c>
      <c r="B725" s="1" t="s">
        <v>99</v>
      </c>
      <c r="C725" t="s">
        <v>151</v>
      </c>
      <c r="D725">
        <v>30</v>
      </c>
      <c r="E725" t="s">
        <v>155</v>
      </c>
    </row>
    <row r="726" spans="1:5" x14ac:dyDescent="0.2">
      <c r="A726">
        <v>725</v>
      </c>
      <c r="B726" s="1" t="s">
        <v>99</v>
      </c>
      <c r="C726" t="s">
        <v>151</v>
      </c>
      <c r="D726">
        <v>22</v>
      </c>
      <c r="E726" t="s">
        <v>155</v>
      </c>
    </row>
    <row r="727" spans="1:5" x14ac:dyDescent="0.2">
      <c r="A727">
        <v>726</v>
      </c>
      <c r="B727" s="1" t="s">
        <v>99</v>
      </c>
      <c r="C727" t="s">
        <v>151</v>
      </c>
      <c r="D727">
        <v>73</v>
      </c>
      <c r="E727" t="s">
        <v>155</v>
      </c>
    </row>
    <row r="728" spans="1:5" x14ac:dyDescent="0.2">
      <c r="A728">
        <v>727</v>
      </c>
      <c r="B728" s="1" t="s">
        <v>100</v>
      </c>
      <c r="C728" t="s">
        <v>151</v>
      </c>
      <c r="D728">
        <v>64</v>
      </c>
      <c r="E728" t="s">
        <v>155</v>
      </c>
    </row>
    <row r="729" spans="1:5" x14ac:dyDescent="0.2">
      <c r="A729">
        <v>728</v>
      </c>
      <c r="B729" s="1" t="s">
        <v>113</v>
      </c>
      <c r="C729" t="s">
        <v>152</v>
      </c>
      <c r="D729">
        <v>64</v>
      </c>
      <c r="E729" t="s">
        <v>155</v>
      </c>
    </row>
    <row r="730" spans="1:5" x14ac:dyDescent="0.2">
      <c r="A730">
        <v>729</v>
      </c>
      <c r="B730" s="1" t="s">
        <v>107</v>
      </c>
      <c r="C730" t="s">
        <v>151</v>
      </c>
      <c r="D730">
        <v>66</v>
      </c>
      <c r="E730" t="s">
        <v>155</v>
      </c>
    </row>
    <row r="731" spans="1:5" x14ac:dyDescent="0.2">
      <c r="A731">
        <v>730</v>
      </c>
      <c r="B731" s="1" t="s">
        <v>104</v>
      </c>
      <c r="C731" t="s">
        <v>152</v>
      </c>
      <c r="D731">
        <v>61</v>
      </c>
      <c r="E731" t="s">
        <v>155</v>
      </c>
    </row>
    <row r="732" spans="1:5" x14ac:dyDescent="0.2">
      <c r="A732">
        <v>731</v>
      </c>
      <c r="B732" s="1" t="s">
        <v>100</v>
      </c>
      <c r="C732" t="s">
        <v>151</v>
      </c>
      <c r="D732">
        <v>78</v>
      </c>
      <c r="E732" t="s">
        <v>155</v>
      </c>
    </row>
    <row r="733" spans="1:5" x14ac:dyDescent="0.2">
      <c r="A733">
        <v>732</v>
      </c>
      <c r="B733" s="1" t="s">
        <v>113</v>
      </c>
      <c r="C733" t="s">
        <v>152</v>
      </c>
      <c r="D733">
        <v>86</v>
      </c>
      <c r="E733" t="s">
        <v>155</v>
      </c>
    </row>
    <row r="734" spans="1:5" x14ac:dyDescent="0.2">
      <c r="A734">
        <v>733</v>
      </c>
      <c r="B734" s="1" t="s">
        <v>99</v>
      </c>
      <c r="C734" t="s">
        <v>151</v>
      </c>
      <c r="D734">
        <v>83</v>
      </c>
      <c r="E734" t="s">
        <v>155</v>
      </c>
    </row>
    <row r="735" spans="1:5" x14ac:dyDescent="0.2">
      <c r="A735">
        <v>734</v>
      </c>
      <c r="B735" s="1" t="s">
        <v>107</v>
      </c>
      <c r="C735" t="s">
        <v>152</v>
      </c>
      <c r="D735">
        <v>75</v>
      </c>
      <c r="E735" t="s">
        <v>155</v>
      </c>
    </row>
    <row r="736" spans="1:5" x14ac:dyDescent="0.2">
      <c r="A736">
        <v>735</v>
      </c>
      <c r="B736" s="1" t="s">
        <v>113</v>
      </c>
      <c r="C736" t="s">
        <v>152</v>
      </c>
      <c r="D736">
        <v>42</v>
      </c>
      <c r="E736" t="s">
        <v>155</v>
      </c>
    </row>
    <row r="737" spans="1:5" x14ac:dyDescent="0.2">
      <c r="A737">
        <v>736</v>
      </c>
      <c r="B737" s="1" t="s">
        <v>99</v>
      </c>
      <c r="C737" t="s">
        <v>151</v>
      </c>
      <c r="D737">
        <v>50</v>
      </c>
      <c r="E737" t="s">
        <v>155</v>
      </c>
    </row>
    <row r="738" spans="1:5" x14ac:dyDescent="0.2">
      <c r="A738">
        <v>737</v>
      </c>
      <c r="B738" s="1" t="s">
        <v>113</v>
      </c>
      <c r="C738" t="s">
        <v>151</v>
      </c>
      <c r="D738">
        <v>42</v>
      </c>
      <c r="E738" t="s">
        <v>155</v>
      </c>
    </row>
    <row r="739" spans="1:5" x14ac:dyDescent="0.2">
      <c r="A739">
        <v>738</v>
      </c>
      <c r="B739" s="1" t="s">
        <v>100</v>
      </c>
      <c r="C739" t="s">
        <v>151</v>
      </c>
      <c r="D739">
        <v>25</v>
      </c>
      <c r="E739" t="s">
        <v>155</v>
      </c>
    </row>
    <row r="740" spans="1:5" x14ac:dyDescent="0.2">
      <c r="A740">
        <v>739</v>
      </c>
      <c r="B740" s="1" t="s">
        <v>113</v>
      </c>
      <c r="C740" t="s">
        <v>152</v>
      </c>
      <c r="D740">
        <v>51</v>
      </c>
      <c r="E740" t="s">
        <v>155</v>
      </c>
    </row>
    <row r="741" spans="1:5" x14ac:dyDescent="0.2">
      <c r="A741">
        <v>740</v>
      </c>
      <c r="B741" s="1" t="s">
        <v>113</v>
      </c>
      <c r="C741" t="s">
        <v>151</v>
      </c>
      <c r="D741">
        <v>64</v>
      </c>
      <c r="E741" t="s">
        <v>155</v>
      </c>
    </row>
    <row r="742" spans="1:5" x14ac:dyDescent="0.2">
      <c r="A742">
        <v>741</v>
      </c>
      <c r="B742" s="1" t="s">
        <v>99</v>
      </c>
      <c r="C742" t="s">
        <v>152</v>
      </c>
      <c r="D742">
        <v>25</v>
      </c>
      <c r="E742" t="s">
        <v>155</v>
      </c>
    </row>
    <row r="743" spans="1:5" x14ac:dyDescent="0.2">
      <c r="A743">
        <v>742</v>
      </c>
      <c r="B743" s="1" t="s">
        <v>99</v>
      </c>
      <c r="C743" t="s">
        <v>152</v>
      </c>
      <c r="D743">
        <v>63</v>
      </c>
      <c r="E743" t="s">
        <v>155</v>
      </c>
    </row>
    <row r="744" spans="1:5" x14ac:dyDescent="0.2">
      <c r="A744">
        <v>743</v>
      </c>
      <c r="B744" s="1" t="s">
        <v>99</v>
      </c>
      <c r="C744" t="s">
        <v>152</v>
      </c>
      <c r="D744">
        <v>29</v>
      </c>
      <c r="E744" t="s">
        <v>155</v>
      </c>
    </row>
    <row r="745" spans="1:5" x14ac:dyDescent="0.2">
      <c r="A745">
        <v>744</v>
      </c>
      <c r="B745" s="1" t="s">
        <v>102</v>
      </c>
      <c r="C745" t="s">
        <v>151</v>
      </c>
      <c r="D745">
        <v>33</v>
      </c>
      <c r="E745" t="s">
        <v>155</v>
      </c>
    </row>
    <row r="746" spans="1:5" x14ac:dyDescent="0.2">
      <c r="A746">
        <v>745</v>
      </c>
      <c r="B746" s="1" t="s">
        <v>101</v>
      </c>
      <c r="C746" t="s">
        <v>151</v>
      </c>
      <c r="D746">
        <v>27</v>
      </c>
      <c r="E746" t="s">
        <v>155</v>
      </c>
    </row>
    <row r="747" spans="1:5" x14ac:dyDescent="0.2">
      <c r="A747">
        <v>746</v>
      </c>
      <c r="B747" s="1" t="s">
        <v>99</v>
      </c>
      <c r="C747" t="s">
        <v>152</v>
      </c>
      <c r="D747">
        <v>75</v>
      </c>
      <c r="E747" t="s">
        <v>155</v>
      </c>
    </row>
    <row r="748" spans="1:5" x14ac:dyDescent="0.2">
      <c r="A748">
        <v>747</v>
      </c>
      <c r="B748" s="1" t="s">
        <v>107</v>
      </c>
      <c r="C748" t="s">
        <v>152</v>
      </c>
      <c r="D748">
        <v>64</v>
      </c>
      <c r="E748" t="s">
        <v>155</v>
      </c>
    </row>
    <row r="749" spans="1:5" x14ac:dyDescent="0.2">
      <c r="A749">
        <v>748</v>
      </c>
      <c r="B749" s="1" t="s">
        <v>99</v>
      </c>
      <c r="C749" t="s">
        <v>152</v>
      </c>
      <c r="D749">
        <v>40</v>
      </c>
      <c r="E749" t="s">
        <v>155</v>
      </c>
    </row>
    <row r="750" spans="1:5" x14ac:dyDescent="0.2">
      <c r="A750">
        <v>749</v>
      </c>
      <c r="B750" s="1" t="s">
        <v>106</v>
      </c>
      <c r="C750" t="s">
        <v>152</v>
      </c>
      <c r="D750">
        <v>82</v>
      </c>
      <c r="E750" t="s">
        <v>155</v>
      </c>
    </row>
    <row r="751" spans="1:5" x14ac:dyDescent="0.2">
      <c r="A751">
        <v>750</v>
      </c>
      <c r="B751" s="1" t="s">
        <v>102</v>
      </c>
      <c r="C751" t="s">
        <v>151</v>
      </c>
      <c r="D751">
        <v>40</v>
      </c>
      <c r="E751" t="s">
        <v>155</v>
      </c>
    </row>
    <row r="752" spans="1:5" x14ac:dyDescent="0.2">
      <c r="A752">
        <v>751</v>
      </c>
      <c r="B752" s="1" t="s">
        <v>113</v>
      </c>
      <c r="C752" t="s">
        <v>151</v>
      </c>
      <c r="D752">
        <v>82</v>
      </c>
      <c r="E752" t="s">
        <v>155</v>
      </c>
    </row>
    <row r="753" spans="1:5" x14ac:dyDescent="0.2">
      <c r="A753">
        <v>752</v>
      </c>
      <c r="B753" s="1" t="s">
        <v>104</v>
      </c>
      <c r="C753" t="s">
        <v>151</v>
      </c>
      <c r="D753">
        <v>42</v>
      </c>
      <c r="E753" t="s">
        <v>155</v>
      </c>
    </row>
    <row r="754" spans="1:5" x14ac:dyDescent="0.2">
      <c r="A754">
        <v>753</v>
      </c>
      <c r="B754" s="1" t="s">
        <v>99</v>
      </c>
      <c r="C754" t="s">
        <v>151</v>
      </c>
      <c r="D754">
        <v>18</v>
      </c>
      <c r="E754" t="s">
        <v>155</v>
      </c>
    </row>
    <row r="755" spans="1:5" x14ac:dyDescent="0.2">
      <c r="A755">
        <v>754</v>
      </c>
      <c r="B755" s="1" t="s">
        <v>107</v>
      </c>
      <c r="C755" t="s">
        <v>152</v>
      </c>
      <c r="D755">
        <v>58</v>
      </c>
      <c r="E755" t="s">
        <v>155</v>
      </c>
    </row>
    <row r="756" spans="1:5" x14ac:dyDescent="0.2">
      <c r="A756">
        <v>755</v>
      </c>
      <c r="B756" s="1" t="s">
        <v>99</v>
      </c>
      <c r="C756" t="s">
        <v>151</v>
      </c>
      <c r="D756">
        <v>54</v>
      </c>
      <c r="E756" t="s">
        <v>155</v>
      </c>
    </row>
    <row r="757" spans="1:5" x14ac:dyDescent="0.2">
      <c r="A757">
        <v>756</v>
      </c>
      <c r="B757" s="1" t="s">
        <v>109</v>
      </c>
      <c r="C757" t="s">
        <v>152</v>
      </c>
      <c r="D757">
        <v>42</v>
      </c>
      <c r="E757" t="s">
        <v>155</v>
      </c>
    </row>
    <row r="758" spans="1:5" x14ac:dyDescent="0.2">
      <c r="A758">
        <v>757</v>
      </c>
      <c r="B758" s="1" t="s">
        <v>99</v>
      </c>
      <c r="C758" t="s">
        <v>152</v>
      </c>
      <c r="D758">
        <v>59</v>
      </c>
      <c r="E758" t="s">
        <v>155</v>
      </c>
    </row>
    <row r="759" spans="1:5" x14ac:dyDescent="0.2">
      <c r="A759">
        <v>758</v>
      </c>
      <c r="B759" s="1" t="s">
        <v>99</v>
      </c>
      <c r="C759" t="s">
        <v>152</v>
      </c>
      <c r="D759">
        <v>22</v>
      </c>
      <c r="E759" t="s">
        <v>155</v>
      </c>
    </row>
    <row r="760" spans="1:5" x14ac:dyDescent="0.2">
      <c r="A760">
        <v>759</v>
      </c>
      <c r="B760" s="1" t="s">
        <v>99</v>
      </c>
      <c r="C760" t="s">
        <v>151</v>
      </c>
      <c r="D760">
        <v>19</v>
      </c>
      <c r="E760" t="s">
        <v>155</v>
      </c>
    </row>
    <row r="761" spans="1:5" x14ac:dyDescent="0.2">
      <c r="A761">
        <v>760</v>
      </c>
      <c r="B761" s="1" t="s">
        <v>113</v>
      </c>
      <c r="C761" t="s">
        <v>151</v>
      </c>
      <c r="D761">
        <v>22</v>
      </c>
      <c r="E761" t="s">
        <v>155</v>
      </c>
    </row>
    <row r="762" spans="1:5" x14ac:dyDescent="0.2">
      <c r="A762">
        <v>761</v>
      </c>
      <c r="B762" s="1" t="s">
        <v>108</v>
      </c>
      <c r="C762" t="s">
        <v>151</v>
      </c>
      <c r="D762">
        <v>42</v>
      </c>
      <c r="E762" t="s">
        <v>155</v>
      </c>
    </row>
    <row r="763" spans="1:5" x14ac:dyDescent="0.2">
      <c r="A763">
        <v>762</v>
      </c>
      <c r="B763" s="1" t="s">
        <v>108</v>
      </c>
      <c r="C763" t="s">
        <v>152</v>
      </c>
      <c r="D763">
        <v>21</v>
      </c>
      <c r="E763" t="s">
        <v>155</v>
      </c>
    </row>
    <row r="764" spans="1:5" x14ac:dyDescent="0.2">
      <c r="A764">
        <v>763</v>
      </c>
      <c r="B764" s="1" t="s">
        <v>99</v>
      </c>
      <c r="C764" t="s">
        <v>151</v>
      </c>
      <c r="D764">
        <v>86</v>
      </c>
      <c r="E764" t="s">
        <v>155</v>
      </c>
    </row>
    <row r="765" spans="1:5" x14ac:dyDescent="0.2">
      <c r="A765">
        <v>764</v>
      </c>
      <c r="B765" s="1" t="s">
        <v>100</v>
      </c>
      <c r="C765" t="s">
        <v>152</v>
      </c>
      <c r="D765">
        <v>28</v>
      </c>
      <c r="E765" t="s">
        <v>155</v>
      </c>
    </row>
    <row r="766" spans="1:5" x14ac:dyDescent="0.2">
      <c r="A766">
        <v>765</v>
      </c>
      <c r="B766" s="1" t="s">
        <v>103</v>
      </c>
      <c r="C766" t="s">
        <v>152</v>
      </c>
      <c r="D766">
        <v>46</v>
      </c>
      <c r="E766" t="s">
        <v>155</v>
      </c>
    </row>
    <row r="767" spans="1:5" x14ac:dyDescent="0.2">
      <c r="A767">
        <v>766</v>
      </c>
      <c r="B767" s="1" t="s">
        <v>99</v>
      </c>
      <c r="C767" t="s">
        <v>152</v>
      </c>
      <c r="D767">
        <v>89</v>
      </c>
      <c r="E767" t="s">
        <v>155</v>
      </c>
    </row>
    <row r="768" spans="1:5" x14ac:dyDescent="0.2">
      <c r="A768">
        <v>767</v>
      </c>
      <c r="B768" s="1" t="s">
        <v>99</v>
      </c>
      <c r="C768" t="s">
        <v>151</v>
      </c>
      <c r="D768">
        <v>30</v>
      </c>
      <c r="E768" t="s">
        <v>155</v>
      </c>
    </row>
    <row r="769" spans="1:5" x14ac:dyDescent="0.2">
      <c r="A769">
        <v>768</v>
      </c>
      <c r="B769" s="1" t="s">
        <v>99</v>
      </c>
      <c r="C769" t="s">
        <v>152</v>
      </c>
      <c r="D769">
        <v>38</v>
      </c>
      <c r="E769" t="s">
        <v>155</v>
      </c>
    </row>
    <row r="770" spans="1:5" x14ac:dyDescent="0.2">
      <c r="A770">
        <v>769</v>
      </c>
      <c r="B770" s="1" t="s">
        <v>100</v>
      </c>
      <c r="C770" t="s">
        <v>151</v>
      </c>
      <c r="D770">
        <v>22</v>
      </c>
      <c r="E770" t="s">
        <v>155</v>
      </c>
    </row>
    <row r="771" spans="1:5" x14ac:dyDescent="0.2">
      <c r="A771">
        <v>770</v>
      </c>
      <c r="B771" s="1" t="s">
        <v>113</v>
      </c>
      <c r="C771" t="s">
        <v>151</v>
      </c>
      <c r="D771">
        <v>72</v>
      </c>
      <c r="E771" t="s">
        <v>155</v>
      </c>
    </row>
    <row r="772" spans="1:5" x14ac:dyDescent="0.2">
      <c r="A772">
        <v>771</v>
      </c>
      <c r="B772" s="1" t="s">
        <v>108</v>
      </c>
      <c r="C772" t="s">
        <v>151</v>
      </c>
      <c r="D772">
        <v>82</v>
      </c>
      <c r="E772" t="s">
        <v>155</v>
      </c>
    </row>
    <row r="773" spans="1:5" x14ac:dyDescent="0.2">
      <c r="A773">
        <v>772</v>
      </c>
      <c r="B773" s="1" t="s">
        <v>100</v>
      </c>
      <c r="C773" t="s">
        <v>152</v>
      </c>
      <c r="D773">
        <v>37</v>
      </c>
      <c r="E773" t="s">
        <v>155</v>
      </c>
    </row>
    <row r="774" spans="1:5" x14ac:dyDescent="0.2">
      <c r="A774">
        <v>773</v>
      </c>
      <c r="B774" s="1" t="s">
        <v>99</v>
      </c>
      <c r="C774" t="s">
        <v>151</v>
      </c>
      <c r="D774">
        <v>77</v>
      </c>
      <c r="E774" t="s">
        <v>155</v>
      </c>
    </row>
    <row r="775" spans="1:5" x14ac:dyDescent="0.2">
      <c r="A775">
        <v>774</v>
      </c>
      <c r="B775" s="1" t="s">
        <v>113</v>
      </c>
      <c r="C775" t="s">
        <v>151</v>
      </c>
      <c r="D775">
        <v>84</v>
      </c>
      <c r="E775" t="s">
        <v>155</v>
      </c>
    </row>
    <row r="776" spans="1:5" x14ac:dyDescent="0.2">
      <c r="A776">
        <v>775</v>
      </c>
      <c r="B776" s="1" t="s">
        <v>106</v>
      </c>
      <c r="C776" t="s">
        <v>151</v>
      </c>
      <c r="D776">
        <v>68</v>
      </c>
      <c r="E776" t="s">
        <v>155</v>
      </c>
    </row>
    <row r="777" spans="1:5" x14ac:dyDescent="0.2">
      <c r="A777">
        <v>776</v>
      </c>
      <c r="B777" s="1" t="s">
        <v>107</v>
      </c>
      <c r="C777" t="s">
        <v>151</v>
      </c>
      <c r="D777">
        <v>38</v>
      </c>
      <c r="E777" t="s">
        <v>155</v>
      </c>
    </row>
    <row r="778" spans="1:5" x14ac:dyDescent="0.2">
      <c r="A778">
        <v>777</v>
      </c>
      <c r="B778" s="1" t="s">
        <v>99</v>
      </c>
      <c r="C778" t="s">
        <v>151</v>
      </c>
      <c r="D778">
        <v>53</v>
      </c>
      <c r="E778" t="s">
        <v>155</v>
      </c>
    </row>
    <row r="779" spans="1:5" x14ac:dyDescent="0.2">
      <c r="A779">
        <v>778</v>
      </c>
      <c r="B779" s="1" t="s">
        <v>100</v>
      </c>
      <c r="C779" t="s">
        <v>152</v>
      </c>
      <c r="D779">
        <v>26</v>
      </c>
      <c r="E779" t="s">
        <v>155</v>
      </c>
    </row>
    <row r="780" spans="1:5" x14ac:dyDescent="0.2">
      <c r="A780">
        <v>779</v>
      </c>
      <c r="B780" s="1" t="s">
        <v>99</v>
      </c>
      <c r="C780" t="s">
        <v>151</v>
      </c>
      <c r="D780">
        <v>41</v>
      </c>
      <c r="E780" t="s">
        <v>155</v>
      </c>
    </row>
    <row r="781" spans="1:5" x14ac:dyDescent="0.2">
      <c r="A781">
        <v>780</v>
      </c>
      <c r="B781" s="1" t="s">
        <v>113</v>
      </c>
      <c r="C781" t="s">
        <v>151</v>
      </c>
      <c r="D781">
        <v>43</v>
      </c>
      <c r="E781" t="s">
        <v>155</v>
      </c>
    </row>
    <row r="782" spans="1:5" x14ac:dyDescent="0.2">
      <c r="A782">
        <v>781</v>
      </c>
      <c r="B782" s="1" t="s">
        <v>102</v>
      </c>
      <c r="C782" t="s">
        <v>152</v>
      </c>
      <c r="D782">
        <v>66</v>
      </c>
      <c r="E782" t="s">
        <v>155</v>
      </c>
    </row>
    <row r="783" spans="1:5" x14ac:dyDescent="0.2">
      <c r="A783">
        <v>782</v>
      </c>
      <c r="B783" s="1" t="s">
        <v>99</v>
      </c>
      <c r="C783" t="s">
        <v>152</v>
      </c>
      <c r="D783">
        <v>74</v>
      </c>
      <c r="E783" t="s">
        <v>155</v>
      </c>
    </row>
    <row r="784" spans="1:5" x14ac:dyDescent="0.2">
      <c r="A784">
        <v>783</v>
      </c>
      <c r="B784" s="1" t="s">
        <v>99</v>
      </c>
      <c r="C784" t="s">
        <v>152</v>
      </c>
      <c r="D784">
        <v>42</v>
      </c>
      <c r="E784" t="s">
        <v>155</v>
      </c>
    </row>
    <row r="785" spans="1:5" x14ac:dyDescent="0.2">
      <c r="A785">
        <v>784</v>
      </c>
      <c r="B785" s="1" t="s">
        <v>99</v>
      </c>
      <c r="C785" t="s">
        <v>151</v>
      </c>
      <c r="D785">
        <v>38</v>
      </c>
      <c r="E785" t="s">
        <v>155</v>
      </c>
    </row>
    <row r="786" spans="1:5" x14ac:dyDescent="0.2">
      <c r="A786">
        <v>785</v>
      </c>
      <c r="B786" s="1" t="s">
        <v>111</v>
      </c>
      <c r="C786" t="s">
        <v>151</v>
      </c>
      <c r="D786">
        <v>44</v>
      </c>
      <c r="E786" t="s">
        <v>155</v>
      </c>
    </row>
    <row r="787" spans="1:5" x14ac:dyDescent="0.2">
      <c r="A787">
        <v>786</v>
      </c>
      <c r="B787" s="1" t="s">
        <v>108</v>
      </c>
      <c r="C787" t="s">
        <v>151</v>
      </c>
      <c r="D787">
        <v>61</v>
      </c>
      <c r="E787" t="s">
        <v>155</v>
      </c>
    </row>
    <row r="788" spans="1:5" x14ac:dyDescent="0.2">
      <c r="A788">
        <v>787</v>
      </c>
      <c r="B788" s="1" t="s">
        <v>104</v>
      </c>
      <c r="C788" t="s">
        <v>152</v>
      </c>
      <c r="D788">
        <v>40</v>
      </c>
      <c r="E788" t="s">
        <v>155</v>
      </c>
    </row>
    <row r="789" spans="1:5" x14ac:dyDescent="0.2">
      <c r="A789">
        <v>788</v>
      </c>
      <c r="B789" s="1" t="s">
        <v>101</v>
      </c>
      <c r="C789" t="s">
        <v>151</v>
      </c>
      <c r="D789">
        <v>57</v>
      </c>
      <c r="E789" t="s">
        <v>155</v>
      </c>
    </row>
    <row r="790" spans="1:5" x14ac:dyDescent="0.2">
      <c r="A790">
        <v>789</v>
      </c>
      <c r="B790" s="1" t="s">
        <v>100</v>
      </c>
      <c r="C790" t="s">
        <v>151</v>
      </c>
      <c r="D790">
        <v>62</v>
      </c>
      <c r="E790" t="s">
        <v>155</v>
      </c>
    </row>
    <row r="791" spans="1:5" x14ac:dyDescent="0.2">
      <c r="A791">
        <v>790</v>
      </c>
      <c r="B791" s="1" t="s">
        <v>113</v>
      </c>
      <c r="C791" t="s">
        <v>151</v>
      </c>
      <c r="D791">
        <v>85</v>
      </c>
      <c r="E791" t="s">
        <v>155</v>
      </c>
    </row>
    <row r="792" spans="1:5" x14ac:dyDescent="0.2">
      <c r="A792">
        <v>791</v>
      </c>
      <c r="B792" s="1" t="s">
        <v>99</v>
      </c>
      <c r="C792" t="s">
        <v>151</v>
      </c>
      <c r="D792">
        <v>72</v>
      </c>
      <c r="E792" t="s">
        <v>155</v>
      </c>
    </row>
    <row r="793" spans="1:5" x14ac:dyDescent="0.2">
      <c r="A793">
        <v>792</v>
      </c>
      <c r="B793" s="1" t="s">
        <v>99</v>
      </c>
      <c r="C793" t="s">
        <v>152</v>
      </c>
      <c r="D793">
        <v>23</v>
      </c>
      <c r="E793" t="s">
        <v>155</v>
      </c>
    </row>
    <row r="794" spans="1:5" x14ac:dyDescent="0.2">
      <c r="A794">
        <v>793</v>
      </c>
      <c r="B794" s="1" t="s">
        <v>99</v>
      </c>
      <c r="C794" t="s">
        <v>152</v>
      </c>
      <c r="D794">
        <v>87</v>
      </c>
      <c r="E794" t="s">
        <v>155</v>
      </c>
    </row>
    <row r="795" spans="1:5" x14ac:dyDescent="0.2">
      <c r="A795">
        <v>794</v>
      </c>
      <c r="B795" s="1" t="s">
        <v>102</v>
      </c>
      <c r="C795" t="s">
        <v>151</v>
      </c>
      <c r="D795">
        <v>58</v>
      </c>
      <c r="E795" t="s">
        <v>155</v>
      </c>
    </row>
    <row r="796" spans="1:5" x14ac:dyDescent="0.2">
      <c r="A796">
        <v>795</v>
      </c>
      <c r="B796" s="1" t="s">
        <v>102</v>
      </c>
      <c r="C796" t="s">
        <v>151</v>
      </c>
      <c r="D796">
        <v>83</v>
      </c>
      <c r="E796" t="s">
        <v>155</v>
      </c>
    </row>
    <row r="797" spans="1:5" x14ac:dyDescent="0.2">
      <c r="A797">
        <v>796</v>
      </c>
      <c r="B797" s="1" t="s">
        <v>102</v>
      </c>
      <c r="C797" t="s">
        <v>152</v>
      </c>
      <c r="D797">
        <v>27</v>
      </c>
      <c r="E797" t="s">
        <v>155</v>
      </c>
    </row>
    <row r="798" spans="1:5" x14ac:dyDescent="0.2">
      <c r="A798">
        <v>797</v>
      </c>
      <c r="B798" s="1" t="s">
        <v>99</v>
      </c>
      <c r="C798" t="s">
        <v>152</v>
      </c>
      <c r="D798">
        <v>45</v>
      </c>
      <c r="E798" t="s">
        <v>155</v>
      </c>
    </row>
    <row r="799" spans="1:5" x14ac:dyDescent="0.2">
      <c r="A799">
        <v>798</v>
      </c>
      <c r="B799" s="1" t="s">
        <v>99</v>
      </c>
      <c r="C799" t="s">
        <v>151</v>
      </c>
      <c r="D799">
        <v>52</v>
      </c>
      <c r="E799" t="s">
        <v>155</v>
      </c>
    </row>
    <row r="800" spans="1:5" x14ac:dyDescent="0.2">
      <c r="A800">
        <v>799</v>
      </c>
      <c r="B800" s="1" t="s">
        <v>99</v>
      </c>
      <c r="C800" t="s">
        <v>152</v>
      </c>
      <c r="D800">
        <v>59</v>
      </c>
      <c r="E800" t="s">
        <v>155</v>
      </c>
    </row>
    <row r="801" spans="1:5" x14ac:dyDescent="0.2">
      <c r="A801">
        <v>800</v>
      </c>
      <c r="B801" s="1" t="s">
        <v>111</v>
      </c>
      <c r="C801" t="s">
        <v>151</v>
      </c>
      <c r="D801">
        <v>87</v>
      </c>
      <c r="E801" t="s">
        <v>155</v>
      </c>
    </row>
    <row r="802" spans="1:5" x14ac:dyDescent="0.2">
      <c r="A802">
        <v>801</v>
      </c>
      <c r="B802" s="1" t="s">
        <v>100</v>
      </c>
      <c r="C802" t="s">
        <v>151</v>
      </c>
      <c r="D802">
        <v>77</v>
      </c>
      <c r="E802" t="s">
        <v>155</v>
      </c>
    </row>
    <row r="803" spans="1:5" x14ac:dyDescent="0.2">
      <c r="A803">
        <v>802</v>
      </c>
      <c r="B803" s="1" t="s">
        <v>100</v>
      </c>
      <c r="C803" t="s">
        <v>152</v>
      </c>
      <c r="D803">
        <v>89</v>
      </c>
      <c r="E803" t="s">
        <v>155</v>
      </c>
    </row>
    <row r="804" spans="1:5" x14ac:dyDescent="0.2">
      <c r="A804">
        <v>803</v>
      </c>
      <c r="B804" s="1" t="s">
        <v>102</v>
      </c>
      <c r="C804" t="s">
        <v>151</v>
      </c>
      <c r="D804">
        <v>43</v>
      </c>
      <c r="E804" t="s">
        <v>155</v>
      </c>
    </row>
    <row r="805" spans="1:5" x14ac:dyDescent="0.2">
      <c r="A805">
        <v>804</v>
      </c>
      <c r="B805" s="1" t="s">
        <v>109</v>
      </c>
      <c r="C805" t="s">
        <v>152</v>
      </c>
      <c r="D805">
        <v>56</v>
      </c>
      <c r="E805" t="s">
        <v>155</v>
      </c>
    </row>
    <row r="806" spans="1:5" x14ac:dyDescent="0.2">
      <c r="A806">
        <v>805</v>
      </c>
      <c r="B806" s="1" t="s">
        <v>107</v>
      </c>
      <c r="C806" t="s">
        <v>151</v>
      </c>
      <c r="D806">
        <v>18</v>
      </c>
      <c r="E806" t="s">
        <v>155</v>
      </c>
    </row>
    <row r="807" spans="1:5" x14ac:dyDescent="0.2">
      <c r="A807">
        <v>806</v>
      </c>
      <c r="B807" s="1" t="s">
        <v>108</v>
      </c>
      <c r="C807" t="s">
        <v>151</v>
      </c>
      <c r="D807">
        <v>43</v>
      </c>
      <c r="E807" t="s">
        <v>155</v>
      </c>
    </row>
    <row r="808" spans="1:5" x14ac:dyDescent="0.2">
      <c r="A808">
        <v>807</v>
      </c>
      <c r="B808" s="1" t="s">
        <v>102</v>
      </c>
      <c r="C808" t="s">
        <v>152</v>
      </c>
      <c r="D808">
        <v>56</v>
      </c>
      <c r="E808" t="s">
        <v>155</v>
      </c>
    </row>
    <row r="809" spans="1:5" x14ac:dyDescent="0.2">
      <c r="A809">
        <v>808</v>
      </c>
      <c r="B809" s="1" t="s">
        <v>99</v>
      </c>
      <c r="C809" t="s">
        <v>152</v>
      </c>
      <c r="D809">
        <v>41</v>
      </c>
      <c r="E809" t="s">
        <v>155</v>
      </c>
    </row>
    <row r="810" spans="1:5" x14ac:dyDescent="0.2">
      <c r="A810">
        <v>809</v>
      </c>
      <c r="B810" s="1" t="s">
        <v>99</v>
      </c>
      <c r="C810" t="s">
        <v>151</v>
      </c>
      <c r="D810">
        <v>87</v>
      </c>
      <c r="E810" t="s">
        <v>155</v>
      </c>
    </row>
    <row r="811" spans="1:5" x14ac:dyDescent="0.2">
      <c r="A811">
        <v>810</v>
      </c>
      <c r="B811" s="1" t="s">
        <v>107</v>
      </c>
      <c r="C811" t="s">
        <v>151</v>
      </c>
      <c r="D811">
        <v>45</v>
      </c>
      <c r="E811" t="s">
        <v>155</v>
      </c>
    </row>
    <row r="812" spans="1:5" x14ac:dyDescent="0.2">
      <c r="A812">
        <v>811</v>
      </c>
      <c r="B812" s="1" t="s">
        <v>113</v>
      </c>
      <c r="C812" t="s">
        <v>152</v>
      </c>
      <c r="D812">
        <v>32</v>
      </c>
      <c r="E812" t="s">
        <v>155</v>
      </c>
    </row>
    <row r="813" spans="1:5" x14ac:dyDescent="0.2">
      <c r="A813">
        <v>812</v>
      </c>
      <c r="B813" s="1" t="s">
        <v>102</v>
      </c>
      <c r="C813" t="s">
        <v>152</v>
      </c>
      <c r="D813">
        <v>90</v>
      </c>
      <c r="E813" t="s">
        <v>155</v>
      </c>
    </row>
    <row r="814" spans="1:5" x14ac:dyDescent="0.2">
      <c r="A814">
        <v>813</v>
      </c>
      <c r="B814" s="1" t="s">
        <v>106</v>
      </c>
      <c r="C814" t="s">
        <v>151</v>
      </c>
      <c r="D814">
        <v>51</v>
      </c>
      <c r="E814" t="s">
        <v>155</v>
      </c>
    </row>
    <row r="815" spans="1:5" x14ac:dyDescent="0.2">
      <c r="A815">
        <v>814</v>
      </c>
      <c r="B815" s="1" t="s">
        <v>99</v>
      </c>
      <c r="C815" t="s">
        <v>152</v>
      </c>
      <c r="D815">
        <v>60</v>
      </c>
      <c r="E815" t="s">
        <v>155</v>
      </c>
    </row>
    <row r="816" spans="1:5" x14ac:dyDescent="0.2">
      <c r="A816">
        <v>815</v>
      </c>
      <c r="B816" s="1" t="s">
        <v>99</v>
      </c>
      <c r="C816" t="s">
        <v>151</v>
      </c>
      <c r="D816">
        <v>65</v>
      </c>
      <c r="E816" t="s">
        <v>155</v>
      </c>
    </row>
    <row r="817" spans="1:5" x14ac:dyDescent="0.2">
      <c r="A817">
        <v>816</v>
      </c>
      <c r="B817" s="1" t="s">
        <v>113</v>
      </c>
      <c r="C817" t="s">
        <v>151</v>
      </c>
      <c r="D817">
        <v>46</v>
      </c>
      <c r="E817" t="s">
        <v>155</v>
      </c>
    </row>
    <row r="818" spans="1:5" x14ac:dyDescent="0.2">
      <c r="A818">
        <v>817</v>
      </c>
      <c r="B818" s="1" t="s">
        <v>99</v>
      </c>
      <c r="C818" t="s">
        <v>151</v>
      </c>
      <c r="D818">
        <v>39</v>
      </c>
      <c r="E818" t="s">
        <v>155</v>
      </c>
    </row>
    <row r="819" spans="1:5" x14ac:dyDescent="0.2">
      <c r="A819">
        <v>818</v>
      </c>
      <c r="B819" s="1" t="s">
        <v>100</v>
      </c>
      <c r="C819" t="s">
        <v>152</v>
      </c>
      <c r="D819">
        <v>87</v>
      </c>
      <c r="E819" t="s">
        <v>155</v>
      </c>
    </row>
    <row r="820" spans="1:5" x14ac:dyDescent="0.2">
      <c r="A820">
        <v>819</v>
      </c>
      <c r="B820" s="1" t="s">
        <v>111</v>
      </c>
      <c r="C820" t="s">
        <v>152</v>
      </c>
      <c r="D820">
        <v>75</v>
      </c>
      <c r="E820" t="s">
        <v>155</v>
      </c>
    </row>
    <row r="821" spans="1:5" x14ac:dyDescent="0.2">
      <c r="A821">
        <v>820</v>
      </c>
      <c r="B821" s="1" t="s">
        <v>107</v>
      </c>
      <c r="C821" t="s">
        <v>151</v>
      </c>
      <c r="D821">
        <v>29</v>
      </c>
      <c r="E821" t="s">
        <v>155</v>
      </c>
    </row>
    <row r="822" spans="1:5" x14ac:dyDescent="0.2">
      <c r="A822">
        <v>821</v>
      </c>
      <c r="B822" s="1" t="s">
        <v>107</v>
      </c>
      <c r="C822" t="s">
        <v>152</v>
      </c>
      <c r="D822">
        <v>53</v>
      </c>
      <c r="E822" t="s">
        <v>155</v>
      </c>
    </row>
    <row r="823" spans="1:5" x14ac:dyDescent="0.2">
      <c r="A823">
        <v>822</v>
      </c>
      <c r="B823" s="1" t="s">
        <v>99</v>
      </c>
      <c r="C823" t="s">
        <v>152</v>
      </c>
      <c r="D823">
        <v>18</v>
      </c>
      <c r="E823" t="s">
        <v>155</v>
      </c>
    </row>
    <row r="824" spans="1:5" x14ac:dyDescent="0.2">
      <c r="A824">
        <v>823</v>
      </c>
      <c r="B824" s="1" t="s">
        <v>100</v>
      </c>
      <c r="C824" t="s">
        <v>152</v>
      </c>
      <c r="D824">
        <v>63</v>
      </c>
      <c r="E824" t="s">
        <v>155</v>
      </c>
    </row>
    <row r="825" spans="1:5" x14ac:dyDescent="0.2">
      <c r="A825">
        <v>824</v>
      </c>
      <c r="B825" s="1" t="s">
        <v>99</v>
      </c>
      <c r="C825" t="s">
        <v>152</v>
      </c>
      <c r="D825">
        <v>35</v>
      </c>
      <c r="E825" t="s">
        <v>155</v>
      </c>
    </row>
    <row r="826" spans="1:5" x14ac:dyDescent="0.2">
      <c r="A826">
        <v>825</v>
      </c>
      <c r="B826" s="1" t="s">
        <v>104</v>
      </c>
      <c r="C826" t="s">
        <v>151</v>
      </c>
      <c r="D826">
        <v>90</v>
      </c>
      <c r="E826" t="s">
        <v>155</v>
      </c>
    </row>
    <row r="827" spans="1:5" x14ac:dyDescent="0.2">
      <c r="A827">
        <v>826</v>
      </c>
      <c r="B827" s="1" t="s">
        <v>104</v>
      </c>
      <c r="C827" t="s">
        <v>151</v>
      </c>
      <c r="D827">
        <v>25</v>
      </c>
      <c r="E827" t="s">
        <v>155</v>
      </c>
    </row>
    <row r="828" spans="1:5" x14ac:dyDescent="0.2">
      <c r="A828">
        <v>827</v>
      </c>
      <c r="B828" s="1" t="s">
        <v>106</v>
      </c>
      <c r="C828" t="s">
        <v>151</v>
      </c>
      <c r="D828">
        <v>40</v>
      </c>
      <c r="E828" t="s">
        <v>155</v>
      </c>
    </row>
    <row r="829" spans="1:5" x14ac:dyDescent="0.2">
      <c r="A829">
        <v>828</v>
      </c>
      <c r="B829" s="1" t="s">
        <v>99</v>
      </c>
      <c r="C829" t="s">
        <v>152</v>
      </c>
      <c r="D829">
        <v>48</v>
      </c>
      <c r="E829" t="s">
        <v>155</v>
      </c>
    </row>
    <row r="830" spans="1:5" x14ac:dyDescent="0.2">
      <c r="A830">
        <v>829</v>
      </c>
      <c r="B830" s="1" t="s">
        <v>99</v>
      </c>
      <c r="C830" t="s">
        <v>152</v>
      </c>
      <c r="D830">
        <v>65</v>
      </c>
      <c r="E830" t="s">
        <v>155</v>
      </c>
    </row>
    <row r="831" spans="1:5" x14ac:dyDescent="0.2">
      <c r="A831">
        <v>830</v>
      </c>
      <c r="B831" s="1" t="s">
        <v>100</v>
      </c>
      <c r="C831" t="s">
        <v>151</v>
      </c>
      <c r="D831">
        <v>75</v>
      </c>
      <c r="E831" t="s">
        <v>155</v>
      </c>
    </row>
    <row r="832" spans="1:5" x14ac:dyDescent="0.2">
      <c r="A832">
        <v>831</v>
      </c>
      <c r="B832" s="1" t="s">
        <v>107</v>
      </c>
      <c r="C832" t="s">
        <v>152</v>
      </c>
      <c r="D832">
        <v>69</v>
      </c>
      <c r="E832" t="s">
        <v>155</v>
      </c>
    </row>
    <row r="833" spans="1:5" x14ac:dyDescent="0.2">
      <c r="A833">
        <v>832</v>
      </c>
      <c r="B833" s="1" t="s">
        <v>102</v>
      </c>
      <c r="C833" t="s">
        <v>151</v>
      </c>
      <c r="D833">
        <v>30</v>
      </c>
      <c r="E833" t="s">
        <v>155</v>
      </c>
    </row>
    <row r="834" spans="1:5" x14ac:dyDescent="0.2">
      <c r="A834">
        <v>833</v>
      </c>
      <c r="B834" s="1" t="s">
        <v>110</v>
      </c>
      <c r="C834" t="s">
        <v>152</v>
      </c>
      <c r="D834">
        <v>52</v>
      </c>
      <c r="E834" t="s">
        <v>155</v>
      </c>
    </row>
    <row r="835" spans="1:5" x14ac:dyDescent="0.2">
      <c r="A835">
        <v>834</v>
      </c>
      <c r="B835" s="1" t="s">
        <v>102</v>
      </c>
      <c r="C835" t="s">
        <v>151</v>
      </c>
      <c r="D835">
        <v>76</v>
      </c>
      <c r="E835" t="s">
        <v>155</v>
      </c>
    </row>
    <row r="836" spans="1:5" x14ac:dyDescent="0.2">
      <c r="A836">
        <v>835</v>
      </c>
      <c r="B836" s="1" t="s">
        <v>101</v>
      </c>
      <c r="C836" t="s">
        <v>152</v>
      </c>
      <c r="D836">
        <v>50</v>
      </c>
      <c r="E836" t="s">
        <v>155</v>
      </c>
    </row>
    <row r="837" spans="1:5" x14ac:dyDescent="0.2">
      <c r="A837">
        <v>836</v>
      </c>
      <c r="B837" s="1" t="s">
        <v>113</v>
      </c>
      <c r="C837" t="s">
        <v>151</v>
      </c>
      <c r="D837">
        <v>70</v>
      </c>
      <c r="E837" t="s">
        <v>155</v>
      </c>
    </row>
    <row r="838" spans="1:5" x14ac:dyDescent="0.2">
      <c r="A838">
        <v>837</v>
      </c>
      <c r="B838" s="1" t="s">
        <v>101</v>
      </c>
      <c r="C838" t="s">
        <v>152</v>
      </c>
      <c r="D838">
        <v>55</v>
      </c>
      <c r="E838" t="s">
        <v>155</v>
      </c>
    </row>
    <row r="839" spans="1:5" x14ac:dyDescent="0.2">
      <c r="A839">
        <v>838</v>
      </c>
      <c r="B839" s="1" t="s">
        <v>107</v>
      </c>
      <c r="C839" t="s">
        <v>152</v>
      </c>
      <c r="D839">
        <v>73</v>
      </c>
      <c r="E839" t="s">
        <v>155</v>
      </c>
    </row>
    <row r="840" spans="1:5" x14ac:dyDescent="0.2">
      <c r="A840">
        <v>839</v>
      </c>
      <c r="B840" s="1" t="s">
        <v>113</v>
      </c>
      <c r="C840" t="s">
        <v>151</v>
      </c>
      <c r="D840">
        <v>36</v>
      </c>
      <c r="E840" t="s">
        <v>155</v>
      </c>
    </row>
    <row r="841" spans="1:5" x14ac:dyDescent="0.2">
      <c r="A841">
        <v>840</v>
      </c>
      <c r="B841" s="1" t="s">
        <v>102</v>
      </c>
      <c r="C841" t="s">
        <v>152</v>
      </c>
      <c r="D841">
        <v>47</v>
      </c>
      <c r="E841" t="s">
        <v>155</v>
      </c>
    </row>
    <row r="842" spans="1:5" x14ac:dyDescent="0.2">
      <c r="A842">
        <v>841</v>
      </c>
      <c r="B842" s="1" t="s">
        <v>99</v>
      </c>
      <c r="C842" t="s">
        <v>152</v>
      </c>
      <c r="D842">
        <v>42</v>
      </c>
      <c r="E842" t="s">
        <v>155</v>
      </c>
    </row>
    <row r="843" spans="1:5" x14ac:dyDescent="0.2">
      <c r="A843">
        <v>842</v>
      </c>
      <c r="B843" s="1" t="s">
        <v>100</v>
      </c>
      <c r="C843" t="s">
        <v>151</v>
      </c>
      <c r="D843">
        <v>41</v>
      </c>
      <c r="E843" t="s">
        <v>155</v>
      </c>
    </row>
    <row r="844" spans="1:5" x14ac:dyDescent="0.2">
      <c r="A844">
        <v>843</v>
      </c>
      <c r="B844" s="1" t="s">
        <v>99</v>
      </c>
      <c r="C844" t="s">
        <v>152</v>
      </c>
      <c r="D844">
        <v>37</v>
      </c>
      <c r="E844" t="s">
        <v>155</v>
      </c>
    </row>
    <row r="845" spans="1:5" x14ac:dyDescent="0.2">
      <c r="A845">
        <v>844</v>
      </c>
      <c r="B845" s="1" t="s">
        <v>107</v>
      </c>
      <c r="C845" t="s">
        <v>151</v>
      </c>
      <c r="D845">
        <v>90</v>
      </c>
      <c r="E845" t="s">
        <v>155</v>
      </c>
    </row>
    <row r="846" spans="1:5" x14ac:dyDescent="0.2">
      <c r="A846">
        <v>845</v>
      </c>
      <c r="B846" s="1" t="s">
        <v>104</v>
      </c>
      <c r="C846" t="s">
        <v>151</v>
      </c>
      <c r="D846">
        <v>26</v>
      </c>
      <c r="E846" t="s">
        <v>155</v>
      </c>
    </row>
    <row r="847" spans="1:5" x14ac:dyDescent="0.2">
      <c r="A847">
        <v>846</v>
      </c>
      <c r="B847" s="1" t="s">
        <v>99</v>
      </c>
      <c r="C847" t="s">
        <v>151</v>
      </c>
      <c r="D847">
        <v>80</v>
      </c>
      <c r="E847" t="s">
        <v>155</v>
      </c>
    </row>
    <row r="848" spans="1:5" x14ac:dyDescent="0.2">
      <c r="A848">
        <v>847</v>
      </c>
      <c r="B848" s="1" t="s">
        <v>113</v>
      </c>
      <c r="C848" t="s">
        <v>151</v>
      </c>
      <c r="D848">
        <v>76</v>
      </c>
      <c r="E848" t="s">
        <v>155</v>
      </c>
    </row>
    <row r="849" spans="1:5" x14ac:dyDescent="0.2">
      <c r="A849">
        <v>848</v>
      </c>
      <c r="B849" s="1" t="s">
        <v>99</v>
      </c>
      <c r="C849" t="s">
        <v>152</v>
      </c>
      <c r="D849">
        <v>44</v>
      </c>
      <c r="E849" t="s">
        <v>155</v>
      </c>
    </row>
    <row r="850" spans="1:5" x14ac:dyDescent="0.2">
      <c r="A850">
        <v>849</v>
      </c>
      <c r="B850" s="1" t="s">
        <v>100</v>
      </c>
      <c r="C850" t="s">
        <v>151</v>
      </c>
      <c r="D850">
        <v>19</v>
      </c>
      <c r="E850" t="s">
        <v>155</v>
      </c>
    </row>
    <row r="851" spans="1:5" x14ac:dyDescent="0.2">
      <c r="A851">
        <v>850</v>
      </c>
      <c r="B851" s="1" t="s">
        <v>99</v>
      </c>
      <c r="C851" t="s">
        <v>152</v>
      </c>
      <c r="D851">
        <v>52</v>
      </c>
      <c r="E851" t="s">
        <v>155</v>
      </c>
    </row>
    <row r="852" spans="1:5" x14ac:dyDescent="0.2">
      <c r="A852">
        <v>851</v>
      </c>
      <c r="B852" s="1" t="s">
        <v>106</v>
      </c>
      <c r="C852" t="s">
        <v>152</v>
      </c>
      <c r="D852">
        <v>58</v>
      </c>
      <c r="E852" t="s">
        <v>155</v>
      </c>
    </row>
    <row r="853" spans="1:5" x14ac:dyDescent="0.2">
      <c r="A853">
        <v>852</v>
      </c>
      <c r="B853" s="1" t="s">
        <v>99</v>
      </c>
      <c r="C853" t="s">
        <v>151</v>
      </c>
      <c r="D853">
        <v>84</v>
      </c>
      <c r="E853" t="s">
        <v>155</v>
      </c>
    </row>
    <row r="854" spans="1:5" x14ac:dyDescent="0.2">
      <c r="A854">
        <v>853</v>
      </c>
      <c r="B854" s="1" t="s">
        <v>99</v>
      </c>
      <c r="C854" t="s">
        <v>151</v>
      </c>
      <c r="D854">
        <v>57</v>
      </c>
      <c r="E854" t="s">
        <v>155</v>
      </c>
    </row>
    <row r="855" spans="1:5" x14ac:dyDescent="0.2">
      <c r="A855">
        <v>854</v>
      </c>
      <c r="B855" s="1" t="s">
        <v>99</v>
      </c>
      <c r="C855" t="s">
        <v>152</v>
      </c>
      <c r="D855">
        <v>61</v>
      </c>
      <c r="E855" t="s">
        <v>155</v>
      </c>
    </row>
    <row r="856" spans="1:5" x14ac:dyDescent="0.2">
      <c r="A856">
        <v>855</v>
      </c>
      <c r="B856" s="1" t="s">
        <v>101</v>
      </c>
      <c r="C856" t="s">
        <v>151</v>
      </c>
      <c r="D856">
        <v>43</v>
      </c>
      <c r="E856" t="s">
        <v>155</v>
      </c>
    </row>
    <row r="857" spans="1:5" x14ac:dyDescent="0.2">
      <c r="A857">
        <v>856</v>
      </c>
      <c r="B857" s="1" t="s">
        <v>99</v>
      </c>
      <c r="C857" t="s">
        <v>151</v>
      </c>
      <c r="D857">
        <v>59</v>
      </c>
      <c r="E857" t="s">
        <v>155</v>
      </c>
    </row>
    <row r="858" spans="1:5" x14ac:dyDescent="0.2">
      <c r="A858">
        <v>857</v>
      </c>
      <c r="B858" s="1" t="s">
        <v>99</v>
      </c>
      <c r="C858" t="s">
        <v>152</v>
      </c>
      <c r="D858">
        <v>34</v>
      </c>
      <c r="E858" t="s">
        <v>155</v>
      </c>
    </row>
    <row r="859" spans="1:5" x14ac:dyDescent="0.2">
      <c r="A859">
        <v>858</v>
      </c>
      <c r="B859" s="1" t="s">
        <v>99</v>
      </c>
      <c r="C859" t="s">
        <v>152</v>
      </c>
      <c r="D859">
        <v>35</v>
      </c>
      <c r="E859" t="s">
        <v>155</v>
      </c>
    </row>
    <row r="860" spans="1:5" x14ac:dyDescent="0.2">
      <c r="A860">
        <v>859</v>
      </c>
      <c r="B860" s="1" t="s">
        <v>99</v>
      </c>
      <c r="C860" t="s">
        <v>151</v>
      </c>
      <c r="D860">
        <v>34</v>
      </c>
      <c r="E860" t="s">
        <v>155</v>
      </c>
    </row>
    <row r="861" spans="1:5" x14ac:dyDescent="0.2">
      <c r="A861">
        <v>860</v>
      </c>
      <c r="B861" s="1" t="s">
        <v>104</v>
      </c>
      <c r="C861" t="s">
        <v>151</v>
      </c>
      <c r="D861">
        <v>84</v>
      </c>
      <c r="E861" t="s">
        <v>155</v>
      </c>
    </row>
    <row r="862" spans="1:5" x14ac:dyDescent="0.2">
      <c r="A862">
        <v>861</v>
      </c>
      <c r="B862" s="1" t="s">
        <v>99</v>
      </c>
      <c r="C862" t="s">
        <v>152</v>
      </c>
      <c r="D862">
        <v>78</v>
      </c>
      <c r="E862" t="s">
        <v>155</v>
      </c>
    </row>
    <row r="863" spans="1:5" x14ac:dyDescent="0.2">
      <c r="A863">
        <v>862</v>
      </c>
      <c r="B863" s="1" t="s">
        <v>99</v>
      </c>
      <c r="C863" t="s">
        <v>152</v>
      </c>
      <c r="D863">
        <v>68</v>
      </c>
      <c r="E863" t="s">
        <v>155</v>
      </c>
    </row>
    <row r="864" spans="1:5" x14ac:dyDescent="0.2">
      <c r="A864">
        <v>863</v>
      </c>
      <c r="B864" s="1" t="s">
        <v>111</v>
      </c>
      <c r="C864" t="s">
        <v>152</v>
      </c>
      <c r="D864">
        <v>63</v>
      </c>
      <c r="E864" t="s">
        <v>155</v>
      </c>
    </row>
    <row r="865" spans="1:5" x14ac:dyDescent="0.2">
      <c r="A865">
        <v>864</v>
      </c>
      <c r="B865" s="1" t="s">
        <v>99</v>
      </c>
      <c r="C865" t="s">
        <v>152</v>
      </c>
      <c r="D865">
        <v>78</v>
      </c>
      <c r="E865" t="s">
        <v>155</v>
      </c>
    </row>
    <row r="866" spans="1:5" x14ac:dyDescent="0.2">
      <c r="A866">
        <v>865</v>
      </c>
      <c r="B866" s="1" t="s">
        <v>99</v>
      </c>
      <c r="C866" t="s">
        <v>151</v>
      </c>
      <c r="D866">
        <v>20</v>
      </c>
      <c r="E866" t="s">
        <v>155</v>
      </c>
    </row>
    <row r="867" spans="1:5" x14ac:dyDescent="0.2">
      <c r="A867">
        <v>866</v>
      </c>
      <c r="B867" s="1" t="s">
        <v>106</v>
      </c>
      <c r="C867" t="s">
        <v>152</v>
      </c>
      <c r="D867">
        <v>66</v>
      </c>
      <c r="E867" t="s">
        <v>155</v>
      </c>
    </row>
    <row r="868" spans="1:5" x14ac:dyDescent="0.2">
      <c r="A868">
        <v>867</v>
      </c>
      <c r="B868" s="1" t="s">
        <v>99</v>
      </c>
      <c r="C868" t="s">
        <v>152</v>
      </c>
      <c r="D868">
        <v>76</v>
      </c>
      <c r="E868" t="s">
        <v>155</v>
      </c>
    </row>
    <row r="869" spans="1:5" x14ac:dyDescent="0.2">
      <c r="A869">
        <v>868</v>
      </c>
      <c r="B869" s="1" t="s">
        <v>110</v>
      </c>
      <c r="C869" t="s">
        <v>152</v>
      </c>
      <c r="D869">
        <v>31</v>
      </c>
      <c r="E869" t="s">
        <v>155</v>
      </c>
    </row>
    <row r="870" spans="1:5" x14ac:dyDescent="0.2">
      <c r="A870">
        <v>869</v>
      </c>
      <c r="B870" s="1" t="s">
        <v>104</v>
      </c>
      <c r="C870" t="s">
        <v>152</v>
      </c>
      <c r="D870">
        <v>56</v>
      </c>
      <c r="E870" t="s">
        <v>155</v>
      </c>
    </row>
    <row r="871" spans="1:5" x14ac:dyDescent="0.2">
      <c r="A871">
        <v>870</v>
      </c>
      <c r="B871" s="1" t="s">
        <v>113</v>
      </c>
      <c r="C871" t="s">
        <v>151</v>
      </c>
      <c r="D871">
        <v>65</v>
      </c>
      <c r="E871" t="s">
        <v>155</v>
      </c>
    </row>
    <row r="872" spans="1:5" x14ac:dyDescent="0.2">
      <c r="A872">
        <v>871</v>
      </c>
      <c r="B872" s="1" t="s">
        <v>107</v>
      </c>
      <c r="C872" t="s">
        <v>152</v>
      </c>
      <c r="D872">
        <v>76</v>
      </c>
      <c r="E872" t="s">
        <v>155</v>
      </c>
    </row>
    <row r="873" spans="1:5" x14ac:dyDescent="0.2">
      <c r="A873">
        <v>872</v>
      </c>
      <c r="B873" s="1" t="s">
        <v>100</v>
      </c>
      <c r="C873" t="s">
        <v>152</v>
      </c>
      <c r="D873">
        <v>20</v>
      </c>
      <c r="E873" t="s">
        <v>155</v>
      </c>
    </row>
    <row r="874" spans="1:5" x14ac:dyDescent="0.2">
      <c r="A874">
        <v>873</v>
      </c>
      <c r="B874" s="1" t="s">
        <v>102</v>
      </c>
      <c r="C874" t="s">
        <v>151</v>
      </c>
      <c r="D874">
        <v>75</v>
      </c>
      <c r="E874" t="s">
        <v>155</v>
      </c>
    </row>
    <row r="875" spans="1:5" x14ac:dyDescent="0.2">
      <c r="A875">
        <v>874</v>
      </c>
      <c r="B875" s="1" t="s">
        <v>99</v>
      </c>
      <c r="C875" t="s">
        <v>152</v>
      </c>
      <c r="D875">
        <v>40</v>
      </c>
      <c r="E875" t="s">
        <v>155</v>
      </c>
    </row>
    <row r="876" spans="1:5" x14ac:dyDescent="0.2">
      <c r="A876">
        <v>875</v>
      </c>
      <c r="B876" s="1" t="s">
        <v>99</v>
      </c>
      <c r="C876" t="s">
        <v>151</v>
      </c>
      <c r="D876">
        <v>54</v>
      </c>
      <c r="E876" t="s">
        <v>155</v>
      </c>
    </row>
    <row r="877" spans="1:5" x14ac:dyDescent="0.2">
      <c r="A877">
        <v>876</v>
      </c>
      <c r="B877" s="1" t="s">
        <v>99</v>
      </c>
      <c r="C877" t="s">
        <v>151</v>
      </c>
      <c r="D877">
        <v>76</v>
      </c>
      <c r="E877" t="s">
        <v>155</v>
      </c>
    </row>
    <row r="878" spans="1:5" x14ac:dyDescent="0.2">
      <c r="A878">
        <v>877</v>
      </c>
      <c r="B878" s="1" t="s">
        <v>113</v>
      </c>
      <c r="C878" t="s">
        <v>151</v>
      </c>
      <c r="D878">
        <v>78</v>
      </c>
      <c r="E878" t="s">
        <v>155</v>
      </c>
    </row>
    <row r="879" spans="1:5" x14ac:dyDescent="0.2">
      <c r="A879">
        <v>878</v>
      </c>
      <c r="B879" s="1" t="s">
        <v>113</v>
      </c>
      <c r="C879" t="s">
        <v>152</v>
      </c>
      <c r="D879">
        <v>45</v>
      </c>
      <c r="E879" t="s">
        <v>155</v>
      </c>
    </row>
    <row r="880" spans="1:5" x14ac:dyDescent="0.2">
      <c r="A880">
        <v>879</v>
      </c>
      <c r="B880" s="1" t="s">
        <v>99</v>
      </c>
      <c r="C880" t="s">
        <v>152</v>
      </c>
      <c r="D880">
        <v>70</v>
      </c>
      <c r="E880" t="s">
        <v>155</v>
      </c>
    </row>
    <row r="881" spans="1:5" x14ac:dyDescent="0.2">
      <c r="A881">
        <v>880</v>
      </c>
      <c r="B881" s="1" t="s">
        <v>113</v>
      </c>
      <c r="C881" t="s">
        <v>151</v>
      </c>
      <c r="D881">
        <v>44</v>
      </c>
      <c r="E881" t="s">
        <v>155</v>
      </c>
    </row>
    <row r="882" spans="1:5" x14ac:dyDescent="0.2">
      <c r="A882">
        <v>881</v>
      </c>
      <c r="B882" s="1" t="s">
        <v>100</v>
      </c>
      <c r="C882" t="s">
        <v>151</v>
      </c>
      <c r="D882">
        <v>67</v>
      </c>
      <c r="E882" t="s">
        <v>155</v>
      </c>
    </row>
    <row r="883" spans="1:5" x14ac:dyDescent="0.2">
      <c r="A883">
        <v>882</v>
      </c>
      <c r="B883" s="1" t="s">
        <v>106</v>
      </c>
      <c r="C883" t="s">
        <v>151</v>
      </c>
      <c r="D883">
        <v>20</v>
      </c>
      <c r="E883" t="s">
        <v>155</v>
      </c>
    </row>
    <row r="884" spans="1:5" x14ac:dyDescent="0.2">
      <c r="A884">
        <v>883</v>
      </c>
      <c r="B884" s="1" t="s">
        <v>99</v>
      </c>
      <c r="C884" t="s">
        <v>151</v>
      </c>
      <c r="D884">
        <v>81</v>
      </c>
      <c r="E884" t="s">
        <v>155</v>
      </c>
    </row>
    <row r="885" spans="1:5" x14ac:dyDescent="0.2">
      <c r="A885">
        <v>884</v>
      </c>
      <c r="B885" s="1" t="s">
        <v>113</v>
      </c>
      <c r="C885" t="s">
        <v>151</v>
      </c>
      <c r="D885">
        <v>53</v>
      </c>
      <c r="E885" t="s">
        <v>155</v>
      </c>
    </row>
    <row r="886" spans="1:5" x14ac:dyDescent="0.2">
      <c r="A886">
        <v>885</v>
      </c>
      <c r="B886" s="1" t="s">
        <v>109</v>
      </c>
      <c r="C886" t="s">
        <v>152</v>
      </c>
      <c r="D886">
        <v>53</v>
      </c>
      <c r="E886" t="s">
        <v>155</v>
      </c>
    </row>
    <row r="887" spans="1:5" x14ac:dyDescent="0.2">
      <c r="A887">
        <v>886</v>
      </c>
      <c r="B887" s="1" t="s">
        <v>99</v>
      </c>
      <c r="C887" t="s">
        <v>151</v>
      </c>
      <c r="D887">
        <v>72</v>
      </c>
      <c r="E887" t="s">
        <v>155</v>
      </c>
    </row>
    <row r="888" spans="1:5" x14ac:dyDescent="0.2">
      <c r="A888">
        <v>887</v>
      </c>
      <c r="B888" s="1" t="s">
        <v>99</v>
      </c>
      <c r="C888" t="s">
        <v>152</v>
      </c>
      <c r="D888">
        <v>28</v>
      </c>
      <c r="E888" t="s">
        <v>155</v>
      </c>
    </row>
    <row r="889" spans="1:5" x14ac:dyDescent="0.2">
      <c r="A889">
        <v>888</v>
      </c>
      <c r="B889" s="1" t="s">
        <v>108</v>
      </c>
      <c r="C889" t="s">
        <v>151</v>
      </c>
      <c r="D889">
        <v>71</v>
      </c>
      <c r="E889" t="s">
        <v>155</v>
      </c>
    </row>
    <row r="890" spans="1:5" x14ac:dyDescent="0.2">
      <c r="A890">
        <v>889</v>
      </c>
      <c r="B890" s="1" t="s">
        <v>107</v>
      </c>
      <c r="C890" t="s">
        <v>152</v>
      </c>
      <c r="D890">
        <v>30</v>
      </c>
      <c r="E890" t="s">
        <v>155</v>
      </c>
    </row>
    <row r="891" spans="1:5" x14ac:dyDescent="0.2">
      <c r="A891">
        <v>890</v>
      </c>
      <c r="B891" s="1" t="s">
        <v>99</v>
      </c>
      <c r="C891" t="s">
        <v>152</v>
      </c>
      <c r="D891">
        <v>84</v>
      </c>
      <c r="E891" t="s">
        <v>155</v>
      </c>
    </row>
    <row r="892" spans="1:5" x14ac:dyDescent="0.2">
      <c r="A892">
        <v>891</v>
      </c>
      <c r="B892" s="1" t="s">
        <v>99</v>
      </c>
      <c r="C892" t="s">
        <v>151</v>
      </c>
      <c r="D892">
        <v>45</v>
      </c>
      <c r="E892" t="s">
        <v>155</v>
      </c>
    </row>
    <row r="893" spans="1:5" x14ac:dyDescent="0.2">
      <c r="A893">
        <v>892</v>
      </c>
      <c r="B893" s="1" t="s">
        <v>99</v>
      </c>
      <c r="C893" t="s">
        <v>152</v>
      </c>
      <c r="D893">
        <v>34</v>
      </c>
      <c r="E893" t="s">
        <v>155</v>
      </c>
    </row>
    <row r="894" spans="1:5" x14ac:dyDescent="0.2">
      <c r="A894">
        <v>893</v>
      </c>
      <c r="B894" s="1" t="s">
        <v>99</v>
      </c>
      <c r="C894" t="s">
        <v>151</v>
      </c>
      <c r="D894">
        <v>53</v>
      </c>
      <c r="E894" t="s">
        <v>155</v>
      </c>
    </row>
    <row r="895" spans="1:5" x14ac:dyDescent="0.2">
      <c r="A895">
        <v>894</v>
      </c>
      <c r="B895" s="1" t="s">
        <v>101</v>
      </c>
      <c r="C895" t="s">
        <v>152</v>
      </c>
      <c r="D895">
        <v>37</v>
      </c>
      <c r="E895" t="s">
        <v>155</v>
      </c>
    </row>
    <row r="896" spans="1:5" x14ac:dyDescent="0.2">
      <c r="A896">
        <v>895</v>
      </c>
      <c r="B896" s="1" t="s">
        <v>110</v>
      </c>
      <c r="C896" t="s">
        <v>151</v>
      </c>
      <c r="D896">
        <v>38</v>
      </c>
      <c r="E896" t="s">
        <v>155</v>
      </c>
    </row>
    <row r="897" spans="1:5" x14ac:dyDescent="0.2">
      <c r="A897">
        <v>896</v>
      </c>
      <c r="B897" s="1" t="s">
        <v>101</v>
      </c>
      <c r="C897" t="s">
        <v>152</v>
      </c>
      <c r="D897">
        <v>79</v>
      </c>
      <c r="E897" t="s">
        <v>155</v>
      </c>
    </row>
    <row r="898" spans="1:5" x14ac:dyDescent="0.2">
      <c r="A898">
        <v>897</v>
      </c>
      <c r="B898" s="1" t="s">
        <v>99</v>
      </c>
      <c r="C898" t="s">
        <v>151</v>
      </c>
      <c r="D898">
        <v>46</v>
      </c>
      <c r="E898" t="s">
        <v>155</v>
      </c>
    </row>
    <row r="899" spans="1:5" x14ac:dyDescent="0.2">
      <c r="A899">
        <v>898</v>
      </c>
      <c r="B899" s="1" t="s">
        <v>99</v>
      </c>
      <c r="C899" t="s">
        <v>151</v>
      </c>
      <c r="D899">
        <v>64</v>
      </c>
      <c r="E899" t="s">
        <v>155</v>
      </c>
    </row>
    <row r="900" spans="1:5" x14ac:dyDescent="0.2">
      <c r="A900">
        <v>899</v>
      </c>
      <c r="B900" s="1" t="s">
        <v>99</v>
      </c>
      <c r="C900" t="s">
        <v>152</v>
      </c>
      <c r="D900">
        <v>75</v>
      </c>
      <c r="E900" t="s">
        <v>155</v>
      </c>
    </row>
    <row r="901" spans="1:5" x14ac:dyDescent="0.2">
      <c r="A901">
        <v>900</v>
      </c>
      <c r="B901" s="1" t="s">
        <v>99</v>
      </c>
      <c r="C901" t="s">
        <v>151</v>
      </c>
      <c r="D901">
        <v>54</v>
      </c>
      <c r="E901" t="s">
        <v>155</v>
      </c>
    </row>
    <row r="902" spans="1:5" x14ac:dyDescent="0.2">
      <c r="A902">
        <v>901</v>
      </c>
      <c r="B902" s="1" t="s">
        <v>99</v>
      </c>
      <c r="C902" t="s">
        <v>152</v>
      </c>
      <c r="D902">
        <v>44</v>
      </c>
      <c r="E902" t="s">
        <v>155</v>
      </c>
    </row>
    <row r="903" spans="1:5" x14ac:dyDescent="0.2">
      <c r="A903">
        <v>902</v>
      </c>
      <c r="B903" s="1" t="s">
        <v>99</v>
      </c>
      <c r="C903" t="s">
        <v>152</v>
      </c>
      <c r="D903">
        <v>82</v>
      </c>
      <c r="E903" t="s">
        <v>155</v>
      </c>
    </row>
    <row r="904" spans="1:5" x14ac:dyDescent="0.2">
      <c r="A904">
        <v>903</v>
      </c>
      <c r="B904" s="1" t="s">
        <v>99</v>
      </c>
      <c r="C904" t="s">
        <v>151</v>
      </c>
      <c r="D904">
        <v>27</v>
      </c>
      <c r="E904" t="s">
        <v>155</v>
      </c>
    </row>
    <row r="905" spans="1:5" x14ac:dyDescent="0.2">
      <c r="A905">
        <v>904</v>
      </c>
      <c r="B905" s="1" t="s">
        <v>113</v>
      </c>
      <c r="C905" t="s">
        <v>152</v>
      </c>
      <c r="D905">
        <v>34</v>
      </c>
      <c r="E905" t="s">
        <v>155</v>
      </c>
    </row>
    <row r="906" spans="1:5" x14ac:dyDescent="0.2">
      <c r="A906">
        <v>905</v>
      </c>
      <c r="B906" s="1" t="s">
        <v>99</v>
      </c>
      <c r="C906" t="s">
        <v>152</v>
      </c>
      <c r="D906">
        <v>25</v>
      </c>
      <c r="E906" t="s">
        <v>155</v>
      </c>
    </row>
    <row r="907" spans="1:5" x14ac:dyDescent="0.2">
      <c r="A907">
        <v>906</v>
      </c>
      <c r="B907" s="1" t="s">
        <v>100</v>
      </c>
      <c r="C907" t="s">
        <v>151</v>
      </c>
      <c r="D907">
        <v>79</v>
      </c>
      <c r="E907" t="s">
        <v>155</v>
      </c>
    </row>
    <row r="908" spans="1:5" x14ac:dyDescent="0.2">
      <c r="A908">
        <v>907</v>
      </c>
      <c r="B908" s="1" t="s">
        <v>108</v>
      </c>
      <c r="C908" t="s">
        <v>151</v>
      </c>
      <c r="D908">
        <v>55</v>
      </c>
      <c r="E908" t="s">
        <v>155</v>
      </c>
    </row>
    <row r="909" spans="1:5" x14ac:dyDescent="0.2">
      <c r="A909">
        <v>908</v>
      </c>
      <c r="B909" s="1" t="s">
        <v>99</v>
      </c>
      <c r="C909" t="s">
        <v>152</v>
      </c>
      <c r="D909">
        <v>75</v>
      </c>
      <c r="E909" t="s">
        <v>155</v>
      </c>
    </row>
    <row r="910" spans="1:5" x14ac:dyDescent="0.2">
      <c r="A910">
        <v>909</v>
      </c>
      <c r="B910" s="1" t="s">
        <v>113</v>
      </c>
      <c r="C910" t="s">
        <v>151</v>
      </c>
      <c r="D910">
        <v>71</v>
      </c>
      <c r="E910" t="s">
        <v>155</v>
      </c>
    </row>
    <row r="911" spans="1:5" x14ac:dyDescent="0.2">
      <c r="A911">
        <v>910</v>
      </c>
      <c r="B911" s="1" t="s">
        <v>99</v>
      </c>
      <c r="C911" t="s">
        <v>151</v>
      </c>
      <c r="D911">
        <v>68</v>
      </c>
      <c r="E911" t="s">
        <v>155</v>
      </c>
    </row>
    <row r="912" spans="1:5" x14ac:dyDescent="0.2">
      <c r="A912">
        <v>911</v>
      </c>
      <c r="B912" s="1" t="s">
        <v>99</v>
      </c>
      <c r="C912" t="s">
        <v>152</v>
      </c>
      <c r="D912">
        <v>27</v>
      </c>
      <c r="E912" t="s">
        <v>155</v>
      </c>
    </row>
    <row r="913" spans="1:5" x14ac:dyDescent="0.2">
      <c r="A913">
        <v>912</v>
      </c>
      <c r="B913" s="1" t="s">
        <v>99</v>
      </c>
      <c r="C913" t="s">
        <v>151</v>
      </c>
      <c r="D913">
        <v>33</v>
      </c>
      <c r="E913" t="s">
        <v>155</v>
      </c>
    </row>
    <row r="914" spans="1:5" x14ac:dyDescent="0.2">
      <c r="A914">
        <v>913</v>
      </c>
      <c r="B914" s="1" t="s">
        <v>99</v>
      </c>
      <c r="C914" t="s">
        <v>152</v>
      </c>
      <c r="D914">
        <v>28</v>
      </c>
      <c r="E914" t="s">
        <v>155</v>
      </c>
    </row>
    <row r="915" spans="1:5" x14ac:dyDescent="0.2">
      <c r="A915">
        <v>914</v>
      </c>
      <c r="B915" s="1" t="s">
        <v>99</v>
      </c>
      <c r="C915" t="s">
        <v>152</v>
      </c>
      <c r="D915">
        <v>80</v>
      </c>
      <c r="E915" t="s">
        <v>155</v>
      </c>
    </row>
    <row r="916" spans="1:5" x14ac:dyDescent="0.2">
      <c r="A916">
        <v>915</v>
      </c>
      <c r="B916" s="1" t="s">
        <v>100</v>
      </c>
      <c r="C916" t="s">
        <v>151</v>
      </c>
      <c r="D916">
        <v>39</v>
      </c>
      <c r="E916" t="s">
        <v>155</v>
      </c>
    </row>
    <row r="917" spans="1:5" x14ac:dyDescent="0.2">
      <c r="A917">
        <v>916</v>
      </c>
      <c r="B917" s="1" t="s">
        <v>100</v>
      </c>
      <c r="C917" t="s">
        <v>151</v>
      </c>
      <c r="D917">
        <v>61</v>
      </c>
      <c r="E917" t="s">
        <v>155</v>
      </c>
    </row>
    <row r="918" spans="1:5" x14ac:dyDescent="0.2">
      <c r="A918">
        <v>917</v>
      </c>
      <c r="B918" s="1" t="s">
        <v>103</v>
      </c>
      <c r="C918" t="s">
        <v>152</v>
      </c>
      <c r="D918">
        <v>41</v>
      </c>
      <c r="E918" t="s">
        <v>155</v>
      </c>
    </row>
    <row r="919" spans="1:5" x14ac:dyDescent="0.2">
      <c r="A919">
        <v>918</v>
      </c>
      <c r="B919" s="1" t="s">
        <v>101</v>
      </c>
      <c r="C919" t="s">
        <v>151</v>
      </c>
      <c r="D919">
        <v>75</v>
      </c>
      <c r="E919" t="s">
        <v>155</v>
      </c>
    </row>
    <row r="920" spans="1:5" x14ac:dyDescent="0.2">
      <c r="A920">
        <v>919</v>
      </c>
      <c r="B920" s="1" t="s">
        <v>108</v>
      </c>
      <c r="C920" t="s">
        <v>151</v>
      </c>
      <c r="D920">
        <v>27</v>
      </c>
      <c r="E920" t="s">
        <v>155</v>
      </c>
    </row>
    <row r="921" spans="1:5" x14ac:dyDescent="0.2">
      <c r="A921">
        <v>920</v>
      </c>
      <c r="B921" s="1" t="s">
        <v>99</v>
      </c>
      <c r="C921" t="s">
        <v>151</v>
      </c>
      <c r="D921">
        <v>67</v>
      </c>
      <c r="E921" t="s">
        <v>155</v>
      </c>
    </row>
    <row r="922" spans="1:5" x14ac:dyDescent="0.2">
      <c r="A922">
        <v>921</v>
      </c>
      <c r="B922" s="1" t="s">
        <v>99</v>
      </c>
      <c r="C922" t="s">
        <v>152</v>
      </c>
      <c r="D922">
        <v>52</v>
      </c>
      <c r="E922" t="s">
        <v>155</v>
      </c>
    </row>
    <row r="923" spans="1:5" x14ac:dyDescent="0.2">
      <c r="A923">
        <v>922</v>
      </c>
      <c r="B923" s="1" t="s">
        <v>110</v>
      </c>
      <c r="C923" t="s">
        <v>152</v>
      </c>
      <c r="D923">
        <v>31</v>
      </c>
      <c r="E923" t="s">
        <v>155</v>
      </c>
    </row>
    <row r="924" spans="1:5" x14ac:dyDescent="0.2">
      <c r="A924">
        <v>923</v>
      </c>
      <c r="B924" s="1" t="s">
        <v>99</v>
      </c>
      <c r="C924" t="s">
        <v>152</v>
      </c>
      <c r="D924">
        <v>44</v>
      </c>
      <c r="E924" t="s">
        <v>155</v>
      </c>
    </row>
    <row r="925" spans="1:5" x14ac:dyDescent="0.2">
      <c r="A925">
        <v>924</v>
      </c>
      <c r="B925" s="1" t="s">
        <v>113</v>
      </c>
      <c r="C925" t="s">
        <v>151</v>
      </c>
      <c r="D925">
        <v>64</v>
      </c>
      <c r="E925" t="s">
        <v>155</v>
      </c>
    </row>
    <row r="926" spans="1:5" x14ac:dyDescent="0.2">
      <c r="A926">
        <v>925</v>
      </c>
      <c r="B926" s="1" t="s">
        <v>99</v>
      </c>
      <c r="C926" t="s">
        <v>152</v>
      </c>
      <c r="D926">
        <v>34</v>
      </c>
      <c r="E926" t="s">
        <v>155</v>
      </c>
    </row>
    <row r="927" spans="1:5" x14ac:dyDescent="0.2">
      <c r="A927">
        <v>926</v>
      </c>
      <c r="B927" s="1" t="s">
        <v>99</v>
      </c>
      <c r="C927" t="s">
        <v>152</v>
      </c>
      <c r="D927">
        <v>19</v>
      </c>
      <c r="E927" t="s">
        <v>155</v>
      </c>
    </row>
    <row r="928" spans="1:5" x14ac:dyDescent="0.2">
      <c r="A928">
        <v>927</v>
      </c>
      <c r="B928" s="1" t="s">
        <v>113</v>
      </c>
      <c r="C928" t="s">
        <v>151</v>
      </c>
      <c r="D928">
        <v>77</v>
      </c>
      <c r="E928" t="s">
        <v>155</v>
      </c>
    </row>
    <row r="929" spans="1:5" x14ac:dyDescent="0.2">
      <c r="A929">
        <v>928</v>
      </c>
      <c r="B929" s="1" t="s">
        <v>104</v>
      </c>
      <c r="C929" t="s">
        <v>152</v>
      </c>
      <c r="D929">
        <v>56</v>
      </c>
      <c r="E929" t="s">
        <v>155</v>
      </c>
    </row>
    <row r="930" spans="1:5" x14ac:dyDescent="0.2">
      <c r="A930">
        <v>929</v>
      </c>
      <c r="B930" s="1" t="s">
        <v>99</v>
      </c>
      <c r="C930" t="s">
        <v>151</v>
      </c>
      <c r="D930">
        <v>18</v>
      </c>
      <c r="E930" t="s">
        <v>155</v>
      </c>
    </row>
    <row r="931" spans="1:5" x14ac:dyDescent="0.2">
      <c r="A931">
        <v>930</v>
      </c>
      <c r="B931" s="1" t="s">
        <v>101</v>
      </c>
      <c r="C931" t="s">
        <v>151</v>
      </c>
      <c r="D931">
        <v>21</v>
      </c>
      <c r="E931" t="s">
        <v>155</v>
      </c>
    </row>
    <row r="932" spans="1:5" x14ac:dyDescent="0.2">
      <c r="A932">
        <v>931</v>
      </c>
      <c r="B932" s="1" t="s">
        <v>99</v>
      </c>
      <c r="C932" t="s">
        <v>152</v>
      </c>
      <c r="D932">
        <v>58</v>
      </c>
      <c r="E932" t="s">
        <v>155</v>
      </c>
    </row>
    <row r="933" spans="1:5" x14ac:dyDescent="0.2">
      <c r="A933">
        <v>932</v>
      </c>
      <c r="B933" s="1" t="s">
        <v>110</v>
      </c>
      <c r="C933" t="s">
        <v>152</v>
      </c>
      <c r="D933">
        <v>61</v>
      </c>
      <c r="E933" t="s">
        <v>155</v>
      </c>
    </row>
    <row r="934" spans="1:5" x14ac:dyDescent="0.2">
      <c r="A934">
        <v>933</v>
      </c>
      <c r="B934" s="1" t="s">
        <v>99</v>
      </c>
      <c r="C934" t="s">
        <v>152</v>
      </c>
      <c r="D934">
        <v>24</v>
      </c>
      <c r="E934" t="s">
        <v>155</v>
      </c>
    </row>
    <row r="935" spans="1:5" x14ac:dyDescent="0.2">
      <c r="A935">
        <v>934</v>
      </c>
      <c r="B935" s="1" t="s">
        <v>99</v>
      </c>
      <c r="C935" t="s">
        <v>151</v>
      </c>
      <c r="D935">
        <v>70</v>
      </c>
      <c r="E935" t="s">
        <v>155</v>
      </c>
    </row>
    <row r="936" spans="1:5" x14ac:dyDescent="0.2">
      <c r="A936">
        <v>935</v>
      </c>
      <c r="B936" s="1" t="s">
        <v>100</v>
      </c>
      <c r="C936" t="s">
        <v>151</v>
      </c>
      <c r="D936">
        <v>38</v>
      </c>
      <c r="E936" t="s">
        <v>155</v>
      </c>
    </row>
    <row r="937" spans="1:5" x14ac:dyDescent="0.2">
      <c r="A937">
        <v>936</v>
      </c>
      <c r="B937" s="1" t="s">
        <v>106</v>
      </c>
      <c r="C937" t="s">
        <v>151</v>
      </c>
      <c r="D937">
        <v>34</v>
      </c>
      <c r="E937" t="s">
        <v>155</v>
      </c>
    </row>
    <row r="938" spans="1:5" x14ac:dyDescent="0.2">
      <c r="A938">
        <v>937</v>
      </c>
      <c r="B938" s="1" t="s">
        <v>109</v>
      </c>
      <c r="C938" t="s">
        <v>152</v>
      </c>
      <c r="D938">
        <v>21</v>
      </c>
      <c r="E938" t="s">
        <v>155</v>
      </c>
    </row>
    <row r="939" spans="1:5" x14ac:dyDescent="0.2">
      <c r="A939">
        <v>938</v>
      </c>
      <c r="B939" s="1" t="s">
        <v>109</v>
      </c>
      <c r="C939" t="s">
        <v>152</v>
      </c>
      <c r="D939">
        <v>42</v>
      </c>
      <c r="E939" t="s">
        <v>155</v>
      </c>
    </row>
    <row r="940" spans="1:5" x14ac:dyDescent="0.2">
      <c r="A940">
        <v>939</v>
      </c>
      <c r="B940" s="1" t="s">
        <v>99</v>
      </c>
      <c r="C940" t="s">
        <v>151</v>
      </c>
      <c r="D940">
        <v>73</v>
      </c>
      <c r="E940" t="s">
        <v>155</v>
      </c>
    </row>
    <row r="941" spans="1:5" x14ac:dyDescent="0.2">
      <c r="A941">
        <v>940</v>
      </c>
      <c r="B941" s="1" t="s">
        <v>99</v>
      </c>
      <c r="C941" t="s">
        <v>151</v>
      </c>
      <c r="D941">
        <v>79</v>
      </c>
      <c r="E941" t="s">
        <v>155</v>
      </c>
    </row>
    <row r="942" spans="1:5" x14ac:dyDescent="0.2">
      <c r="A942">
        <v>941</v>
      </c>
      <c r="B942" s="1" t="s">
        <v>99</v>
      </c>
      <c r="C942" t="s">
        <v>151</v>
      </c>
      <c r="D942">
        <v>81</v>
      </c>
      <c r="E942" t="s">
        <v>155</v>
      </c>
    </row>
    <row r="943" spans="1:5" x14ac:dyDescent="0.2">
      <c r="A943">
        <v>942</v>
      </c>
      <c r="B943" s="1" t="s">
        <v>99</v>
      </c>
      <c r="C943" t="s">
        <v>152</v>
      </c>
      <c r="D943">
        <v>72</v>
      </c>
      <c r="E943" t="s">
        <v>155</v>
      </c>
    </row>
    <row r="944" spans="1:5" x14ac:dyDescent="0.2">
      <c r="A944">
        <v>943</v>
      </c>
      <c r="B944" s="1" t="s">
        <v>99</v>
      </c>
      <c r="C944" t="s">
        <v>152</v>
      </c>
      <c r="D944">
        <v>48</v>
      </c>
      <c r="E944" t="s">
        <v>155</v>
      </c>
    </row>
    <row r="945" spans="1:5" x14ac:dyDescent="0.2">
      <c r="A945">
        <v>944</v>
      </c>
      <c r="B945" s="1" t="s">
        <v>113</v>
      </c>
      <c r="C945" t="s">
        <v>151</v>
      </c>
      <c r="D945">
        <v>38</v>
      </c>
      <c r="E945" t="s">
        <v>155</v>
      </c>
    </row>
    <row r="946" spans="1:5" x14ac:dyDescent="0.2">
      <c r="A946">
        <v>945</v>
      </c>
      <c r="B946" s="1" t="s">
        <v>100</v>
      </c>
      <c r="C946" t="s">
        <v>151</v>
      </c>
      <c r="D946">
        <v>34</v>
      </c>
      <c r="E946" t="s">
        <v>155</v>
      </c>
    </row>
    <row r="947" spans="1:5" x14ac:dyDescent="0.2">
      <c r="A947">
        <v>946</v>
      </c>
      <c r="B947" s="1" t="s">
        <v>113</v>
      </c>
      <c r="C947" t="s">
        <v>151</v>
      </c>
      <c r="D947">
        <v>27</v>
      </c>
      <c r="E947" t="s">
        <v>155</v>
      </c>
    </row>
    <row r="948" spans="1:5" x14ac:dyDescent="0.2">
      <c r="A948">
        <v>947</v>
      </c>
      <c r="B948" s="1" t="s">
        <v>101</v>
      </c>
      <c r="C948" t="s">
        <v>152</v>
      </c>
      <c r="D948">
        <v>22</v>
      </c>
      <c r="E948" t="s">
        <v>155</v>
      </c>
    </row>
    <row r="949" spans="1:5" x14ac:dyDescent="0.2">
      <c r="A949">
        <v>948</v>
      </c>
      <c r="B949" s="1" t="s">
        <v>102</v>
      </c>
      <c r="C949" t="s">
        <v>151</v>
      </c>
      <c r="D949">
        <v>27</v>
      </c>
      <c r="E949" t="s">
        <v>155</v>
      </c>
    </row>
    <row r="950" spans="1:5" x14ac:dyDescent="0.2">
      <c r="A950">
        <v>949</v>
      </c>
      <c r="B950" s="1" t="s">
        <v>103</v>
      </c>
      <c r="C950" t="s">
        <v>151</v>
      </c>
      <c r="D950">
        <v>71</v>
      </c>
      <c r="E950" t="s">
        <v>155</v>
      </c>
    </row>
    <row r="951" spans="1:5" x14ac:dyDescent="0.2">
      <c r="A951">
        <v>950</v>
      </c>
      <c r="B951" s="1" t="s">
        <v>100</v>
      </c>
      <c r="C951" t="s">
        <v>151</v>
      </c>
      <c r="D951">
        <v>72</v>
      </c>
      <c r="E951" t="s">
        <v>155</v>
      </c>
    </row>
    <row r="952" spans="1:5" x14ac:dyDescent="0.2">
      <c r="A952">
        <v>951</v>
      </c>
      <c r="B952" s="1" t="s">
        <v>109</v>
      </c>
      <c r="C952" t="s">
        <v>151</v>
      </c>
      <c r="D952">
        <v>22</v>
      </c>
      <c r="E952" t="s">
        <v>155</v>
      </c>
    </row>
    <row r="953" spans="1:5" x14ac:dyDescent="0.2">
      <c r="A953">
        <v>952</v>
      </c>
      <c r="B953" s="1" t="s">
        <v>104</v>
      </c>
      <c r="C953" t="s">
        <v>152</v>
      </c>
      <c r="D953">
        <v>40</v>
      </c>
      <c r="E953" t="s">
        <v>155</v>
      </c>
    </row>
    <row r="954" spans="1:5" x14ac:dyDescent="0.2">
      <c r="A954">
        <v>953</v>
      </c>
      <c r="B954" s="1" t="s">
        <v>99</v>
      </c>
      <c r="C954" t="s">
        <v>152</v>
      </c>
      <c r="D954">
        <v>67</v>
      </c>
      <c r="E954" t="s">
        <v>155</v>
      </c>
    </row>
    <row r="955" spans="1:5" x14ac:dyDescent="0.2">
      <c r="A955">
        <v>954</v>
      </c>
      <c r="B955" s="1" t="s">
        <v>113</v>
      </c>
      <c r="C955" t="s">
        <v>151</v>
      </c>
      <c r="D955">
        <v>35</v>
      </c>
      <c r="E955" t="s">
        <v>155</v>
      </c>
    </row>
    <row r="956" spans="1:5" x14ac:dyDescent="0.2">
      <c r="A956">
        <v>955</v>
      </c>
      <c r="B956" s="1" t="s">
        <v>113</v>
      </c>
      <c r="C956" t="s">
        <v>151</v>
      </c>
      <c r="D956">
        <v>85</v>
      </c>
      <c r="E956" t="s">
        <v>155</v>
      </c>
    </row>
    <row r="957" spans="1:5" x14ac:dyDescent="0.2">
      <c r="A957">
        <v>956</v>
      </c>
      <c r="B957" s="1" t="s">
        <v>100</v>
      </c>
      <c r="C957" t="s">
        <v>151</v>
      </c>
      <c r="D957">
        <v>27</v>
      </c>
      <c r="E957" t="s">
        <v>155</v>
      </c>
    </row>
    <row r="958" spans="1:5" x14ac:dyDescent="0.2">
      <c r="A958">
        <v>957</v>
      </c>
      <c r="B958" s="1" t="s">
        <v>103</v>
      </c>
      <c r="C958" t="s">
        <v>152</v>
      </c>
      <c r="D958">
        <v>24</v>
      </c>
      <c r="E958" t="s">
        <v>155</v>
      </c>
    </row>
    <row r="959" spans="1:5" x14ac:dyDescent="0.2">
      <c r="A959">
        <v>958</v>
      </c>
      <c r="B959" s="1" t="s">
        <v>99</v>
      </c>
      <c r="C959" t="s">
        <v>151</v>
      </c>
      <c r="D959">
        <v>89</v>
      </c>
      <c r="E959" t="s">
        <v>155</v>
      </c>
    </row>
    <row r="960" spans="1:5" x14ac:dyDescent="0.2">
      <c r="A960">
        <v>959</v>
      </c>
      <c r="B960" s="1" t="s">
        <v>99</v>
      </c>
      <c r="C960" t="s">
        <v>152</v>
      </c>
      <c r="D960">
        <v>72</v>
      </c>
      <c r="E960" t="s">
        <v>155</v>
      </c>
    </row>
    <row r="961" spans="1:5" x14ac:dyDescent="0.2">
      <c r="A961">
        <v>960</v>
      </c>
      <c r="B961" s="1" t="s">
        <v>99</v>
      </c>
      <c r="C961" t="s">
        <v>152</v>
      </c>
      <c r="D961">
        <v>69</v>
      </c>
      <c r="E961" t="s">
        <v>155</v>
      </c>
    </row>
    <row r="962" spans="1:5" x14ac:dyDescent="0.2">
      <c r="A962">
        <v>961</v>
      </c>
      <c r="B962" s="1" t="s">
        <v>99</v>
      </c>
      <c r="C962" t="s">
        <v>152</v>
      </c>
      <c r="D962">
        <v>82</v>
      </c>
      <c r="E962" t="s">
        <v>155</v>
      </c>
    </row>
    <row r="963" spans="1:5" x14ac:dyDescent="0.2">
      <c r="A963">
        <v>962</v>
      </c>
      <c r="B963" s="1" t="s">
        <v>99</v>
      </c>
      <c r="C963" t="s">
        <v>152</v>
      </c>
      <c r="D963">
        <v>75</v>
      </c>
      <c r="E963" t="s">
        <v>155</v>
      </c>
    </row>
    <row r="964" spans="1:5" x14ac:dyDescent="0.2">
      <c r="A964">
        <v>963</v>
      </c>
      <c r="B964" s="1" t="s">
        <v>99</v>
      </c>
      <c r="C964" t="s">
        <v>152</v>
      </c>
      <c r="D964">
        <v>67</v>
      </c>
      <c r="E964" t="s">
        <v>155</v>
      </c>
    </row>
    <row r="965" spans="1:5" x14ac:dyDescent="0.2">
      <c r="A965">
        <v>964</v>
      </c>
      <c r="B965" s="1" t="s">
        <v>100</v>
      </c>
      <c r="C965" t="s">
        <v>152</v>
      </c>
      <c r="D965">
        <v>53</v>
      </c>
      <c r="E965" t="s">
        <v>155</v>
      </c>
    </row>
    <row r="966" spans="1:5" x14ac:dyDescent="0.2">
      <c r="A966">
        <v>965</v>
      </c>
      <c r="B966" s="1" t="s">
        <v>101</v>
      </c>
      <c r="C966" t="s">
        <v>152</v>
      </c>
      <c r="D966">
        <v>50</v>
      </c>
      <c r="E966" t="s">
        <v>155</v>
      </c>
    </row>
    <row r="967" spans="1:5" x14ac:dyDescent="0.2">
      <c r="A967">
        <v>966</v>
      </c>
      <c r="B967" s="1" t="s">
        <v>99</v>
      </c>
      <c r="C967" t="s">
        <v>152</v>
      </c>
      <c r="D967">
        <v>49</v>
      </c>
      <c r="E967" t="s">
        <v>155</v>
      </c>
    </row>
    <row r="968" spans="1:5" x14ac:dyDescent="0.2">
      <c r="A968">
        <v>967</v>
      </c>
      <c r="B968" s="1" t="s">
        <v>101</v>
      </c>
      <c r="C968" t="s">
        <v>152</v>
      </c>
      <c r="D968">
        <v>54</v>
      </c>
      <c r="E968" t="s">
        <v>155</v>
      </c>
    </row>
    <row r="969" spans="1:5" x14ac:dyDescent="0.2">
      <c r="A969">
        <v>968</v>
      </c>
      <c r="B969" s="1" t="s">
        <v>108</v>
      </c>
      <c r="C969" t="s">
        <v>152</v>
      </c>
      <c r="D969">
        <v>44</v>
      </c>
      <c r="E969" t="s">
        <v>155</v>
      </c>
    </row>
    <row r="970" spans="1:5" x14ac:dyDescent="0.2">
      <c r="A970">
        <v>969</v>
      </c>
      <c r="B970" s="1" t="s">
        <v>99</v>
      </c>
      <c r="C970" t="s">
        <v>152</v>
      </c>
      <c r="D970">
        <v>27</v>
      </c>
      <c r="E970" t="s">
        <v>155</v>
      </c>
    </row>
    <row r="971" spans="1:5" x14ac:dyDescent="0.2">
      <c r="A971">
        <v>970</v>
      </c>
      <c r="B971" s="1" t="s">
        <v>99</v>
      </c>
      <c r="C971" t="s">
        <v>151</v>
      </c>
      <c r="D971">
        <v>72</v>
      </c>
      <c r="E971" t="s">
        <v>155</v>
      </c>
    </row>
    <row r="972" spans="1:5" x14ac:dyDescent="0.2">
      <c r="A972">
        <v>971</v>
      </c>
      <c r="B972" s="1" t="s">
        <v>100</v>
      </c>
      <c r="C972" t="s">
        <v>151</v>
      </c>
      <c r="D972">
        <v>22</v>
      </c>
      <c r="E972" t="s">
        <v>155</v>
      </c>
    </row>
    <row r="973" spans="1:5" x14ac:dyDescent="0.2">
      <c r="A973">
        <v>972</v>
      </c>
      <c r="B973" s="1" t="s">
        <v>100</v>
      </c>
      <c r="C973" t="s">
        <v>152</v>
      </c>
      <c r="D973">
        <v>35</v>
      </c>
      <c r="E973" t="s">
        <v>155</v>
      </c>
    </row>
    <row r="974" spans="1:5" x14ac:dyDescent="0.2">
      <c r="A974">
        <v>973</v>
      </c>
      <c r="B974" s="1" t="s">
        <v>99</v>
      </c>
      <c r="C974" t="s">
        <v>151</v>
      </c>
      <c r="D974">
        <v>50</v>
      </c>
      <c r="E974" t="s">
        <v>155</v>
      </c>
    </row>
    <row r="975" spans="1:5" x14ac:dyDescent="0.2">
      <c r="A975">
        <v>974</v>
      </c>
      <c r="B975" s="1" t="s">
        <v>100</v>
      </c>
      <c r="C975" t="s">
        <v>151</v>
      </c>
      <c r="D975">
        <v>60</v>
      </c>
      <c r="E975" t="s">
        <v>155</v>
      </c>
    </row>
    <row r="976" spans="1:5" x14ac:dyDescent="0.2">
      <c r="A976">
        <v>975</v>
      </c>
      <c r="B976" s="1" t="s">
        <v>100</v>
      </c>
      <c r="C976" t="s">
        <v>151</v>
      </c>
      <c r="D976">
        <v>45</v>
      </c>
      <c r="E976" t="s">
        <v>155</v>
      </c>
    </row>
    <row r="977" spans="1:5" x14ac:dyDescent="0.2">
      <c r="A977">
        <v>976</v>
      </c>
      <c r="B977" s="1" t="s">
        <v>106</v>
      </c>
      <c r="C977" t="s">
        <v>152</v>
      </c>
      <c r="D977">
        <v>48</v>
      </c>
      <c r="E977" t="s">
        <v>155</v>
      </c>
    </row>
    <row r="978" spans="1:5" x14ac:dyDescent="0.2">
      <c r="A978">
        <v>977</v>
      </c>
      <c r="B978" s="1" t="s">
        <v>113</v>
      </c>
      <c r="C978" t="s">
        <v>151</v>
      </c>
      <c r="D978">
        <v>31</v>
      </c>
      <c r="E978" t="s">
        <v>155</v>
      </c>
    </row>
    <row r="979" spans="1:5" x14ac:dyDescent="0.2">
      <c r="A979">
        <v>978</v>
      </c>
      <c r="B979" s="1" t="s">
        <v>99</v>
      </c>
      <c r="C979" t="s">
        <v>151</v>
      </c>
      <c r="D979">
        <v>80</v>
      </c>
      <c r="E979" t="s">
        <v>155</v>
      </c>
    </row>
    <row r="980" spans="1:5" x14ac:dyDescent="0.2">
      <c r="A980">
        <v>979</v>
      </c>
      <c r="B980" s="1" t="s">
        <v>101</v>
      </c>
      <c r="C980" t="s">
        <v>152</v>
      </c>
      <c r="D980">
        <v>47</v>
      </c>
      <c r="E980" t="s">
        <v>155</v>
      </c>
    </row>
    <row r="981" spans="1:5" x14ac:dyDescent="0.2">
      <c r="A981">
        <v>980</v>
      </c>
      <c r="B981" s="1" t="s">
        <v>99</v>
      </c>
      <c r="C981" t="s">
        <v>152</v>
      </c>
      <c r="D981">
        <v>31</v>
      </c>
      <c r="E981" t="s">
        <v>155</v>
      </c>
    </row>
    <row r="982" spans="1:5" x14ac:dyDescent="0.2">
      <c r="A982">
        <v>981</v>
      </c>
      <c r="B982" s="1" t="s">
        <v>99</v>
      </c>
      <c r="C982" t="s">
        <v>152</v>
      </c>
      <c r="D982">
        <v>78</v>
      </c>
      <c r="E982" t="s">
        <v>155</v>
      </c>
    </row>
    <row r="983" spans="1:5" x14ac:dyDescent="0.2">
      <c r="A983">
        <v>982</v>
      </c>
      <c r="B983" s="1" t="s">
        <v>99</v>
      </c>
      <c r="C983" t="s">
        <v>152</v>
      </c>
      <c r="D983">
        <v>35</v>
      </c>
      <c r="E983" t="s">
        <v>155</v>
      </c>
    </row>
    <row r="984" spans="1:5" x14ac:dyDescent="0.2">
      <c r="A984">
        <v>983</v>
      </c>
      <c r="B984" s="1" t="s">
        <v>99</v>
      </c>
      <c r="C984" t="s">
        <v>151</v>
      </c>
      <c r="D984">
        <v>58</v>
      </c>
      <c r="E984" t="s">
        <v>155</v>
      </c>
    </row>
    <row r="985" spans="1:5" x14ac:dyDescent="0.2">
      <c r="A985">
        <v>984</v>
      </c>
      <c r="B985" s="1" t="s">
        <v>100</v>
      </c>
      <c r="C985" t="s">
        <v>152</v>
      </c>
      <c r="D985">
        <v>33</v>
      </c>
      <c r="E985" t="s">
        <v>155</v>
      </c>
    </row>
    <row r="986" spans="1:5" x14ac:dyDescent="0.2">
      <c r="A986">
        <v>985</v>
      </c>
      <c r="B986" s="1" t="s">
        <v>99</v>
      </c>
      <c r="C986" t="s">
        <v>151</v>
      </c>
      <c r="D986">
        <v>69</v>
      </c>
      <c r="E986" t="s">
        <v>155</v>
      </c>
    </row>
    <row r="987" spans="1:5" x14ac:dyDescent="0.2">
      <c r="A987">
        <v>986</v>
      </c>
      <c r="B987" s="1" t="s">
        <v>101</v>
      </c>
      <c r="C987" t="s">
        <v>152</v>
      </c>
      <c r="D987">
        <v>44</v>
      </c>
      <c r="E987" t="s">
        <v>155</v>
      </c>
    </row>
    <row r="988" spans="1:5" x14ac:dyDescent="0.2">
      <c r="A988">
        <v>987</v>
      </c>
      <c r="B988" s="1" t="s">
        <v>99</v>
      </c>
      <c r="C988" t="s">
        <v>152</v>
      </c>
      <c r="D988">
        <v>23</v>
      </c>
      <c r="E988" t="s">
        <v>155</v>
      </c>
    </row>
    <row r="989" spans="1:5" x14ac:dyDescent="0.2">
      <c r="A989">
        <v>988</v>
      </c>
      <c r="B989" s="1" t="s">
        <v>99</v>
      </c>
      <c r="C989" t="s">
        <v>151</v>
      </c>
      <c r="D989">
        <v>62</v>
      </c>
      <c r="E989" t="s">
        <v>155</v>
      </c>
    </row>
    <row r="990" spans="1:5" x14ac:dyDescent="0.2">
      <c r="A990">
        <v>989</v>
      </c>
      <c r="B990" s="1" t="s">
        <v>113</v>
      </c>
      <c r="C990" t="s">
        <v>152</v>
      </c>
      <c r="D990">
        <v>32</v>
      </c>
      <c r="E990" t="s">
        <v>155</v>
      </c>
    </row>
    <row r="991" spans="1:5" x14ac:dyDescent="0.2">
      <c r="A991">
        <v>990</v>
      </c>
      <c r="B991" s="1" t="s">
        <v>109</v>
      </c>
      <c r="C991" t="s">
        <v>151</v>
      </c>
      <c r="D991">
        <v>37</v>
      </c>
      <c r="E991" t="s">
        <v>155</v>
      </c>
    </row>
    <row r="992" spans="1:5" x14ac:dyDescent="0.2">
      <c r="A992">
        <v>991</v>
      </c>
      <c r="B992" s="1" t="s">
        <v>99</v>
      </c>
      <c r="C992" t="s">
        <v>152</v>
      </c>
      <c r="D992">
        <v>55</v>
      </c>
      <c r="E992" t="s">
        <v>155</v>
      </c>
    </row>
    <row r="993" spans="1:5" x14ac:dyDescent="0.2">
      <c r="A993">
        <v>992</v>
      </c>
      <c r="B993" s="1" t="s">
        <v>99</v>
      </c>
      <c r="C993" t="s">
        <v>151</v>
      </c>
      <c r="D993">
        <v>51</v>
      </c>
      <c r="E993" t="s">
        <v>155</v>
      </c>
    </row>
    <row r="994" spans="1:5" x14ac:dyDescent="0.2">
      <c r="A994">
        <v>993</v>
      </c>
      <c r="B994" s="1" t="s">
        <v>102</v>
      </c>
      <c r="C994" t="s">
        <v>152</v>
      </c>
      <c r="D994">
        <v>86</v>
      </c>
      <c r="E994" t="s">
        <v>155</v>
      </c>
    </row>
    <row r="995" spans="1:5" x14ac:dyDescent="0.2">
      <c r="A995">
        <v>994</v>
      </c>
      <c r="B995" s="1" t="s">
        <v>99</v>
      </c>
      <c r="C995" t="s">
        <v>151</v>
      </c>
      <c r="D995">
        <v>37</v>
      </c>
      <c r="E995" t="s">
        <v>155</v>
      </c>
    </row>
    <row r="996" spans="1:5" x14ac:dyDescent="0.2">
      <c r="A996">
        <v>995</v>
      </c>
      <c r="B996" s="1" t="s">
        <v>100</v>
      </c>
      <c r="C996" t="s">
        <v>152</v>
      </c>
      <c r="D996">
        <v>82</v>
      </c>
      <c r="E996" t="s">
        <v>155</v>
      </c>
    </row>
    <row r="997" spans="1:5" x14ac:dyDescent="0.2">
      <c r="A997">
        <v>996</v>
      </c>
      <c r="B997" s="1" t="s">
        <v>113</v>
      </c>
      <c r="C997" t="s">
        <v>152</v>
      </c>
      <c r="D997">
        <v>27</v>
      </c>
      <c r="E997" t="s">
        <v>155</v>
      </c>
    </row>
    <row r="998" spans="1:5" x14ac:dyDescent="0.2">
      <c r="A998">
        <v>997</v>
      </c>
      <c r="B998" s="1" t="s">
        <v>113</v>
      </c>
      <c r="C998" t="s">
        <v>152</v>
      </c>
      <c r="D998">
        <v>58</v>
      </c>
      <c r="E998" t="s">
        <v>155</v>
      </c>
    </row>
    <row r="999" spans="1:5" x14ac:dyDescent="0.2">
      <c r="A999">
        <v>998</v>
      </c>
      <c r="B999" s="1" t="s">
        <v>103</v>
      </c>
      <c r="C999" t="s">
        <v>152</v>
      </c>
      <c r="D999">
        <v>89</v>
      </c>
      <c r="E999" t="s">
        <v>155</v>
      </c>
    </row>
    <row r="1000" spans="1:5" x14ac:dyDescent="0.2">
      <c r="A1000">
        <v>999</v>
      </c>
      <c r="B1000" s="1" t="s">
        <v>99</v>
      </c>
      <c r="C1000" t="s">
        <v>151</v>
      </c>
      <c r="D1000">
        <v>74</v>
      </c>
      <c r="E1000" t="s">
        <v>155</v>
      </c>
    </row>
    <row r="1001" spans="1:5" x14ac:dyDescent="0.2">
      <c r="A1001">
        <v>1000</v>
      </c>
      <c r="B1001" s="1" t="s">
        <v>113</v>
      </c>
      <c r="C1001" t="s">
        <v>152</v>
      </c>
      <c r="D1001">
        <v>69</v>
      </c>
      <c r="E1001" t="s">
        <v>155</v>
      </c>
    </row>
    <row r="1002" spans="1:5" x14ac:dyDescent="0.2">
      <c r="A1002">
        <v>1001</v>
      </c>
      <c r="B1002" s="1" t="s">
        <v>99</v>
      </c>
      <c r="C1002" t="s">
        <v>152</v>
      </c>
      <c r="D1002">
        <v>41</v>
      </c>
      <c r="E1002" t="s">
        <v>156</v>
      </c>
    </row>
    <row r="1003" spans="1:5" x14ac:dyDescent="0.2">
      <c r="A1003">
        <v>1002</v>
      </c>
      <c r="B1003" s="1" t="s">
        <v>113</v>
      </c>
      <c r="C1003" t="s">
        <v>151</v>
      </c>
      <c r="D1003">
        <v>86</v>
      </c>
      <c r="E1003" t="s">
        <v>156</v>
      </c>
    </row>
    <row r="1004" spans="1:5" x14ac:dyDescent="0.2">
      <c r="A1004">
        <v>1003</v>
      </c>
      <c r="B1004" s="1" t="s">
        <v>99</v>
      </c>
      <c r="C1004" t="s">
        <v>152</v>
      </c>
      <c r="D1004">
        <v>64</v>
      </c>
      <c r="E1004" t="s">
        <v>156</v>
      </c>
    </row>
    <row r="1005" spans="1:5" x14ac:dyDescent="0.2">
      <c r="A1005">
        <v>1004</v>
      </c>
      <c r="B1005" s="1" t="s">
        <v>99</v>
      </c>
      <c r="C1005" t="s">
        <v>151</v>
      </c>
      <c r="D1005">
        <v>55</v>
      </c>
      <c r="E1005" t="s">
        <v>156</v>
      </c>
    </row>
    <row r="1006" spans="1:5" x14ac:dyDescent="0.2">
      <c r="A1006">
        <v>1005</v>
      </c>
      <c r="B1006" s="1" t="s">
        <v>100</v>
      </c>
      <c r="C1006" t="s">
        <v>151</v>
      </c>
      <c r="D1006">
        <v>60</v>
      </c>
      <c r="E1006" t="s">
        <v>156</v>
      </c>
    </row>
    <row r="1007" spans="1:5" x14ac:dyDescent="0.2">
      <c r="A1007">
        <v>1006</v>
      </c>
      <c r="B1007" s="1" t="s">
        <v>101</v>
      </c>
      <c r="C1007" t="s">
        <v>152</v>
      </c>
      <c r="D1007">
        <v>18</v>
      </c>
      <c r="E1007" t="s">
        <v>156</v>
      </c>
    </row>
    <row r="1008" spans="1:5" x14ac:dyDescent="0.2">
      <c r="A1008">
        <v>1007</v>
      </c>
      <c r="B1008" s="1" t="s">
        <v>99</v>
      </c>
      <c r="C1008" t="s">
        <v>152</v>
      </c>
      <c r="D1008">
        <v>62</v>
      </c>
      <c r="E1008" t="s">
        <v>156</v>
      </c>
    </row>
    <row r="1009" spans="1:5" x14ac:dyDescent="0.2">
      <c r="A1009">
        <v>1008</v>
      </c>
      <c r="B1009" s="1" t="s">
        <v>106</v>
      </c>
      <c r="C1009" t="s">
        <v>152</v>
      </c>
      <c r="D1009">
        <v>27</v>
      </c>
      <c r="E1009" t="s">
        <v>156</v>
      </c>
    </row>
    <row r="1010" spans="1:5" x14ac:dyDescent="0.2">
      <c r="A1010">
        <v>1009</v>
      </c>
      <c r="B1010" s="1" t="s">
        <v>99</v>
      </c>
      <c r="C1010" t="s">
        <v>152</v>
      </c>
      <c r="D1010">
        <v>44</v>
      </c>
      <c r="E1010" t="s">
        <v>156</v>
      </c>
    </row>
    <row r="1011" spans="1:5" x14ac:dyDescent="0.2">
      <c r="A1011">
        <v>1010</v>
      </c>
      <c r="B1011" s="1" t="s">
        <v>105</v>
      </c>
      <c r="C1011" t="s">
        <v>152</v>
      </c>
      <c r="D1011">
        <v>28</v>
      </c>
      <c r="E1011" t="s">
        <v>156</v>
      </c>
    </row>
    <row r="1012" spans="1:5" x14ac:dyDescent="0.2">
      <c r="A1012">
        <v>1011</v>
      </c>
      <c r="B1012" s="1" t="s">
        <v>100</v>
      </c>
      <c r="C1012" t="s">
        <v>151</v>
      </c>
      <c r="D1012">
        <v>20</v>
      </c>
      <c r="E1012" t="s">
        <v>156</v>
      </c>
    </row>
    <row r="1013" spans="1:5" x14ac:dyDescent="0.2">
      <c r="A1013">
        <v>1012</v>
      </c>
      <c r="B1013" s="1" t="s">
        <v>105</v>
      </c>
      <c r="C1013" t="s">
        <v>151</v>
      </c>
      <c r="D1013">
        <v>42</v>
      </c>
      <c r="E1013" t="s">
        <v>156</v>
      </c>
    </row>
    <row r="1014" spans="1:5" x14ac:dyDescent="0.2">
      <c r="A1014">
        <v>1013</v>
      </c>
      <c r="B1014" s="1" t="s">
        <v>113</v>
      </c>
      <c r="C1014" t="s">
        <v>152</v>
      </c>
      <c r="D1014">
        <v>54</v>
      </c>
      <c r="E1014" t="s">
        <v>156</v>
      </c>
    </row>
    <row r="1015" spans="1:5" x14ac:dyDescent="0.2">
      <c r="A1015">
        <v>1014</v>
      </c>
      <c r="B1015" s="1" t="s">
        <v>113</v>
      </c>
      <c r="C1015" t="s">
        <v>152</v>
      </c>
      <c r="D1015">
        <v>69</v>
      </c>
      <c r="E1015" t="s">
        <v>156</v>
      </c>
    </row>
    <row r="1016" spans="1:5" x14ac:dyDescent="0.2">
      <c r="A1016">
        <v>1015</v>
      </c>
      <c r="B1016" s="1" t="s">
        <v>107</v>
      </c>
      <c r="C1016" t="s">
        <v>152</v>
      </c>
      <c r="D1016">
        <v>50</v>
      </c>
      <c r="E1016" t="s">
        <v>156</v>
      </c>
    </row>
    <row r="1017" spans="1:5" x14ac:dyDescent="0.2">
      <c r="A1017">
        <v>1016</v>
      </c>
      <c r="B1017" s="1" t="s">
        <v>113</v>
      </c>
      <c r="C1017" t="s">
        <v>152</v>
      </c>
      <c r="D1017">
        <v>23</v>
      </c>
      <c r="E1017" t="s">
        <v>156</v>
      </c>
    </row>
    <row r="1018" spans="1:5" x14ac:dyDescent="0.2">
      <c r="A1018">
        <v>1017</v>
      </c>
      <c r="B1018" s="1" t="s">
        <v>113</v>
      </c>
      <c r="C1018" t="s">
        <v>151</v>
      </c>
      <c r="D1018">
        <v>38</v>
      </c>
      <c r="E1018" t="s">
        <v>156</v>
      </c>
    </row>
    <row r="1019" spans="1:5" x14ac:dyDescent="0.2">
      <c r="A1019">
        <v>1018</v>
      </c>
      <c r="B1019" s="1" t="s">
        <v>100</v>
      </c>
      <c r="C1019" t="s">
        <v>152</v>
      </c>
      <c r="D1019">
        <v>52</v>
      </c>
      <c r="E1019" t="s">
        <v>156</v>
      </c>
    </row>
    <row r="1020" spans="1:5" x14ac:dyDescent="0.2">
      <c r="A1020">
        <v>1019</v>
      </c>
      <c r="B1020" s="1" t="s">
        <v>107</v>
      </c>
      <c r="C1020" t="s">
        <v>152</v>
      </c>
      <c r="D1020">
        <v>64</v>
      </c>
      <c r="E1020" t="s">
        <v>156</v>
      </c>
    </row>
    <row r="1021" spans="1:5" x14ac:dyDescent="0.2">
      <c r="A1021">
        <v>1020</v>
      </c>
      <c r="B1021" s="1" t="s">
        <v>101</v>
      </c>
      <c r="C1021" t="s">
        <v>152</v>
      </c>
      <c r="D1021">
        <v>86</v>
      </c>
      <c r="E1021" t="s">
        <v>156</v>
      </c>
    </row>
    <row r="1022" spans="1:5" x14ac:dyDescent="0.2">
      <c r="A1022">
        <v>1021</v>
      </c>
      <c r="B1022" s="1" t="s">
        <v>106</v>
      </c>
      <c r="C1022" t="s">
        <v>151</v>
      </c>
      <c r="D1022">
        <v>49</v>
      </c>
      <c r="E1022" t="s">
        <v>156</v>
      </c>
    </row>
    <row r="1023" spans="1:5" x14ac:dyDescent="0.2">
      <c r="A1023">
        <v>1022</v>
      </c>
      <c r="B1023" s="1" t="s">
        <v>113</v>
      </c>
      <c r="C1023" t="s">
        <v>152</v>
      </c>
      <c r="D1023">
        <v>60</v>
      </c>
      <c r="E1023" t="s">
        <v>156</v>
      </c>
    </row>
    <row r="1024" spans="1:5" x14ac:dyDescent="0.2">
      <c r="A1024">
        <v>1023</v>
      </c>
      <c r="B1024" s="1" t="s">
        <v>109</v>
      </c>
      <c r="C1024" t="s">
        <v>151</v>
      </c>
      <c r="D1024">
        <v>52</v>
      </c>
      <c r="E1024" t="s">
        <v>156</v>
      </c>
    </row>
    <row r="1025" spans="1:5" x14ac:dyDescent="0.2">
      <c r="A1025">
        <v>1024</v>
      </c>
      <c r="B1025" s="1" t="s">
        <v>105</v>
      </c>
      <c r="C1025" t="s">
        <v>152</v>
      </c>
      <c r="D1025">
        <v>80</v>
      </c>
      <c r="E1025" t="s">
        <v>156</v>
      </c>
    </row>
    <row r="1026" spans="1:5" x14ac:dyDescent="0.2">
      <c r="A1026">
        <v>1025</v>
      </c>
      <c r="B1026" s="1" t="s">
        <v>101</v>
      </c>
      <c r="C1026" t="s">
        <v>151</v>
      </c>
      <c r="D1026">
        <v>48</v>
      </c>
      <c r="E1026" t="s">
        <v>156</v>
      </c>
    </row>
    <row r="1027" spans="1:5" x14ac:dyDescent="0.2">
      <c r="A1027">
        <v>1026</v>
      </c>
      <c r="B1027" s="1" t="s">
        <v>108</v>
      </c>
      <c r="C1027" t="s">
        <v>152</v>
      </c>
      <c r="D1027">
        <v>62</v>
      </c>
      <c r="E1027" t="s">
        <v>156</v>
      </c>
    </row>
    <row r="1028" spans="1:5" x14ac:dyDescent="0.2">
      <c r="A1028">
        <v>1027</v>
      </c>
      <c r="B1028" s="1" t="s">
        <v>105</v>
      </c>
      <c r="C1028" t="s">
        <v>151</v>
      </c>
      <c r="D1028">
        <v>45</v>
      </c>
      <c r="E1028" t="s">
        <v>156</v>
      </c>
    </row>
    <row r="1029" spans="1:5" x14ac:dyDescent="0.2">
      <c r="A1029">
        <v>1028</v>
      </c>
      <c r="B1029" s="1" t="s">
        <v>113</v>
      </c>
      <c r="C1029" t="s">
        <v>152</v>
      </c>
      <c r="D1029">
        <v>82</v>
      </c>
      <c r="E1029" t="s">
        <v>156</v>
      </c>
    </row>
    <row r="1030" spans="1:5" x14ac:dyDescent="0.2">
      <c r="A1030">
        <v>1029</v>
      </c>
      <c r="B1030" s="1" t="s">
        <v>105</v>
      </c>
      <c r="C1030" t="s">
        <v>152</v>
      </c>
      <c r="D1030">
        <v>45</v>
      </c>
      <c r="E1030" t="s">
        <v>156</v>
      </c>
    </row>
    <row r="1031" spans="1:5" x14ac:dyDescent="0.2">
      <c r="A1031">
        <v>1030</v>
      </c>
      <c r="B1031" s="1" t="s">
        <v>113</v>
      </c>
      <c r="C1031" t="s">
        <v>152</v>
      </c>
      <c r="D1031">
        <v>68</v>
      </c>
      <c r="E1031" t="s">
        <v>156</v>
      </c>
    </row>
    <row r="1032" spans="1:5" x14ac:dyDescent="0.2">
      <c r="A1032">
        <v>1031</v>
      </c>
      <c r="B1032" s="1" t="s">
        <v>101</v>
      </c>
      <c r="C1032" t="s">
        <v>151</v>
      </c>
      <c r="D1032">
        <v>40</v>
      </c>
      <c r="E1032" t="s">
        <v>156</v>
      </c>
    </row>
    <row r="1033" spans="1:5" x14ac:dyDescent="0.2">
      <c r="A1033">
        <v>1032</v>
      </c>
      <c r="B1033" s="1" t="s">
        <v>100</v>
      </c>
      <c r="C1033" t="s">
        <v>151</v>
      </c>
      <c r="D1033">
        <v>21</v>
      </c>
      <c r="E1033" t="s">
        <v>156</v>
      </c>
    </row>
    <row r="1034" spans="1:5" x14ac:dyDescent="0.2">
      <c r="A1034">
        <v>1033</v>
      </c>
      <c r="B1034" s="1" t="s">
        <v>113</v>
      </c>
      <c r="C1034" t="s">
        <v>152</v>
      </c>
      <c r="D1034">
        <v>56</v>
      </c>
      <c r="E1034" t="s">
        <v>156</v>
      </c>
    </row>
    <row r="1035" spans="1:5" x14ac:dyDescent="0.2">
      <c r="A1035">
        <v>1034</v>
      </c>
      <c r="B1035" s="1" t="s">
        <v>107</v>
      </c>
      <c r="C1035" t="s">
        <v>152</v>
      </c>
      <c r="D1035">
        <v>31</v>
      </c>
      <c r="E1035" t="s">
        <v>156</v>
      </c>
    </row>
    <row r="1036" spans="1:5" x14ac:dyDescent="0.2">
      <c r="A1036">
        <v>1035</v>
      </c>
      <c r="B1036" s="1" t="s">
        <v>113</v>
      </c>
      <c r="C1036" t="s">
        <v>151</v>
      </c>
      <c r="D1036">
        <v>56</v>
      </c>
      <c r="E1036" t="s">
        <v>156</v>
      </c>
    </row>
    <row r="1037" spans="1:5" x14ac:dyDescent="0.2">
      <c r="A1037">
        <v>1036</v>
      </c>
      <c r="B1037" s="1" t="s">
        <v>113</v>
      </c>
      <c r="C1037" t="s">
        <v>152</v>
      </c>
      <c r="D1037">
        <v>29</v>
      </c>
      <c r="E1037" t="s">
        <v>156</v>
      </c>
    </row>
    <row r="1038" spans="1:5" x14ac:dyDescent="0.2">
      <c r="A1038">
        <v>1037</v>
      </c>
      <c r="B1038" s="1" t="s">
        <v>113</v>
      </c>
      <c r="C1038" t="s">
        <v>152</v>
      </c>
      <c r="D1038">
        <v>21</v>
      </c>
      <c r="E1038" t="s">
        <v>156</v>
      </c>
    </row>
    <row r="1039" spans="1:5" x14ac:dyDescent="0.2">
      <c r="A1039">
        <v>1038</v>
      </c>
      <c r="B1039" s="1" t="s">
        <v>100</v>
      </c>
      <c r="C1039" t="s">
        <v>151</v>
      </c>
      <c r="D1039">
        <v>32</v>
      </c>
      <c r="E1039" t="s">
        <v>156</v>
      </c>
    </row>
    <row r="1040" spans="1:5" x14ac:dyDescent="0.2">
      <c r="A1040">
        <v>1039</v>
      </c>
      <c r="B1040" s="1" t="s">
        <v>105</v>
      </c>
      <c r="C1040" t="s">
        <v>152</v>
      </c>
      <c r="D1040">
        <v>66</v>
      </c>
      <c r="E1040" t="s">
        <v>156</v>
      </c>
    </row>
    <row r="1041" spans="1:5" x14ac:dyDescent="0.2">
      <c r="A1041">
        <v>1040</v>
      </c>
      <c r="B1041" s="1" t="s">
        <v>113</v>
      </c>
      <c r="C1041" t="s">
        <v>152</v>
      </c>
      <c r="D1041">
        <v>63</v>
      </c>
      <c r="E1041" t="s">
        <v>156</v>
      </c>
    </row>
    <row r="1042" spans="1:5" x14ac:dyDescent="0.2">
      <c r="A1042">
        <v>1041</v>
      </c>
      <c r="B1042" s="1" t="s">
        <v>107</v>
      </c>
      <c r="C1042" t="s">
        <v>151</v>
      </c>
      <c r="D1042">
        <v>30</v>
      </c>
      <c r="E1042" t="s">
        <v>156</v>
      </c>
    </row>
    <row r="1043" spans="1:5" x14ac:dyDescent="0.2">
      <c r="A1043">
        <v>1042</v>
      </c>
      <c r="B1043" s="1" t="s">
        <v>100</v>
      </c>
      <c r="C1043" t="s">
        <v>151</v>
      </c>
      <c r="D1043">
        <v>57</v>
      </c>
      <c r="E1043" t="s">
        <v>156</v>
      </c>
    </row>
    <row r="1044" spans="1:5" x14ac:dyDescent="0.2">
      <c r="A1044">
        <v>1043</v>
      </c>
      <c r="B1044" s="1" t="s">
        <v>113</v>
      </c>
      <c r="C1044" t="s">
        <v>152</v>
      </c>
      <c r="D1044">
        <v>42</v>
      </c>
      <c r="E1044" t="s">
        <v>156</v>
      </c>
    </row>
    <row r="1045" spans="1:5" x14ac:dyDescent="0.2">
      <c r="A1045">
        <v>1044</v>
      </c>
      <c r="B1045" s="1" t="s">
        <v>113</v>
      </c>
      <c r="C1045" t="s">
        <v>151</v>
      </c>
      <c r="D1045">
        <v>26</v>
      </c>
      <c r="E1045" t="s">
        <v>156</v>
      </c>
    </row>
    <row r="1046" spans="1:5" x14ac:dyDescent="0.2">
      <c r="A1046">
        <v>1045</v>
      </c>
      <c r="B1046" s="1" t="s">
        <v>105</v>
      </c>
      <c r="C1046" t="s">
        <v>152</v>
      </c>
      <c r="D1046">
        <v>19</v>
      </c>
      <c r="E1046" t="s">
        <v>156</v>
      </c>
    </row>
    <row r="1047" spans="1:5" x14ac:dyDescent="0.2">
      <c r="A1047">
        <v>1046</v>
      </c>
      <c r="B1047" s="1" t="s">
        <v>113</v>
      </c>
      <c r="C1047" t="s">
        <v>151</v>
      </c>
      <c r="D1047">
        <v>52</v>
      </c>
      <c r="E1047" t="s">
        <v>156</v>
      </c>
    </row>
    <row r="1048" spans="1:5" x14ac:dyDescent="0.2">
      <c r="A1048">
        <v>1047</v>
      </c>
      <c r="B1048" s="1" t="s">
        <v>107</v>
      </c>
      <c r="C1048" t="s">
        <v>152</v>
      </c>
      <c r="D1048">
        <v>20</v>
      </c>
      <c r="E1048" t="s">
        <v>156</v>
      </c>
    </row>
    <row r="1049" spans="1:5" x14ac:dyDescent="0.2">
      <c r="A1049">
        <v>1048</v>
      </c>
      <c r="B1049" s="1" t="s">
        <v>113</v>
      </c>
      <c r="C1049" t="s">
        <v>152</v>
      </c>
      <c r="D1049">
        <v>26</v>
      </c>
      <c r="E1049" t="s">
        <v>156</v>
      </c>
    </row>
    <row r="1050" spans="1:5" x14ac:dyDescent="0.2">
      <c r="A1050">
        <v>1049</v>
      </c>
      <c r="B1050" s="1" t="s">
        <v>105</v>
      </c>
      <c r="C1050" t="s">
        <v>151</v>
      </c>
      <c r="D1050">
        <v>83</v>
      </c>
      <c r="E1050" t="s">
        <v>156</v>
      </c>
    </row>
    <row r="1051" spans="1:5" x14ac:dyDescent="0.2">
      <c r="A1051">
        <v>1050</v>
      </c>
      <c r="B1051" s="1" t="s">
        <v>100</v>
      </c>
      <c r="C1051" t="s">
        <v>152</v>
      </c>
      <c r="D1051">
        <v>31</v>
      </c>
      <c r="E1051" t="s">
        <v>156</v>
      </c>
    </row>
    <row r="1052" spans="1:5" x14ac:dyDescent="0.2">
      <c r="A1052">
        <v>1051</v>
      </c>
      <c r="B1052" s="1" t="s">
        <v>105</v>
      </c>
      <c r="C1052" t="s">
        <v>151</v>
      </c>
      <c r="D1052">
        <v>36</v>
      </c>
      <c r="E1052" t="s">
        <v>156</v>
      </c>
    </row>
    <row r="1053" spans="1:5" x14ac:dyDescent="0.2">
      <c r="A1053">
        <v>1052</v>
      </c>
      <c r="B1053" s="1" t="s">
        <v>109</v>
      </c>
      <c r="C1053" t="s">
        <v>151</v>
      </c>
      <c r="D1053">
        <v>66</v>
      </c>
      <c r="E1053" t="s">
        <v>156</v>
      </c>
    </row>
    <row r="1054" spans="1:5" x14ac:dyDescent="0.2">
      <c r="A1054">
        <v>1053</v>
      </c>
      <c r="B1054" s="1" t="s">
        <v>113</v>
      </c>
      <c r="C1054" t="s">
        <v>152</v>
      </c>
      <c r="D1054">
        <v>67</v>
      </c>
      <c r="E1054" t="s">
        <v>156</v>
      </c>
    </row>
    <row r="1055" spans="1:5" x14ac:dyDescent="0.2">
      <c r="A1055">
        <v>1054</v>
      </c>
      <c r="B1055" s="1" t="s">
        <v>113</v>
      </c>
      <c r="C1055" t="s">
        <v>151</v>
      </c>
      <c r="D1055">
        <v>86</v>
      </c>
      <c r="E1055" t="s">
        <v>156</v>
      </c>
    </row>
    <row r="1056" spans="1:5" x14ac:dyDescent="0.2">
      <c r="A1056">
        <v>1055</v>
      </c>
      <c r="B1056" s="1" t="s">
        <v>113</v>
      </c>
      <c r="C1056" t="s">
        <v>151</v>
      </c>
      <c r="D1056">
        <v>21</v>
      </c>
      <c r="E1056" t="s">
        <v>156</v>
      </c>
    </row>
    <row r="1057" spans="1:5" x14ac:dyDescent="0.2">
      <c r="A1057">
        <v>1056</v>
      </c>
      <c r="B1057" s="1" t="s">
        <v>105</v>
      </c>
      <c r="C1057" t="s">
        <v>151</v>
      </c>
      <c r="D1057">
        <v>83</v>
      </c>
      <c r="E1057" t="s">
        <v>156</v>
      </c>
    </row>
    <row r="1058" spans="1:5" x14ac:dyDescent="0.2">
      <c r="A1058">
        <v>1057</v>
      </c>
      <c r="B1058" s="1" t="s">
        <v>105</v>
      </c>
      <c r="C1058" t="s">
        <v>151</v>
      </c>
      <c r="D1058">
        <v>71</v>
      </c>
      <c r="E1058" t="s">
        <v>156</v>
      </c>
    </row>
    <row r="1059" spans="1:5" x14ac:dyDescent="0.2">
      <c r="A1059">
        <v>1058</v>
      </c>
      <c r="B1059" s="1" t="s">
        <v>113</v>
      </c>
      <c r="C1059" t="s">
        <v>152</v>
      </c>
      <c r="D1059">
        <v>74</v>
      </c>
      <c r="E1059" t="s">
        <v>156</v>
      </c>
    </row>
    <row r="1060" spans="1:5" x14ac:dyDescent="0.2">
      <c r="A1060">
        <v>1059</v>
      </c>
      <c r="B1060" s="1" t="s">
        <v>113</v>
      </c>
      <c r="C1060" t="s">
        <v>152</v>
      </c>
      <c r="D1060">
        <v>75</v>
      </c>
      <c r="E1060" t="s">
        <v>156</v>
      </c>
    </row>
    <row r="1061" spans="1:5" x14ac:dyDescent="0.2">
      <c r="A1061">
        <v>1060</v>
      </c>
      <c r="B1061" s="1" t="s">
        <v>113</v>
      </c>
      <c r="C1061" t="s">
        <v>152</v>
      </c>
      <c r="D1061">
        <v>62</v>
      </c>
      <c r="E1061" t="s">
        <v>156</v>
      </c>
    </row>
    <row r="1062" spans="1:5" x14ac:dyDescent="0.2">
      <c r="A1062">
        <v>1061</v>
      </c>
      <c r="B1062" s="1" t="s">
        <v>102</v>
      </c>
      <c r="C1062" t="s">
        <v>152</v>
      </c>
      <c r="D1062">
        <v>61</v>
      </c>
      <c r="E1062" t="s">
        <v>156</v>
      </c>
    </row>
    <row r="1063" spans="1:5" x14ac:dyDescent="0.2">
      <c r="A1063">
        <v>1062</v>
      </c>
      <c r="B1063" s="1" t="s">
        <v>113</v>
      </c>
      <c r="C1063" t="s">
        <v>152</v>
      </c>
      <c r="D1063">
        <v>68</v>
      </c>
      <c r="E1063" t="s">
        <v>156</v>
      </c>
    </row>
    <row r="1064" spans="1:5" x14ac:dyDescent="0.2">
      <c r="A1064">
        <v>1063</v>
      </c>
      <c r="B1064" s="1" t="s">
        <v>113</v>
      </c>
      <c r="C1064" t="s">
        <v>152</v>
      </c>
      <c r="D1064">
        <v>82</v>
      </c>
      <c r="E1064" t="s">
        <v>156</v>
      </c>
    </row>
    <row r="1065" spans="1:5" x14ac:dyDescent="0.2">
      <c r="A1065">
        <v>1064</v>
      </c>
      <c r="B1065" s="1" t="s">
        <v>104</v>
      </c>
      <c r="C1065" t="s">
        <v>151</v>
      </c>
      <c r="D1065">
        <v>75</v>
      </c>
      <c r="E1065" t="s">
        <v>156</v>
      </c>
    </row>
    <row r="1066" spans="1:5" x14ac:dyDescent="0.2">
      <c r="A1066">
        <v>1065</v>
      </c>
      <c r="B1066" s="1" t="s">
        <v>103</v>
      </c>
      <c r="C1066" t="s">
        <v>152</v>
      </c>
      <c r="D1066">
        <v>25</v>
      </c>
      <c r="E1066" t="s">
        <v>156</v>
      </c>
    </row>
    <row r="1067" spans="1:5" x14ac:dyDescent="0.2">
      <c r="A1067">
        <v>1066</v>
      </c>
      <c r="B1067" s="1" t="s">
        <v>113</v>
      </c>
      <c r="C1067" t="s">
        <v>151</v>
      </c>
      <c r="D1067">
        <v>70</v>
      </c>
      <c r="E1067" t="s">
        <v>156</v>
      </c>
    </row>
    <row r="1068" spans="1:5" x14ac:dyDescent="0.2">
      <c r="A1068">
        <v>1067</v>
      </c>
      <c r="B1068" s="1" t="s">
        <v>113</v>
      </c>
      <c r="C1068" t="s">
        <v>152</v>
      </c>
      <c r="D1068">
        <v>60</v>
      </c>
      <c r="E1068" t="s">
        <v>156</v>
      </c>
    </row>
    <row r="1069" spans="1:5" x14ac:dyDescent="0.2">
      <c r="A1069">
        <v>1068</v>
      </c>
      <c r="B1069" s="1" t="s">
        <v>105</v>
      </c>
      <c r="C1069" t="s">
        <v>151</v>
      </c>
      <c r="D1069">
        <v>56</v>
      </c>
      <c r="E1069" t="s">
        <v>156</v>
      </c>
    </row>
    <row r="1070" spans="1:5" x14ac:dyDescent="0.2">
      <c r="A1070">
        <v>1069</v>
      </c>
      <c r="B1070" s="1" t="s">
        <v>101</v>
      </c>
      <c r="C1070" t="s">
        <v>151</v>
      </c>
      <c r="D1070">
        <v>80</v>
      </c>
      <c r="E1070" t="s">
        <v>156</v>
      </c>
    </row>
    <row r="1071" spans="1:5" x14ac:dyDescent="0.2">
      <c r="A1071">
        <v>1070</v>
      </c>
      <c r="B1071" s="1" t="s">
        <v>106</v>
      </c>
      <c r="C1071" t="s">
        <v>152</v>
      </c>
      <c r="D1071">
        <v>60</v>
      </c>
      <c r="E1071" t="s">
        <v>156</v>
      </c>
    </row>
    <row r="1072" spans="1:5" x14ac:dyDescent="0.2">
      <c r="A1072">
        <v>1071</v>
      </c>
      <c r="B1072" s="1" t="s">
        <v>113</v>
      </c>
      <c r="C1072" t="s">
        <v>152</v>
      </c>
      <c r="D1072">
        <v>32</v>
      </c>
      <c r="E1072" t="s">
        <v>156</v>
      </c>
    </row>
    <row r="1073" spans="1:5" x14ac:dyDescent="0.2">
      <c r="A1073">
        <v>1072</v>
      </c>
      <c r="B1073" s="1" t="s">
        <v>113</v>
      </c>
      <c r="C1073" t="s">
        <v>152</v>
      </c>
      <c r="D1073">
        <v>78</v>
      </c>
      <c r="E1073" t="s">
        <v>156</v>
      </c>
    </row>
    <row r="1074" spans="1:5" x14ac:dyDescent="0.2">
      <c r="A1074">
        <v>1073</v>
      </c>
      <c r="B1074" s="1" t="s">
        <v>105</v>
      </c>
      <c r="C1074" t="s">
        <v>152</v>
      </c>
      <c r="D1074">
        <v>60</v>
      </c>
      <c r="E1074" t="s">
        <v>156</v>
      </c>
    </row>
    <row r="1075" spans="1:5" x14ac:dyDescent="0.2">
      <c r="A1075">
        <v>1074</v>
      </c>
      <c r="B1075" s="1" t="s">
        <v>105</v>
      </c>
      <c r="C1075" t="s">
        <v>152</v>
      </c>
      <c r="D1075">
        <v>48</v>
      </c>
      <c r="E1075" t="s">
        <v>156</v>
      </c>
    </row>
    <row r="1076" spans="1:5" x14ac:dyDescent="0.2">
      <c r="A1076">
        <v>1075</v>
      </c>
      <c r="B1076" s="1" t="s">
        <v>108</v>
      </c>
      <c r="C1076" t="s">
        <v>151</v>
      </c>
      <c r="D1076">
        <v>55</v>
      </c>
      <c r="E1076" t="s">
        <v>156</v>
      </c>
    </row>
    <row r="1077" spans="1:5" x14ac:dyDescent="0.2">
      <c r="A1077">
        <v>1076</v>
      </c>
      <c r="B1077" s="1" t="s">
        <v>113</v>
      </c>
      <c r="C1077" t="s">
        <v>152</v>
      </c>
      <c r="D1077">
        <v>18</v>
      </c>
      <c r="E1077" t="s">
        <v>156</v>
      </c>
    </row>
    <row r="1078" spans="1:5" x14ac:dyDescent="0.2">
      <c r="A1078">
        <v>1077</v>
      </c>
      <c r="B1078" s="1" t="s">
        <v>113</v>
      </c>
      <c r="C1078" t="s">
        <v>151</v>
      </c>
      <c r="D1078">
        <v>24</v>
      </c>
      <c r="E1078" t="s">
        <v>156</v>
      </c>
    </row>
    <row r="1079" spans="1:5" x14ac:dyDescent="0.2">
      <c r="A1079">
        <v>1078</v>
      </c>
      <c r="B1079" s="1" t="s">
        <v>101</v>
      </c>
      <c r="C1079" t="s">
        <v>152</v>
      </c>
      <c r="D1079">
        <v>55</v>
      </c>
      <c r="E1079" t="s">
        <v>156</v>
      </c>
    </row>
    <row r="1080" spans="1:5" x14ac:dyDescent="0.2">
      <c r="A1080">
        <v>1079</v>
      </c>
      <c r="B1080" s="1" t="s">
        <v>113</v>
      </c>
      <c r="C1080" t="s">
        <v>152</v>
      </c>
      <c r="D1080">
        <v>29</v>
      </c>
      <c r="E1080" t="s">
        <v>156</v>
      </c>
    </row>
    <row r="1081" spans="1:5" x14ac:dyDescent="0.2">
      <c r="A1081">
        <v>1080</v>
      </c>
      <c r="B1081" s="1" t="s">
        <v>113</v>
      </c>
      <c r="C1081" t="s">
        <v>151</v>
      </c>
      <c r="D1081">
        <v>78</v>
      </c>
      <c r="E1081" t="s">
        <v>156</v>
      </c>
    </row>
    <row r="1082" spans="1:5" x14ac:dyDescent="0.2">
      <c r="A1082">
        <v>1081</v>
      </c>
      <c r="B1082" s="1" t="s">
        <v>107</v>
      </c>
      <c r="C1082" t="s">
        <v>152</v>
      </c>
      <c r="D1082">
        <v>77</v>
      </c>
      <c r="E1082" t="s">
        <v>156</v>
      </c>
    </row>
    <row r="1083" spans="1:5" x14ac:dyDescent="0.2">
      <c r="A1083">
        <v>1082</v>
      </c>
      <c r="B1083" s="1" t="s">
        <v>113</v>
      </c>
      <c r="C1083" t="s">
        <v>151</v>
      </c>
      <c r="D1083">
        <v>70</v>
      </c>
      <c r="E1083" t="s">
        <v>156</v>
      </c>
    </row>
    <row r="1084" spans="1:5" x14ac:dyDescent="0.2">
      <c r="A1084">
        <v>1083</v>
      </c>
      <c r="B1084" s="1" t="s">
        <v>105</v>
      </c>
      <c r="C1084" t="s">
        <v>152</v>
      </c>
      <c r="D1084">
        <v>25</v>
      </c>
      <c r="E1084" t="s">
        <v>156</v>
      </c>
    </row>
    <row r="1085" spans="1:5" x14ac:dyDescent="0.2">
      <c r="A1085">
        <v>1084</v>
      </c>
      <c r="B1085" s="1" t="s">
        <v>113</v>
      </c>
      <c r="C1085" t="s">
        <v>151</v>
      </c>
      <c r="D1085">
        <v>75</v>
      </c>
      <c r="E1085" t="s">
        <v>156</v>
      </c>
    </row>
    <row r="1086" spans="1:5" x14ac:dyDescent="0.2">
      <c r="A1086">
        <v>1085</v>
      </c>
      <c r="B1086" s="1" t="s">
        <v>105</v>
      </c>
      <c r="C1086" t="s">
        <v>151</v>
      </c>
      <c r="D1086">
        <v>78</v>
      </c>
      <c r="E1086" t="s">
        <v>156</v>
      </c>
    </row>
    <row r="1087" spans="1:5" x14ac:dyDescent="0.2">
      <c r="A1087">
        <v>1086</v>
      </c>
      <c r="B1087" s="1" t="s">
        <v>100</v>
      </c>
      <c r="C1087" t="s">
        <v>151</v>
      </c>
      <c r="D1087">
        <v>63</v>
      </c>
      <c r="E1087" t="s">
        <v>156</v>
      </c>
    </row>
    <row r="1088" spans="1:5" x14ac:dyDescent="0.2">
      <c r="A1088">
        <v>1087</v>
      </c>
      <c r="B1088" s="1" t="s">
        <v>113</v>
      </c>
      <c r="C1088" t="s">
        <v>152</v>
      </c>
      <c r="D1088">
        <v>32</v>
      </c>
      <c r="E1088" t="s">
        <v>156</v>
      </c>
    </row>
    <row r="1089" spans="1:5" x14ac:dyDescent="0.2">
      <c r="A1089">
        <v>1088</v>
      </c>
      <c r="B1089" s="1" t="s">
        <v>113</v>
      </c>
      <c r="C1089" t="s">
        <v>152</v>
      </c>
      <c r="D1089">
        <v>72</v>
      </c>
      <c r="E1089" t="s">
        <v>156</v>
      </c>
    </row>
    <row r="1090" spans="1:5" x14ac:dyDescent="0.2">
      <c r="A1090">
        <v>1089</v>
      </c>
      <c r="B1090" s="1" t="s">
        <v>100</v>
      </c>
      <c r="C1090" t="s">
        <v>151</v>
      </c>
      <c r="D1090">
        <v>28</v>
      </c>
      <c r="E1090" t="s">
        <v>156</v>
      </c>
    </row>
    <row r="1091" spans="1:5" x14ac:dyDescent="0.2">
      <c r="A1091">
        <v>1090</v>
      </c>
      <c r="B1091" s="1" t="s">
        <v>100</v>
      </c>
      <c r="C1091" t="s">
        <v>152</v>
      </c>
      <c r="D1091">
        <v>19</v>
      </c>
      <c r="E1091" t="s">
        <v>156</v>
      </c>
    </row>
    <row r="1092" spans="1:5" x14ac:dyDescent="0.2">
      <c r="A1092">
        <v>1091</v>
      </c>
      <c r="B1092" s="1" t="s">
        <v>100</v>
      </c>
      <c r="C1092" t="s">
        <v>152</v>
      </c>
      <c r="D1092">
        <v>26</v>
      </c>
      <c r="E1092" t="s">
        <v>156</v>
      </c>
    </row>
    <row r="1093" spans="1:5" x14ac:dyDescent="0.2">
      <c r="A1093">
        <v>1092</v>
      </c>
      <c r="B1093" s="1" t="s">
        <v>113</v>
      </c>
      <c r="C1093" t="s">
        <v>151</v>
      </c>
      <c r="D1093">
        <v>35</v>
      </c>
      <c r="E1093" t="s">
        <v>156</v>
      </c>
    </row>
    <row r="1094" spans="1:5" x14ac:dyDescent="0.2">
      <c r="A1094">
        <v>1093</v>
      </c>
      <c r="B1094" s="1" t="s">
        <v>113</v>
      </c>
      <c r="C1094" t="s">
        <v>152</v>
      </c>
      <c r="D1094">
        <v>34</v>
      </c>
      <c r="E1094" t="s">
        <v>156</v>
      </c>
    </row>
    <row r="1095" spans="1:5" x14ac:dyDescent="0.2">
      <c r="A1095">
        <v>1094</v>
      </c>
      <c r="B1095" s="1" t="s">
        <v>113</v>
      </c>
      <c r="C1095" t="s">
        <v>151</v>
      </c>
      <c r="D1095">
        <v>66</v>
      </c>
      <c r="E1095" t="s">
        <v>156</v>
      </c>
    </row>
    <row r="1096" spans="1:5" x14ac:dyDescent="0.2">
      <c r="A1096">
        <v>1095</v>
      </c>
      <c r="B1096" s="1" t="s">
        <v>113</v>
      </c>
      <c r="C1096" t="s">
        <v>151</v>
      </c>
      <c r="D1096">
        <v>58</v>
      </c>
      <c r="E1096" t="s">
        <v>156</v>
      </c>
    </row>
    <row r="1097" spans="1:5" x14ac:dyDescent="0.2">
      <c r="A1097">
        <v>1096</v>
      </c>
      <c r="B1097" s="1" t="s">
        <v>105</v>
      </c>
      <c r="C1097" t="s">
        <v>151</v>
      </c>
      <c r="D1097">
        <v>87</v>
      </c>
      <c r="E1097" t="s">
        <v>156</v>
      </c>
    </row>
    <row r="1098" spans="1:5" x14ac:dyDescent="0.2">
      <c r="A1098">
        <v>1097</v>
      </c>
      <c r="B1098" s="1" t="s">
        <v>113</v>
      </c>
      <c r="C1098" t="s">
        <v>152</v>
      </c>
      <c r="D1098">
        <v>81</v>
      </c>
      <c r="E1098" t="s">
        <v>156</v>
      </c>
    </row>
    <row r="1099" spans="1:5" x14ac:dyDescent="0.2">
      <c r="A1099">
        <v>1098</v>
      </c>
      <c r="B1099" s="1" t="s">
        <v>106</v>
      </c>
      <c r="C1099" t="s">
        <v>151</v>
      </c>
      <c r="D1099">
        <v>31</v>
      </c>
      <c r="E1099" t="s">
        <v>156</v>
      </c>
    </row>
    <row r="1100" spans="1:5" x14ac:dyDescent="0.2">
      <c r="A1100">
        <v>1099</v>
      </c>
      <c r="B1100" s="1" t="s">
        <v>100</v>
      </c>
      <c r="C1100" t="s">
        <v>152</v>
      </c>
      <c r="D1100">
        <v>76</v>
      </c>
      <c r="E1100" t="s">
        <v>156</v>
      </c>
    </row>
    <row r="1101" spans="1:5" x14ac:dyDescent="0.2">
      <c r="A1101">
        <v>1100</v>
      </c>
      <c r="B1101" s="1" t="s">
        <v>105</v>
      </c>
      <c r="C1101" t="s">
        <v>152</v>
      </c>
      <c r="D1101">
        <v>30</v>
      </c>
      <c r="E1101" t="s">
        <v>156</v>
      </c>
    </row>
    <row r="1102" spans="1:5" x14ac:dyDescent="0.2">
      <c r="A1102">
        <v>1101</v>
      </c>
      <c r="B1102" s="1" t="s">
        <v>113</v>
      </c>
      <c r="C1102" t="s">
        <v>152</v>
      </c>
      <c r="D1102">
        <v>27</v>
      </c>
      <c r="E1102" t="s">
        <v>156</v>
      </c>
    </row>
    <row r="1103" spans="1:5" x14ac:dyDescent="0.2">
      <c r="A1103">
        <v>1102</v>
      </c>
      <c r="B1103" s="1" t="s">
        <v>113</v>
      </c>
      <c r="C1103" t="s">
        <v>151</v>
      </c>
      <c r="D1103">
        <v>66</v>
      </c>
      <c r="E1103" t="s">
        <v>156</v>
      </c>
    </row>
    <row r="1104" spans="1:5" x14ac:dyDescent="0.2">
      <c r="A1104">
        <v>1103</v>
      </c>
      <c r="B1104" s="1" t="s">
        <v>113</v>
      </c>
      <c r="C1104" t="s">
        <v>152</v>
      </c>
      <c r="D1104">
        <v>32</v>
      </c>
      <c r="E1104" t="s">
        <v>156</v>
      </c>
    </row>
    <row r="1105" spans="1:5" x14ac:dyDescent="0.2">
      <c r="A1105">
        <v>1104</v>
      </c>
      <c r="B1105" s="1" t="s">
        <v>105</v>
      </c>
      <c r="C1105" t="s">
        <v>152</v>
      </c>
      <c r="D1105">
        <v>21</v>
      </c>
      <c r="E1105" t="s">
        <v>156</v>
      </c>
    </row>
    <row r="1106" spans="1:5" x14ac:dyDescent="0.2">
      <c r="A1106">
        <v>1105</v>
      </c>
      <c r="B1106" s="1" t="s">
        <v>100</v>
      </c>
      <c r="C1106" t="s">
        <v>152</v>
      </c>
      <c r="D1106">
        <v>79</v>
      </c>
      <c r="E1106" t="s">
        <v>156</v>
      </c>
    </row>
    <row r="1107" spans="1:5" x14ac:dyDescent="0.2">
      <c r="A1107">
        <v>1106</v>
      </c>
      <c r="B1107" s="1" t="s">
        <v>106</v>
      </c>
      <c r="C1107" t="s">
        <v>151</v>
      </c>
      <c r="D1107">
        <v>70</v>
      </c>
      <c r="E1107" t="s">
        <v>156</v>
      </c>
    </row>
    <row r="1108" spans="1:5" x14ac:dyDescent="0.2">
      <c r="A1108">
        <v>1107</v>
      </c>
      <c r="B1108" s="1" t="s">
        <v>113</v>
      </c>
      <c r="C1108" t="s">
        <v>152</v>
      </c>
      <c r="D1108">
        <v>40</v>
      </c>
      <c r="E1108" t="s">
        <v>156</v>
      </c>
    </row>
    <row r="1109" spans="1:5" x14ac:dyDescent="0.2">
      <c r="A1109">
        <v>1108</v>
      </c>
      <c r="B1109" s="1" t="s">
        <v>113</v>
      </c>
      <c r="C1109" t="s">
        <v>152</v>
      </c>
      <c r="D1109">
        <v>47</v>
      </c>
      <c r="E1109" t="s">
        <v>156</v>
      </c>
    </row>
    <row r="1110" spans="1:5" x14ac:dyDescent="0.2">
      <c r="A1110">
        <v>1109</v>
      </c>
      <c r="B1110" s="1" t="s">
        <v>113</v>
      </c>
      <c r="C1110" t="s">
        <v>152</v>
      </c>
      <c r="D1110">
        <v>86</v>
      </c>
      <c r="E1110" t="s">
        <v>156</v>
      </c>
    </row>
    <row r="1111" spans="1:5" x14ac:dyDescent="0.2">
      <c r="A1111">
        <v>1110</v>
      </c>
      <c r="B1111" s="1" t="s">
        <v>108</v>
      </c>
      <c r="C1111" t="s">
        <v>152</v>
      </c>
      <c r="D1111">
        <v>43</v>
      </c>
      <c r="E1111" t="s">
        <v>156</v>
      </c>
    </row>
    <row r="1112" spans="1:5" x14ac:dyDescent="0.2">
      <c r="A1112">
        <v>1111</v>
      </c>
      <c r="B1112" s="1" t="s">
        <v>110</v>
      </c>
      <c r="C1112" t="s">
        <v>152</v>
      </c>
      <c r="D1112">
        <v>31</v>
      </c>
      <c r="E1112" t="s">
        <v>156</v>
      </c>
    </row>
    <row r="1113" spans="1:5" x14ac:dyDescent="0.2">
      <c r="A1113">
        <v>1112</v>
      </c>
      <c r="B1113" s="1" t="s">
        <v>105</v>
      </c>
      <c r="C1113" t="s">
        <v>152</v>
      </c>
      <c r="D1113">
        <v>30</v>
      </c>
      <c r="E1113" t="s">
        <v>156</v>
      </c>
    </row>
    <row r="1114" spans="1:5" x14ac:dyDescent="0.2">
      <c r="A1114">
        <v>1113</v>
      </c>
      <c r="B1114" s="1" t="s">
        <v>106</v>
      </c>
      <c r="C1114" t="s">
        <v>152</v>
      </c>
      <c r="D1114">
        <v>39</v>
      </c>
      <c r="E1114" t="s">
        <v>156</v>
      </c>
    </row>
    <row r="1115" spans="1:5" x14ac:dyDescent="0.2">
      <c r="A1115">
        <v>1114</v>
      </c>
      <c r="B1115" s="1" t="s">
        <v>113</v>
      </c>
      <c r="C1115" t="s">
        <v>152</v>
      </c>
      <c r="D1115">
        <v>39</v>
      </c>
      <c r="E1115" t="s">
        <v>156</v>
      </c>
    </row>
    <row r="1116" spans="1:5" x14ac:dyDescent="0.2">
      <c r="A1116">
        <v>1115</v>
      </c>
      <c r="B1116" s="1" t="s">
        <v>102</v>
      </c>
      <c r="C1116" t="s">
        <v>151</v>
      </c>
      <c r="D1116">
        <v>22</v>
      </c>
      <c r="E1116" t="s">
        <v>156</v>
      </c>
    </row>
    <row r="1117" spans="1:5" x14ac:dyDescent="0.2">
      <c r="A1117">
        <v>1116</v>
      </c>
      <c r="B1117" s="1" t="s">
        <v>100</v>
      </c>
      <c r="C1117" t="s">
        <v>151</v>
      </c>
      <c r="D1117">
        <v>79</v>
      </c>
      <c r="E1117" t="s">
        <v>156</v>
      </c>
    </row>
    <row r="1118" spans="1:5" x14ac:dyDescent="0.2">
      <c r="A1118">
        <v>1117</v>
      </c>
      <c r="B1118" s="1" t="s">
        <v>101</v>
      </c>
      <c r="C1118" t="s">
        <v>152</v>
      </c>
      <c r="D1118">
        <v>63</v>
      </c>
      <c r="E1118" t="s">
        <v>156</v>
      </c>
    </row>
    <row r="1119" spans="1:5" x14ac:dyDescent="0.2">
      <c r="A1119">
        <v>1118</v>
      </c>
      <c r="B1119" s="1" t="s">
        <v>101</v>
      </c>
      <c r="C1119" t="s">
        <v>151</v>
      </c>
      <c r="D1119">
        <v>45</v>
      </c>
      <c r="E1119" t="s">
        <v>156</v>
      </c>
    </row>
    <row r="1120" spans="1:5" x14ac:dyDescent="0.2">
      <c r="A1120">
        <v>1119</v>
      </c>
      <c r="B1120" s="1" t="s">
        <v>101</v>
      </c>
      <c r="C1120" t="s">
        <v>151</v>
      </c>
      <c r="D1120">
        <v>89</v>
      </c>
      <c r="E1120" t="s">
        <v>156</v>
      </c>
    </row>
    <row r="1121" spans="1:5" x14ac:dyDescent="0.2">
      <c r="A1121">
        <v>1120</v>
      </c>
      <c r="B1121" s="1" t="s">
        <v>108</v>
      </c>
      <c r="C1121" t="s">
        <v>152</v>
      </c>
      <c r="D1121">
        <v>53</v>
      </c>
      <c r="E1121" t="s">
        <v>156</v>
      </c>
    </row>
    <row r="1122" spans="1:5" x14ac:dyDescent="0.2">
      <c r="A1122">
        <v>1121</v>
      </c>
      <c r="B1122" s="1" t="s">
        <v>113</v>
      </c>
      <c r="C1122" t="s">
        <v>152</v>
      </c>
      <c r="D1122">
        <v>51</v>
      </c>
      <c r="E1122" t="s">
        <v>156</v>
      </c>
    </row>
    <row r="1123" spans="1:5" x14ac:dyDescent="0.2">
      <c r="A1123">
        <v>1122</v>
      </c>
      <c r="B1123" s="1" t="s">
        <v>109</v>
      </c>
      <c r="C1123" t="s">
        <v>151</v>
      </c>
      <c r="D1123">
        <v>33</v>
      </c>
      <c r="E1123" t="s">
        <v>156</v>
      </c>
    </row>
    <row r="1124" spans="1:5" x14ac:dyDescent="0.2">
      <c r="A1124">
        <v>1123</v>
      </c>
      <c r="B1124" s="1" t="s">
        <v>100</v>
      </c>
      <c r="C1124" t="s">
        <v>152</v>
      </c>
      <c r="D1124">
        <v>54</v>
      </c>
      <c r="E1124" t="s">
        <v>156</v>
      </c>
    </row>
    <row r="1125" spans="1:5" x14ac:dyDescent="0.2">
      <c r="A1125">
        <v>1124</v>
      </c>
      <c r="B1125" s="1" t="s">
        <v>105</v>
      </c>
      <c r="C1125" t="s">
        <v>151</v>
      </c>
      <c r="D1125">
        <v>36</v>
      </c>
      <c r="E1125" t="s">
        <v>156</v>
      </c>
    </row>
    <row r="1126" spans="1:5" x14ac:dyDescent="0.2">
      <c r="A1126">
        <v>1125</v>
      </c>
      <c r="B1126" s="1" t="s">
        <v>106</v>
      </c>
      <c r="C1126" t="s">
        <v>151</v>
      </c>
      <c r="D1126">
        <v>18</v>
      </c>
      <c r="E1126" t="s">
        <v>156</v>
      </c>
    </row>
    <row r="1127" spans="1:5" x14ac:dyDescent="0.2">
      <c r="A1127">
        <v>1126</v>
      </c>
      <c r="B1127" s="1" t="s">
        <v>100</v>
      </c>
      <c r="C1127" t="s">
        <v>151</v>
      </c>
      <c r="D1127">
        <v>65</v>
      </c>
      <c r="E1127" t="s">
        <v>156</v>
      </c>
    </row>
    <row r="1128" spans="1:5" x14ac:dyDescent="0.2">
      <c r="A1128">
        <v>1127</v>
      </c>
      <c r="B1128" s="1" t="s">
        <v>103</v>
      </c>
      <c r="C1128" t="s">
        <v>152</v>
      </c>
      <c r="D1128">
        <v>83</v>
      </c>
      <c r="E1128" t="s">
        <v>156</v>
      </c>
    </row>
    <row r="1129" spans="1:5" x14ac:dyDescent="0.2">
      <c r="A1129">
        <v>1128</v>
      </c>
      <c r="B1129" s="1" t="s">
        <v>100</v>
      </c>
      <c r="C1129" t="s">
        <v>152</v>
      </c>
      <c r="D1129">
        <v>18</v>
      </c>
      <c r="E1129" t="s">
        <v>156</v>
      </c>
    </row>
    <row r="1130" spans="1:5" x14ac:dyDescent="0.2">
      <c r="A1130">
        <v>1129</v>
      </c>
      <c r="B1130" s="1" t="s">
        <v>113</v>
      </c>
      <c r="C1130" t="s">
        <v>151</v>
      </c>
      <c r="D1130">
        <v>67</v>
      </c>
      <c r="E1130" t="s">
        <v>156</v>
      </c>
    </row>
    <row r="1131" spans="1:5" x14ac:dyDescent="0.2">
      <c r="A1131">
        <v>1130</v>
      </c>
      <c r="B1131" s="1" t="s">
        <v>113</v>
      </c>
      <c r="C1131" t="s">
        <v>151</v>
      </c>
      <c r="D1131">
        <v>30</v>
      </c>
      <c r="E1131" t="s">
        <v>156</v>
      </c>
    </row>
    <row r="1132" spans="1:5" x14ac:dyDescent="0.2">
      <c r="A1132">
        <v>1131</v>
      </c>
      <c r="B1132" s="1" t="s">
        <v>101</v>
      </c>
      <c r="C1132" t="s">
        <v>152</v>
      </c>
      <c r="D1132">
        <v>38</v>
      </c>
      <c r="E1132" t="s">
        <v>156</v>
      </c>
    </row>
    <row r="1133" spans="1:5" x14ac:dyDescent="0.2">
      <c r="A1133">
        <v>1132</v>
      </c>
      <c r="B1133" s="1" t="s">
        <v>100</v>
      </c>
      <c r="C1133" t="s">
        <v>151</v>
      </c>
      <c r="D1133">
        <v>27</v>
      </c>
      <c r="E1133" t="s">
        <v>156</v>
      </c>
    </row>
    <row r="1134" spans="1:5" x14ac:dyDescent="0.2">
      <c r="A1134">
        <v>1133</v>
      </c>
      <c r="B1134" s="1" t="s">
        <v>113</v>
      </c>
      <c r="C1134" t="s">
        <v>152</v>
      </c>
      <c r="D1134">
        <v>59</v>
      </c>
      <c r="E1134" t="s">
        <v>156</v>
      </c>
    </row>
    <row r="1135" spans="1:5" x14ac:dyDescent="0.2">
      <c r="A1135">
        <v>1134</v>
      </c>
      <c r="B1135" s="1" t="s">
        <v>107</v>
      </c>
      <c r="C1135" t="s">
        <v>151</v>
      </c>
      <c r="D1135">
        <v>53</v>
      </c>
      <c r="E1135" t="s">
        <v>156</v>
      </c>
    </row>
    <row r="1136" spans="1:5" x14ac:dyDescent="0.2">
      <c r="A1136">
        <v>1135</v>
      </c>
      <c r="B1136" s="1" t="s">
        <v>113</v>
      </c>
      <c r="C1136" t="s">
        <v>151</v>
      </c>
      <c r="D1136">
        <v>74</v>
      </c>
      <c r="E1136" t="s">
        <v>156</v>
      </c>
    </row>
    <row r="1137" spans="1:5" x14ac:dyDescent="0.2">
      <c r="A1137">
        <v>1136</v>
      </c>
      <c r="B1137" s="1" t="s">
        <v>106</v>
      </c>
      <c r="C1137" t="s">
        <v>152</v>
      </c>
      <c r="D1137">
        <v>89</v>
      </c>
      <c r="E1137" t="s">
        <v>156</v>
      </c>
    </row>
    <row r="1138" spans="1:5" x14ac:dyDescent="0.2">
      <c r="A1138">
        <v>1137</v>
      </c>
      <c r="B1138" s="1" t="s">
        <v>100</v>
      </c>
      <c r="C1138" t="s">
        <v>151</v>
      </c>
      <c r="D1138">
        <v>52</v>
      </c>
      <c r="E1138" t="s">
        <v>156</v>
      </c>
    </row>
    <row r="1139" spans="1:5" x14ac:dyDescent="0.2">
      <c r="A1139">
        <v>1138</v>
      </c>
      <c r="B1139" s="1" t="s">
        <v>101</v>
      </c>
      <c r="C1139" t="s">
        <v>152</v>
      </c>
      <c r="D1139">
        <v>83</v>
      </c>
      <c r="E1139" t="s">
        <v>156</v>
      </c>
    </row>
    <row r="1140" spans="1:5" x14ac:dyDescent="0.2">
      <c r="A1140">
        <v>1139</v>
      </c>
      <c r="B1140" s="1" t="s">
        <v>99</v>
      </c>
      <c r="C1140" t="s">
        <v>152</v>
      </c>
      <c r="D1140">
        <v>84</v>
      </c>
      <c r="E1140" t="s">
        <v>156</v>
      </c>
    </row>
    <row r="1141" spans="1:5" x14ac:dyDescent="0.2">
      <c r="A1141">
        <v>1140</v>
      </c>
      <c r="B1141" s="1" t="s">
        <v>102</v>
      </c>
      <c r="C1141" t="s">
        <v>151</v>
      </c>
      <c r="D1141">
        <v>69</v>
      </c>
      <c r="E1141" t="s">
        <v>156</v>
      </c>
    </row>
    <row r="1142" spans="1:5" x14ac:dyDescent="0.2">
      <c r="A1142">
        <v>1141</v>
      </c>
      <c r="B1142" s="1" t="s">
        <v>100</v>
      </c>
      <c r="C1142" t="s">
        <v>151</v>
      </c>
      <c r="D1142">
        <v>60</v>
      </c>
      <c r="E1142" t="s">
        <v>156</v>
      </c>
    </row>
    <row r="1143" spans="1:5" x14ac:dyDescent="0.2">
      <c r="A1143">
        <v>1142</v>
      </c>
      <c r="B1143" s="1" t="s">
        <v>99</v>
      </c>
      <c r="C1143" t="s">
        <v>152</v>
      </c>
      <c r="D1143">
        <v>59</v>
      </c>
      <c r="E1143" t="s">
        <v>156</v>
      </c>
    </row>
    <row r="1144" spans="1:5" x14ac:dyDescent="0.2">
      <c r="A1144">
        <v>1143</v>
      </c>
      <c r="B1144" s="1" t="s">
        <v>107</v>
      </c>
      <c r="C1144" t="s">
        <v>151</v>
      </c>
      <c r="D1144">
        <v>59</v>
      </c>
      <c r="E1144" t="s">
        <v>156</v>
      </c>
    </row>
    <row r="1145" spans="1:5" x14ac:dyDescent="0.2">
      <c r="A1145">
        <v>1144</v>
      </c>
      <c r="B1145" s="1" t="s">
        <v>99</v>
      </c>
      <c r="C1145" t="s">
        <v>152</v>
      </c>
      <c r="D1145">
        <v>61</v>
      </c>
      <c r="E1145" t="s">
        <v>156</v>
      </c>
    </row>
    <row r="1146" spans="1:5" x14ac:dyDescent="0.2">
      <c r="A1146">
        <v>1145</v>
      </c>
      <c r="B1146" s="1" t="s">
        <v>99</v>
      </c>
      <c r="C1146" t="s">
        <v>152</v>
      </c>
      <c r="D1146">
        <v>50</v>
      </c>
      <c r="E1146" t="s">
        <v>156</v>
      </c>
    </row>
    <row r="1147" spans="1:5" x14ac:dyDescent="0.2">
      <c r="A1147">
        <v>1146</v>
      </c>
      <c r="B1147" s="1" t="s">
        <v>99</v>
      </c>
      <c r="C1147" t="s">
        <v>151</v>
      </c>
      <c r="D1147">
        <v>23</v>
      </c>
      <c r="E1147" t="s">
        <v>156</v>
      </c>
    </row>
    <row r="1148" spans="1:5" x14ac:dyDescent="0.2">
      <c r="A1148">
        <v>1147</v>
      </c>
      <c r="B1148" s="1" t="s">
        <v>100</v>
      </c>
      <c r="C1148" t="s">
        <v>151</v>
      </c>
      <c r="D1148">
        <v>53</v>
      </c>
      <c r="E1148" t="s">
        <v>156</v>
      </c>
    </row>
    <row r="1149" spans="1:5" x14ac:dyDescent="0.2">
      <c r="A1149">
        <v>1148</v>
      </c>
      <c r="B1149" s="1" t="s">
        <v>102</v>
      </c>
      <c r="C1149" t="s">
        <v>152</v>
      </c>
      <c r="D1149">
        <v>53</v>
      </c>
      <c r="E1149" t="s">
        <v>156</v>
      </c>
    </row>
    <row r="1150" spans="1:5" x14ac:dyDescent="0.2">
      <c r="A1150">
        <v>1149</v>
      </c>
      <c r="B1150" s="1" t="s">
        <v>99</v>
      </c>
      <c r="C1150" t="s">
        <v>151</v>
      </c>
      <c r="D1150">
        <v>31</v>
      </c>
      <c r="E1150" t="s">
        <v>156</v>
      </c>
    </row>
    <row r="1151" spans="1:5" x14ac:dyDescent="0.2">
      <c r="A1151">
        <v>1150</v>
      </c>
      <c r="B1151" s="1" t="s">
        <v>99</v>
      </c>
      <c r="C1151" t="s">
        <v>151</v>
      </c>
      <c r="D1151">
        <v>77</v>
      </c>
      <c r="E1151" t="s">
        <v>156</v>
      </c>
    </row>
    <row r="1152" spans="1:5" x14ac:dyDescent="0.2">
      <c r="A1152">
        <v>1151</v>
      </c>
      <c r="B1152" s="1" t="s">
        <v>101</v>
      </c>
      <c r="C1152" t="s">
        <v>152</v>
      </c>
      <c r="D1152">
        <v>76</v>
      </c>
      <c r="E1152" t="s">
        <v>156</v>
      </c>
    </row>
    <row r="1153" spans="1:5" x14ac:dyDescent="0.2">
      <c r="A1153">
        <v>1152</v>
      </c>
      <c r="B1153" s="1" t="s">
        <v>105</v>
      </c>
      <c r="C1153" t="s">
        <v>151</v>
      </c>
      <c r="D1153">
        <v>67</v>
      </c>
      <c r="E1153" t="s">
        <v>156</v>
      </c>
    </row>
    <row r="1154" spans="1:5" x14ac:dyDescent="0.2">
      <c r="A1154">
        <v>1153</v>
      </c>
      <c r="B1154" s="1" t="s">
        <v>107</v>
      </c>
      <c r="C1154" t="s">
        <v>152</v>
      </c>
      <c r="D1154">
        <v>39</v>
      </c>
      <c r="E1154" t="s">
        <v>156</v>
      </c>
    </row>
    <row r="1155" spans="1:5" x14ac:dyDescent="0.2">
      <c r="A1155">
        <v>1154</v>
      </c>
      <c r="B1155" s="1" t="s">
        <v>105</v>
      </c>
      <c r="C1155" t="s">
        <v>151</v>
      </c>
      <c r="D1155">
        <v>88</v>
      </c>
      <c r="E1155" t="s">
        <v>156</v>
      </c>
    </row>
    <row r="1156" spans="1:5" x14ac:dyDescent="0.2">
      <c r="A1156">
        <v>1155</v>
      </c>
      <c r="B1156" s="1" t="s">
        <v>105</v>
      </c>
      <c r="C1156" t="s">
        <v>151</v>
      </c>
      <c r="D1156">
        <v>58</v>
      </c>
      <c r="E1156" t="s">
        <v>156</v>
      </c>
    </row>
    <row r="1157" spans="1:5" x14ac:dyDescent="0.2">
      <c r="A1157">
        <v>1156</v>
      </c>
      <c r="B1157" s="1" t="s">
        <v>103</v>
      </c>
      <c r="C1157" t="s">
        <v>151</v>
      </c>
      <c r="D1157">
        <v>35</v>
      </c>
      <c r="E1157" t="s">
        <v>156</v>
      </c>
    </row>
    <row r="1158" spans="1:5" x14ac:dyDescent="0.2">
      <c r="A1158">
        <v>1157</v>
      </c>
      <c r="B1158" s="1" t="s">
        <v>106</v>
      </c>
      <c r="C1158" t="s">
        <v>152</v>
      </c>
      <c r="D1158">
        <v>70</v>
      </c>
      <c r="E1158" t="s">
        <v>156</v>
      </c>
    </row>
    <row r="1159" spans="1:5" x14ac:dyDescent="0.2">
      <c r="A1159">
        <v>1158</v>
      </c>
      <c r="B1159" s="1" t="s">
        <v>103</v>
      </c>
      <c r="C1159" t="s">
        <v>151</v>
      </c>
      <c r="D1159">
        <v>59</v>
      </c>
      <c r="E1159" t="s">
        <v>156</v>
      </c>
    </row>
    <row r="1160" spans="1:5" x14ac:dyDescent="0.2">
      <c r="A1160">
        <v>1159</v>
      </c>
      <c r="B1160" s="1" t="s">
        <v>99</v>
      </c>
      <c r="C1160" t="s">
        <v>152</v>
      </c>
      <c r="D1160">
        <v>58</v>
      </c>
      <c r="E1160" t="s">
        <v>156</v>
      </c>
    </row>
    <row r="1161" spans="1:5" x14ac:dyDescent="0.2">
      <c r="A1161">
        <v>1160</v>
      </c>
      <c r="B1161" s="1" t="s">
        <v>101</v>
      </c>
      <c r="C1161" t="s">
        <v>151</v>
      </c>
      <c r="D1161">
        <v>58</v>
      </c>
      <c r="E1161" t="s">
        <v>156</v>
      </c>
    </row>
    <row r="1162" spans="1:5" x14ac:dyDescent="0.2">
      <c r="A1162">
        <v>1161</v>
      </c>
      <c r="B1162" s="1" t="s">
        <v>105</v>
      </c>
      <c r="C1162" t="s">
        <v>152</v>
      </c>
      <c r="D1162">
        <v>36</v>
      </c>
      <c r="E1162" t="s">
        <v>156</v>
      </c>
    </row>
    <row r="1163" spans="1:5" x14ac:dyDescent="0.2">
      <c r="A1163">
        <v>1162</v>
      </c>
      <c r="B1163" s="1" t="s">
        <v>99</v>
      </c>
      <c r="C1163" t="s">
        <v>152</v>
      </c>
      <c r="D1163">
        <v>87</v>
      </c>
      <c r="E1163" t="s">
        <v>156</v>
      </c>
    </row>
    <row r="1164" spans="1:5" x14ac:dyDescent="0.2">
      <c r="A1164">
        <v>1163</v>
      </c>
      <c r="B1164" s="1" t="s">
        <v>108</v>
      </c>
      <c r="C1164" t="s">
        <v>152</v>
      </c>
      <c r="D1164">
        <v>72</v>
      </c>
      <c r="E1164" t="s">
        <v>156</v>
      </c>
    </row>
    <row r="1165" spans="1:5" x14ac:dyDescent="0.2">
      <c r="A1165">
        <v>1164</v>
      </c>
      <c r="B1165" s="1" t="s">
        <v>99</v>
      </c>
      <c r="C1165" t="s">
        <v>151</v>
      </c>
      <c r="D1165">
        <v>63</v>
      </c>
      <c r="E1165" t="s">
        <v>156</v>
      </c>
    </row>
    <row r="1166" spans="1:5" x14ac:dyDescent="0.2">
      <c r="A1166">
        <v>1165</v>
      </c>
      <c r="B1166" s="1" t="s">
        <v>105</v>
      </c>
      <c r="C1166" t="s">
        <v>151</v>
      </c>
      <c r="D1166">
        <v>28</v>
      </c>
      <c r="E1166" t="s">
        <v>156</v>
      </c>
    </row>
    <row r="1167" spans="1:5" x14ac:dyDescent="0.2">
      <c r="A1167">
        <v>1166</v>
      </c>
      <c r="B1167" s="1" t="s">
        <v>99</v>
      </c>
      <c r="C1167" t="s">
        <v>152</v>
      </c>
      <c r="D1167">
        <v>31</v>
      </c>
      <c r="E1167" t="s">
        <v>156</v>
      </c>
    </row>
    <row r="1168" spans="1:5" x14ac:dyDescent="0.2">
      <c r="A1168">
        <v>1167</v>
      </c>
      <c r="B1168" s="1" t="s">
        <v>99</v>
      </c>
      <c r="C1168" t="s">
        <v>151</v>
      </c>
      <c r="D1168">
        <v>78</v>
      </c>
      <c r="E1168" t="s">
        <v>156</v>
      </c>
    </row>
    <row r="1169" spans="1:5" x14ac:dyDescent="0.2">
      <c r="A1169">
        <v>1168</v>
      </c>
      <c r="B1169" s="1" t="s">
        <v>99</v>
      </c>
      <c r="C1169" t="s">
        <v>152</v>
      </c>
      <c r="D1169">
        <v>41</v>
      </c>
      <c r="E1169" t="s">
        <v>156</v>
      </c>
    </row>
    <row r="1170" spans="1:5" x14ac:dyDescent="0.2">
      <c r="A1170">
        <v>1169</v>
      </c>
      <c r="B1170" s="1" t="s">
        <v>100</v>
      </c>
      <c r="C1170" t="s">
        <v>151</v>
      </c>
      <c r="D1170">
        <v>26</v>
      </c>
      <c r="E1170" t="s">
        <v>156</v>
      </c>
    </row>
    <row r="1171" spans="1:5" x14ac:dyDescent="0.2">
      <c r="A1171">
        <v>1170</v>
      </c>
      <c r="B1171" s="1" t="s">
        <v>109</v>
      </c>
      <c r="C1171" t="s">
        <v>152</v>
      </c>
      <c r="D1171">
        <v>65</v>
      </c>
      <c r="E1171" t="s">
        <v>156</v>
      </c>
    </row>
    <row r="1172" spans="1:5" x14ac:dyDescent="0.2">
      <c r="A1172">
        <v>1171</v>
      </c>
      <c r="B1172" s="1" t="s">
        <v>100</v>
      </c>
      <c r="C1172" t="s">
        <v>151</v>
      </c>
      <c r="D1172">
        <v>53</v>
      </c>
      <c r="E1172" t="s">
        <v>156</v>
      </c>
    </row>
    <row r="1173" spans="1:5" x14ac:dyDescent="0.2">
      <c r="A1173">
        <v>1172</v>
      </c>
      <c r="B1173" s="1" t="s">
        <v>101</v>
      </c>
      <c r="C1173" t="s">
        <v>152</v>
      </c>
      <c r="D1173">
        <v>23</v>
      </c>
      <c r="E1173" t="s">
        <v>156</v>
      </c>
    </row>
    <row r="1174" spans="1:5" x14ac:dyDescent="0.2">
      <c r="A1174">
        <v>1173</v>
      </c>
      <c r="B1174" s="1" t="s">
        <v>99</v>
      </c>
      <c r="C1174" t="s">
        <v>151</v>
      </c>
      <c r="D1174">
        <v>84</v>
      </c>
      <c r="E1174" t="s">
        <v>156</v>
      </c>
    </row>
    <row r="1175" spans="1:5" x14ac:dyDescent="0.2">
      <c r="A1175">
        <v>1174</v>
      </c>
      <c r="B1175" s="1" t="s">
        <v>99</v>
      </c>
      <c r="C1175" t="s">
        <v>151</v>
      </c>
      <c r="D1175">
        <v>60</v>
      </c>
      <c r="E1175" t="s">
        <v>156</v>
      </c>
    </row>
    <row r="1176" spans="1:5" x14ac:dyDescent="0.2">
      <c r="A1176">
        <v>1175</v>
      </c>
      <c r="B1176" s="1" t="s">
        <v>109</v>
      </c>
      <c r="C1176" t="s">
        <v>152</v>
      </c>
      <c r="D1176">
        <v>87</v>
      </c>
      <c r="E1176" t="s">
        <v>156</v>
      </c>
    </row>
    <row r="1177" spans="1:5" x14ac:dyDescent="0.2">
      <c r="A1177">
        <v>1176</v>
      </c>
      <c r="B1177" s="1" t="s">
        <v>99</v>
      </c>
      <c r="C1177" t="s">
        <v>152</v>
      </c>
      <c r="D1177">
        <v>89</v>
      </c>
      <c r="E1177" t="s">
        <v>156</v>
      </c>
    </row>
    <row r="1178" spans="1:5" x14ac:dyDescent="0.2">
      <c r="A1178">
        <v>1177</v>
      </c>
      <c r="B1178" s="1" t="s">
        <v>108</v>
      </c>
      <c r="C1178" t="s">
        <v>152</v>
      </c>
      <c r="D1178">
        <v>90</v>
      </c>
      <c r="E1178" t="s">
        <v>156</v>
      </c>
    </row>
    <row r="1179" spans="1:5" x14ac:dyDescent="0.2">
      <c r="A1179">
        <v>1178</v>
      </c>
      <c r="B1179" s="1" t="s">
        <v>101</v>
      </c>
      <c r="C1179" t="s">
        <v>152</v>
      </c>
      <c r="D1179">
        <v>56</v>
      </c>
      <c r="E1179" t="s">
        <v>156</v>
      </c>
    </row>
    <row r="1180" spans="1:5" x14ac:dyDescent="0.2">
      <c r="A1180">
        <v>1179</v>
      </c>
      <c r="B1180" s="1" t="s">
        <v>105</v>
      </c>
      <c r="C1180" t="s">
        <v>152</v>
      </c>
      <c r="D1180">
        <v>49</v>
      </c>
      <c r="E1180" t="s">
        <v>156</v>
      </c>
    </row>
    <row r="1181" spans="1:5" x14ac:dyDescent="0.2">
      <c r="A1181">
        <v>1180</v>
      </c>
      <c r="B1181" s="1" t="s">
        <v>105</v>
      </c>
      <c r="C1181" t="s">
        <v>152</v>
      </c>
      <c r="D1181">
        <v>85</v>
      </c>
      <c r="E1181" t="s">
        <v>156</v>
      </c>
    </row>
    <row r="1182" spans="1:5" x14ac:dyDescent="0.2">
      <c r="A1182">
        <v>1181</v>
      </c>
      <c r="B1182" s="1" t="s">
        <v>106</v>
      </c>
      <c r="C1182" t="s">
        <v>152</v>
      </c>
      <c r="D1182">
        <v>68</v>
      </c>
      <c r="E1182" t="s">
        <v>156</v>
      </c>
    </row>
    <row r="1183" spans="1:5" x14ac:dyDescent="0.2">
      <c r="A1183">
        <v>1182</v>
      </c>
      <c r="B1183" s="1" t="s">
        <v>99</v>
      </c>
      <c r="C1183" t="s">
        <v>151</v>
      </c>
      <c r="D1183">
        <v>36</v>
      </c>
      <c r="E1183" t="s">
        <v>156</v>
      </c>
    </row>
    <row r="1184" spans="1:5" x14ac:dyDescent="0.2">
      <c r="A1184">
        <v>1183</v>
      </c>
      <c r="B1184" s="1" t="s">
        <v>100</v>
      </c>
      <c r="C1184" t="s">
        <v>151</v>
      </c>
      <c r="D1184">
        <v>66</v>
      </c>
      <c r="E1184" t="s">
        <v>156</v>
      </c>
    </row>
    <row r="1185" spans="1:5" x14ac:dyDescent="0.2">
      <c r="A1185">
        <v>1184</v>
      </c>
      <c r="B1185" s="1" t="s">
        <v>100</v>
      </c>
      <c r="C1185" t="s">
        <v>152</v>
      </c>
      <c r="D1185">
        <v>64</v>
      </c>
      <c r="E1185" t="s">
        <v>156</v>
      </c>
    </row>
    <row r="1186" spans="1:5" x14ac:dyDescent="0.2">
      <c r="A1186">
        <v>1185</v>
      </c>
      <c r="B1186" s="1" t="s">
        <v>101</v>
      </c>
      <c r="C1186" t="s">
        <v>152</v>
      </c>
      <c r="D1186">
        <v>34</v>
      </c>
      <c r="E1186" t="s">
        <v>156</v>
      </c>
    </row>
    <row r="1187" spans="1:5" x14ac:dyDescent="0.2">
      <c r="A1187">
        <v>1186</v>
      </c>
      <c r="B1187" s="1" t="s">
        <v>106</v>
      </c>
      <c r="C1187" t="s">
        <v>151</v>
      </c>
      <c r="D1187">
        <v>89</v>
      </c>
      <c r="E1187" t="s">
        <v>156</v>
      </c>
    </row>
    <row r="1188" spans="1:5" x14ac:dyDescent="0.2">
      <c r="A1188">
        <v>1187</v>
      </c>
      <c r="B1188" s="1" t="s">
        <v>101</v>
      </c>
      <c r="C1188" t="s">
        <v>151</v>
      </c>
      <c r="D1188">
        <v>31</v>
      </c>
      <c r="E1188" t="s">
        <v>156</v>
      </c>
    </row>
    <row r="1189" spans="1:5" x14ac:dyDescent="0.2">
      <c r="A1189">
        <v>1188</v>
      </c>
      <c r="B1189" s="1" t="s">
        <v>99</v>
      </c>
      <c r="C1189" t="s">
        <v>151</v>
      </c>
      <c r="D1189">
        <v>89</v>
      </c>
      <c r="E1189" t="s">
        <v>156</v>
      </c>
    </row>
    <row r="1190" spans="1:5" x14ac:dyDescent="0.2">
      <c r="A1190">
        <v>1189</v>
      </c>
      <c r="B1190" s="1" t="s">
        <v>100</v>
      </c>
      <c r="C1190" t="s">
        <v>152</v>
      </c>
      <c r="D1190">
        <v>69</v>
      </c>
      <c r="E1190" t="s">
        <v>156</v>
      </c>
    </row>
    <row r="1191" spans="1:5" x14ac:dyDescent="0.2">
      <c r="A1191">
        <v>1190</v>
      </c>
      <c r="B1191" s="1" t="s">
        <v>103</v>
      </c>
      <c r="C1191" t="s">
        <v>151</v>
      </c>
      <c r="D1191">
        <v>50</v>
      </c>
      <c r="E1191" t="s">
        <v>156</v>
      </c>
    </row>
    <row r="1192" spans="1:5" x14ac:dyDescent="0.2">
      <c r="A1192">
        <v>1191</v>
      </c>
      <c r="B1192" s="1" t="s">
        <v>101</v>
      </c>
      <c r="C1192" t="s">
        <v>151</v>
      </c>
      <c r="D1192">
        <v>48</v>
      </c>
      <c r="E1192" t="s">
        <v>156</v>
      </c>
    </row>
    <row r="1193" spans="1:5" x14ac:dyDescent="0.2">
      <c r="A1193">
        <v>1192</v>
      </c>
      <c r="B1193" s="1" t="s">
        <v>99</v>
      </c>
      <c r="C1193" t="s">
        <v>152</v>
      </c>
      <c r="D1193">
        <v>87</v>
      </c>
      <c r="E1193" t="s">
        <v>156</v>
      </c>
    </row>
    <row r="1194" spans="1:5" x14ac:dyDescent="0.2">
      <c r="A1194">
        <v>1193</v>
      </c>
      <c r="B1194" s="1" t="s">
        <v>107</v>
      </c>
      <c r="C1194" t="s">
        <v>151</v>
      </c>
      <c r="D1194">
        <v>69</v>
      </c>
      <c r="E1194" t="s">
        <v>156</v>
      </c>
    </row>
    <row r="1195" spans="1:5" x14ac:dyDescent="0.2">
      <c r="A1195">
        <v>1194</v>
      </c>
      <c r="B1195" s="1" t="s">
        <v>104</v>
      </c>
      <c r="C1195" t="s">
        <v>151</v>
      </c>
      <c r="D1195">
        <v>64</v>
      </c>
      <c r="E1195" t="s">
        <v>156</v>
      </c>
    </row>
    <row r="1196" spans="1:5" x14ac:dyDescent="0.2">
      <c r="A1196">
        <v>1195</v>
      </c>
      <c r="B1196" s="1" t="s">
        <v>105</v>
      </c>
      <c r="C1196" t="s">
        <v>151</v>
      </c>
      <c r="D1196">
        <v>35</v>
      </c>
      <c r="E1196" t="s">
        <v>156</v>
      </c>
    </row>
    <row r="1197" spans="1:5" x14ac:dyDescent="0.2">
      <c r="A1197">
        <v>1196</v>
      </c>
      <c r="B1197" s="1" t="s">
        <v>99</v>
      </c>
      <c r="C1197" t="s">
        <v>151</v>
      </c>
      <c r="D1197">
        <v>82</v>
      </c>
      <c r="E1197" t="s">
        <v>156</v>
      </c>
    </row>
    <row r="1198" spans="1:5" x14ac:dyDescent="0.2">
      <c r="A1198">
        <v>1197</v>
      </c>
      <c r="B1198" s="1" t="s">
        <v>106</v>
      </c>
      <c r="C1198" t="s">
        <v>152</v>
      </c>
      <c r="D1198">
        <v>55</v>
      </c>
      <c r="E1198" t="s">
        <v>156</v>
      </c>
    </row>
    <row r="1199" spans="1:5" x14ac:dyDescent="0.2">
      <c r="A1199">
        <v>1198</v>
      </c>
      <c r="B1199" s="1" t="s">
        <v>99</v>
      </c>
      <c r="C1199" t="s">
        <v>151</v>
      </c>
      <c r="D1199">
        <v>63</v>
      </c>
      <c r="E1199" t="s">
        <v>156</v>
      </c>
    </row>
    <row r="1200" spans="1:5" x14ac:dyDescent="0.2">
      <c r="A1200">
        <v>1199</v>
      </c>
      <c r="B1200" s="1" t="s">
        <v>107</v>
      </c>
      <c r="C1200" t="s">
        <v>151</v>
      </c>
      <c r="D1200">
        <v>38</v>
      </c>
      <c r="E1200" t="s">
        <v>156</v>
      </c>
    </row>
    <row r="1201" spans="1:5" x14ac:dyDescent="0.2">
      <c r="A1201">
        <v>1200</v>
      </c>
      <c r="B1201" s="1" t="s">
        <v>99</v>
      </c>
      <c r="C1201" t="s">
        <v>152</v>
      </c>
      <c r="D1201">
        <v>31</v>
      </c>
      <c r="E1201" t="s">
        <v>156</v>
      </c>
    </row>
    <row r="1202" spans="1:5" x14ac:dyDescent="0.2">
      <c r="A1202">
        <v>1201</v>
      </c>
      <c r="B1202" s="1" t="s">
        <v>100</v>
      </c>
      <c r="C1202" t="s">
        <v>151</v>
      </c>
      <c r="D1202">
        <v>89</v>
      </c>
      <c r="E1202" t="s">
        <v>156</v>
      </c>
    </row>
    <row r="1203" spans="1:5" x14ac:dyDescent="0.2">
      <c r="A1203">
        <v>1202</v>
      </c>
      <c r="B1203" s="1" t="s">
        <v>100</v>
      </c>
      <c r="C1203" t="s">
        <v>152</v>
      </c>
      <c r="D1203">
        <v>25</v>
      </c>
      <c r="E1203" t="s">
        <v>156</v>
      </c>
    </row>
    <row r="1204" spans="1:5" x14ac:dyDescent="0.2">
      <c r="A1204">
        <v>1203</v>
      </c>
      <c r="B1204" s="1" t="s">
        <v>99</v>
      </c>
      <c r="C1204" t="s">
        <v>151</v>
      </c>
      <c r="D1204">
        <v>64</v>
      </c>
      <c r="E1204" t="s">
        <v>156</v>
      </c>
    </row>
    <row r="1205" spans="1:5" x14ac:dyDescent="0.2">
      <c r="A1205">
        <v>1204</v>
      </c>
      <c r="B1205" s="1" t="s">
        <v>99</v>
      </c>
      <c r="C1205" t="s">
        <v>152</v>
      </c>
      <c r="D1205">
        <v>89</v>
      </c>
      <c r="E1205" t="s">
        <v>156</v>
      </c>
    </row>
    <row r="1206" spans="1:5" x14ac:dyDescent="0.2">
      <c r="A1206">
        <v>1205</v>
      </c>
      <c r="B1206" s="1" t="s">
        <v>105</v>
      </c>
      <c r="C1206" t="s">
        <v>152</v>
      </c>
      <c r="D1206">
        <v>89</v>
      </c>
      <c r="E1206" t="s">
        <v>156</v>
      </c>
    </row>
    <row r="1207" spans="1:5" x14ac:dyDescent="0.2">
      <c r="A1207">
        <v>1206</v>
      </c>
      <c r="B1207" s="1" t="s">
        <v>99</v>
      </c>
      <c r="C1207" t="s">
        <v>152</v>
      </c>
      <c r="D1207">
        <v>89</v>
      </c>
      <c r="E1207" t="s">
        <v>156</v>
      </c>
    </row>
    <row r="1208" spans="1:5" x14ac:dyDescent="0.2">
      <c r="A1208">
        <v>1207</v>
      </c>
      <c r="B1208" s="1" t="s">
        <v>107</v>
      </c>
      <c r="C1208" t="s">
        <v>152</v>
      </c>
      <c r="D1208">
        <v>44</v>
      </c>
      <c r="E1208" t="s">
        <v>156</v>
      </c>
    </row>
    <row r="1209" spans="1:5" x14ac:dyDescent="0.2">
      <c r="A1209">
        <v>1208</v>
      </c>
      <c r="B1209" s="1" t="s">
        <v>99</v>
      </c>
      <c r="C1209" t="s">
        <v>151</v>
      </c>
      <c r="D1209">
        <v>73</v>
      </c>
      <c r="E1209" t="s">
        <v>156</v>
      </c>
    </row>
    <row r="1210" spans="1:5" x14ac:dyDescent="0.2">
      <c r="A1210">
        <v>1209</v>
      </c>
      <c r="B1210" s="1" t="s">
        <v>102</v>
      </c>
      <c r="C1210" t="s">
        <v>151</v>
      </c>
      <c r="D1210">
        <v>38</v>
      </c>
      <c r="E1210" t="s">
        <v>156</v>
      </c>
    </row>
    <row r="1211" spans="1:5" x14ac:dyDescent="0.2">
      <c r="A1211">
        <v>1210</v>
      </c>
      <c r="B1211" s="1" t="s">
        <v>105</v>
      </c>
      <c r="C1211" t="s">
        <v>151</v>
      </c>
      <c r="D1211">
        <v>88</v>
      </c>
      <c r="E1211" t="s">
        <v>156</v>
      </c>
    </row>
    <row r="1212" spans="1:5" x14ac:dyDescent="0.2">
      <c r="A1212">
        <v>1211</v>
      </c>
      <c r="B1212" s="1" t="s">
        <v>99</v>
      </c>
      <c r="C1212" t="s">
        <v>152</v>
      </c>
      <c r="D1212">
        <v>41</v>
      </c>
      <c r="E1212" t="s">
        <v>156</v>
      </c>
    </row>
    <row r="1213" spans="1:5" x14ac:dyDescent="0.2">
      <c r="A1213">
        <v>1212</v>
      </c>
      <c r="B1213" s="1" t="s">
        <v>106</v>
      </c>
      <c r="C1213" t="s">
        <v>152</v>
      </c>
      <c r="D1213">
        <v>43</v>
      </c>
      <c r="E1213" t="s">
        <v>156</v>
      </c>
    </row>
    <row r="1214" spans="1:5" x14ac:dyDescent="0.2">
      <c r="A1214">
        <v>1213</v>
      </c>
      <c r="B1214" s="1" t="s">
        <v>105</v>
      </c>
      <c r="C1214" t="s">
        <v>152</v>
      </c>
      <c r="D1214">
        <v>75</v>
      </c>
      <c r="E1214" t="s">
        <v>156</v>
      </c>
    </row>
    <row r="1215" spans="1:5" x14ac:dyDescent="0.2">
      <c r="A1215">
        <v>1214</v>
      </c>
      <c r="B1215" s="1" t="s">
        <v>100</v>
      </c>
      <c r="C1215" t="s">
        <v>151</v>
      </c>
      <c r="D1215">
        <v>29</v>
      </c>
      <c r="E1215" t="s">
        <v>156</v>
      </c>
    </row>
    <row r="1216" spans="1:5" x14ac:dyDescent="0.2">
      <c r="A1216">
        <v>1215</v>
      </c>
      <c r="B1216" s="1" t="s">
        <v>99</v>
      </c>
      <c r="C1216" t="s">
        <v>151</v>
      </c>
      <c r="D1216">
        <v>33</v>
      </c>
      <c r="E1216" t="s">
        <v>156</v>
      </c>
    </row>
    <row r="1217" spans="1:5" x14ac:dyDescent="0.2">
      <c r="A1217">
        <v>1216</v>
      </c>
      <c r="B1217" s="1" t="s">
        <v>101</v>
      </c>
      <c r="C1217" t="s">
        <v>151</v>
      </c>
      <c r="D1217">
        <v>63</v>
      </c>
      <c r="E1217" t="s">
        <v>156</v>
      </c>
    </row>
    <row r="1218" spans="1:5" x14ac:dyDescent="0.2">
      <c r="A1218">
        <v>1217</v>
      </c>
      <c r="B1218" s="1" t="s">
        <v>99</v>
      </c>
      <c r="C1218" t="s">
        <v>152</v>
      </c>
      <c r="D1218">
        <v>68</v>
      </c>
      <c r="E1218" t="s">
        <v>156</v>
      </c>
    </row>
    <row r="1219" spans="1:5" x14ac:dyDescent="0.2">
      <c r="A1219">
        <v>1218</v>
      </c>
      <c r="B1219" s="1" t="s">
        <v>99</v>
      </c>
      <c r="C1219" t="s">
        <v>151</v>
      </c>
      <c r="D1219">
        <v>68</v>
      </c>
      <c r="E1219" t="s">
        <v>156</v>
      </c>
    </row>
    <row r="1220" spans="1:5" x14ac:dyDescent="0.2">
      <c r="A1220">
        <v>1219</v>
      </c>
      <c r="B1220" s="1" t="s">
        <v>99</v>
      </c>
      <c r="C1220" t="s">
        <v>151</v>
      </c>
      <c r="D1220">
        <v>19</v>
      </c>
      <c r="E1220" t="s">
        <v>156</v>
      </c>
    </row>
    <row r="1221" spans="1:5" x14ac:dyDescent="0.2">
      <c r="A1221">
        <v>1220</v>
      </c>
      <c r="B1221" s="1" t="s">
        <v>99</v>
      </c>
      <c r="C1221" t="s">
        <v>151</v>
      </c>
      <c r="D1221">
        <v>58</v>
      </c>
      <c r="E1221" t="s">
        <v>156</v>
      </c>
    </row>
    <row r="1222" spans="1:5" x14ac:dyDescent="0.2">
      <c r="A1222">
        <v>1221</v>
      </c>
      <c r="B1222" s="1" t="s">
        <v>108</v>
      </c>
      <c r="C1222" t="s">
        <v>151</v>
      </c>
      <c r="D1222">
        <v>54</v>
      </c>
      <c r="E1222" t="s">
        <v>156</v>
      </c>
    </row>
    <row r="1223" spans="1:5" x14ac:dyDescent="0.2">
      <c r="A1223">
        <v>1222</v>
      </c>
      <c r="B1223" s="1" t="s">
        <v>105</v>
      </c>
      <c r="C1223" t="s">
        <v>152</v>
      </c>
      <c r="D1223">
        <v>58</v>
      </c>
      <c r="E1223" t="s">
        <v>156</v>
      </c>
    </row>
    <row r="1224" spans="1:5" x14ac:dyDescent="0.2">
      <c r="A1224">
        <v>1223</v>
      </c>
      <c r="B1224" s="1" t="s">
        <v>99</v>
      </c>
      <c r="C1224" t="s">
        <v>151</v>
      </c>
      <c r="D1224">
        <v>63</v>
      </c>
      <c r="E1224" t="s">
        <v>156</v>
      </c>
    </row>
    <row r="1225" spans="1:5" x14ac:dyDescent="0.2">
      <c r="A1225">
        <v>1224</v>
      </c>
      <c r="B1225" s="1" t="s">
        <v>100</v>
      </c>
      <c r="C1225" t="s">
        <v>152</v>
      </c>
      <c r="D1225">
        <v>71</v>
      </c>
      <c r="E1225" t="s">
        <v>156</v>
      </c>
    </row>
    <row r="1226" spans="1:5" x14ac:dyDescent="0.2">
      <c r="A1226">
        <v>1225</v>
      </c>
      <c r="B1226" s="1" t="s">
        <v>105</v>
      </c>
      <c r="C1226" t="s">
        <v>151</v>
      </c>
      <c r="D1226">
        <v>84</v>
      </c>
      <c r="E1226" t="s">
        <v>156</v>
      </c>
    </row>
    <row r="1227" spans="1:5" x14ac:dyDescent="0.2">
      <c r="A1227">
        <v>1226</v>
      </c>
      <c r="B1227" s="1" t="s">
        <v>103</v>
      </c>
      <c r="C1227" t="s">
        <v>151</v>
      </c>
      <c r="D1227">
        <v>55</v>
      </c>
      <c r="E1227" t="s">
        <v>156</v>
      </c>
    </row>
    <row r="1228" spans="1:5" x14ac:dyDescent="0.2">
      <c r="A1228">
        <v>1227</v>
      </c>
      <c r="B1228" s="1" t="s">
        <v>99</v>
      </c>
      <c r="C1228" t="s">
        <v>152</v>
      </c>
      <c r="D1228">
        <v>40</v>
      </c>
      <c r="E1228" t="s">
        <v>156</v>
      </c>
    </row>
    <row r="1229" spans="1:5" x14ac:dyDescent="0.2">
      <c r="A1229">
        <v>1228</v>
      </c>
      <c r="B1229" s="1" t="s">
        <v>99</v>
      </c>
      <c r="C1229" t="s">
        <v>151</v>
      </c>
      <c r="D1229">
        <v>87</v>
      </c>
      <c r="E1229" t="s">
        <v>156</v>
      </c>
    </row>
    <row r="1230" spans="1:5" x14ac:dyDescent="0.2">
      <c r="A1230">
        <v>1229</v>
      </c>
      <c r="B1230" s="1" t="s">
        <v>101</v>
      </c>
      <c r="C1230" t="s">
        <v>152</v>
      </c>
      <c r="D1230">
        <v>67</v>
      </c>
      <c r="E1230" t="s">
        <v>156</v>
      </c>
    </row>
    <row r="1231" spans="1:5" x14ac:dyDescent="0.2">
      <c r="A1231">
        <v>1230</v>
      </c>
      <c r="B1231" s="1" t="s">
        <v>105</v>
      </c>
      <c r="C1231" t="s">
        <v>152</v>
      </c>
      <c r="D1231">
        <v>80</v>
      </c>
      <c r="E1231" t="s">
        <v>156</v>
      </c>
    </row>
    <row r="1232" spans="1:5" x14ac:dyDescent="0.2">
      <c r="A1232">
        <v>1231</v>
      </c>
      <c r="B1232" s="1" t="s">
        <v>104</v>
      </c>
      <c r="C1232" t="s">
        <v>151</v>
      </c>
      <c r="D1232">
        <v>83</v>
      </c>
      <c r="E1232" t="s">
        <v>156</v>
      </c>
    </row>
    <row r="1233" spans="1:5" x14ac:dyDescent="0.2">
      <c r="A1233">
        <v>1232</v>
      </c>
      <c r="B1233" s="1" t="s">
        <v>105</v>
      </c>
      <c r="C1233" t="s">
        <v>151</v>
      </c>
      <c r="D1233">
        <v>31</v>
      </c>
      <c r="E1233" t="s">
        <v>156</v>
      </c>
    </row>
    <row r="1234" spans="1:5" x14ac:dyDescent="0.2">
      <c r="A1234">
        <v>1233</v>
      </c>
      <c r="B1234" s="1" t="s">
        <v>111</v>
      </c>
      <c r="C1234" t="s">
        <v>152</v>
      </c>
      <c r="D1234">
        <v>47</v>
      </c>
      <c r="E1234" t="s">
        <v>156</v>
      </c>
    </row>
    <row r="1235" spans="1:5" x14ac:dyDescent="0.2">
      <c r="A1235">
        <v>1234</v>
      </c>
      <c r="B1235" s="1" t="s">
        <v>99</v>
      </c>
      <c r="C1235" t="s">
        <v>151</v>
      </c>
      <c r="D1235">
        <v>89</v>
      </c>
      <c r="E1235" t="s">
        <v>156</v>
      </c>
    </row>
    <row r="1236" spans="1:5" x14ac:dyDescent="0.2">
      <c r="A1236">
        <v>1235</v>
      </c>
      <c r="B1236" s="1" t="s">
        <v>106</v>
      </c>
      <c r="C1236" t="s">
        <v>151</v>
      </c>
      <c r="D1236">
        <v>69</v>
      </c>
      <c r="E1236" t="s">
        <v>156</v>
      </c>
    </row>
    <row r="1237" spans="1:5" x14ac:dyDescent="0.2">
      <c r="A1237">
        <v>1236</v>
      </c>
      <c r="B1237" s="1" t="s">
        <v>99</v>
      </c>
      <c r="C1237" t="s">
        <v>151</v>
      </c>
      <c r="D1237">
        <v>47</v>
      </c>
      <c r="E1237" t="s">
        <v>156</v>
      </c>
    </row>
    <row r="1238" spans="1:5" x14ac:dyDescent="0.2">
      <c r="A1238">
        <v>1237</v>
      </c>
      <c r="B1238" s="1" t="s">
        <v>99</v>
      </c>
      <c r="C1238" t="s">
        <v>152</v>
      </c>
      <c r="D1238">
        <v>87</v>
      </c>
      <c r="E1238" t="s">
        <v>156</v>
      </c>
    </row>
    <row r="1239" spans="1:5" x14ac:dyDescent="0.2">
      <c r="A1239">
        <v>1238</v>
      </c>
      <c r="B1239" s="1" t="s">
        <v>99</v>
      </c>
      <c r="C1239" t="s">
        <v>152</v>
      </c>
      <c r="D1239">
        <v>65</v>
      </c>
      <c r="E1239" t="s">
        <v>156</v>
      </c>
    </row>
    <row r="1240" spans="1:5" x14ac:dyDescent="0.2">
      <c r="A1240">
        <v>1239</v>
      </c>
      <c r="B1240" s="1" t="s">
        <v>105</v>
      </c>
      <c r="C1240" t="s">
        <v>152</v>
      </c>
      <c r="D1240">
        <v>86</v>
      </c>
      <c r="E1240" t="s">
        <v>156</v>
      </c>
    </row>
    <row r="1241" spans="1:5" x14ac:dyDescent="0.2">
      <c r="A1241">
        <v>1240</v>
      </c>
      <c r="B1241" s="1" t="s">
        <v>109</v>
      </c>
      <c r="C1241" t="s">
        <v>151</v>
      </c>
      <c r="D1241">
        <v>24</v>
      </c>
      <c r="E1241" t="s">
        <v>156</v>
      </c>
    </row>
    <row r="1242" spans="1:5" x14ac:dyDescent="0.2">
      <c r="A1242">
        <v>1241</v>
      </c>
      <c r="B1242" s="1" t="s">
        <v>104</v>
      </c>
      <c r="C1242" t="s">
        <v>152</v>
      </c>
      <c r="D1242">
        <v>34</v>
      </c>
      <c r="E1242" t="s">
        <v>156</v>
      </c>
    </row>
    <row r="1243" spans="1:5" x14ac:dyDescent="0.2">
      <c r="A1243">
        <v>1242</v>
      </c>
      <c r="B1243" s="1" t="s">
        <v>105</v>
      </c>
      <c r="C1243" t="s">
        <v>152</v>
      </c>
      <c r="D1243">
        <v>55</v>
      </c>
      <c r="E1243" t="s">
        <v>156</v>
      </c>
    </row>
    <row r="1244" spans="1:5" x14ac:dyDescent="0.2">
      <c r="A1244">
        <v>1243</v>
      </c>
      <c r="B1244" s="1" t="s">
        <v>105</v>
      </c>
      <c r="C1244" t="s">
        <v>151</v>
      </c>
      <c r="D1244">
        <v>24</v>
      </c>
      <c r="E1244" t="s">
        <v>156</v>
      </c>
    </row>
    <row r="1245" spans="1:5" x14ac:dyDescent="0.2">
      <c r="A1245">
        <v>1244</v>
      </c>
      <c r="B1245" s="1" t="s">
        <v>105</v>
      </c>
      <c r="C1245" t="s">
        <v>152</v>
      </c>
      <c r="D1245">
        <v>20</v>
      </c>
      <c r="E1245" t="s">
        <v>156</v>
      </c>
    </row>
    <row r="1246" spans="1:5" x14ac:dyDescent="0.2">
      <c r="A1246">
        <v>1245</v>
      </c>
      <c r="B1246" s="1" t="s">
        <v>105</v>
      </c>
      <c r="C1246" t="s">
        <v>152</v>
      </c>
      <c r="D1246">
        <v>62</v>
      </c>
      <c r="E1246" t="s">
        <v>156</v>
      </c>
    </row>
    <row r="1247" spans="1:5" x14ac:dyDescent="0.2">
      <c r="A1247">
        <v>1246</v>
      </c>
      <c r="B1247" s="1" t="s">
        <v>100</v>
      </c>
      <c r="C1247" t="s">
        <v>151</v>
      </c>
      <c r="D1247">
        <v>85</v>
      </c>
      <c r="E1247" t="s">
        <v>156</v>
      </c>
    </row>
    <row r="1248" spans="1:5" x14ac:dyDescent="0.2">
      <c r="A1248">
        <v>1247</v>
      </c>
      <c r="B1248" s="1" t="s">
        <v>99</v>
      </c>
      <c r="C1248" t="s">
        <v>152</v>
      </c>
      <c r="D1248">
        <v>24</v>
      </c>
      <c r="E1248" t="s">
        <v>156</v>
      </c>
    </row>
    <row r="1249" spans="1:5" x14ac:dyDescent="0.2">
      <c r="A1249">
        <v>1248</v>
      </c>
      <c r="B1249" s="1" t="s">
        <v>99</v>
      </c>
      <c r="C1249" t="s">
        <v>151</v>
      </c>
      <c r="D1249">
        <v>87</v>
      </c>
      <c r="E1249" t="s">
        <v>156</v>
      </c>
    </row>
    <row r="1250" spans="1:5" x14ac:dyDescent="0.2">
      <c r="A1250">
        <v>1249</v>
      </c>
      <c r="B1250" s="1" t="s">
        <v>99</v>
      </c>
      <c r="C1250" t="s">
        <v>152</v>
      </c>
      <c r="D1250">
        <v>76</v>
      </c>
      <c r="E1250" t="s">
        <v>156</v>
      </c>
    </row>
    <row r="1251" spans="1:5" x14ac:dyDescent="0.2">
      <c r="A1251">
        <v>1250</v>
      </c>
      <c r="B1251" s="1" t="s">
        <v>99</v>
      </c>
      <c r="C1251" t="s">
        <v>151</v>
      </c>
      <c r="D1251">
        <v>57</v>
      </c>
      <c r="E1251" t="s">
        <v>156</v>
      </c>
    </row>
    <row r="1252" spans="1:5" x14ac:dyDescent="0.2">
      <c r="A1252">
        <v>1251</v>
      </c>
      <c r="B1252" s="1" t="s">
        <v>99</v>
      </c>
      <c r="C1252" t="s">
        <v>151</v>
      </c>
      <c r="D1252">
        <v>31</v>
      </c>
      <c r="E1252" t="s">
        <v>156</v>
      </c>
    </row>
    <row r="1253" spans="1:5" x14ac:dyDescent="0.2">
      <c r="A1253">
        <v>1252</v>
      </c>
      <c r="B1253" s="1" t="s">
        <v>99</v>
      </c>
      <c r="C1253" t="s">
        <v>152</v>
      </c>
      <c r="D1253">
        <v>66</v>
      </c>
      <c r="E1253" t="s">
        <v>156</v>
      </c>
    </row>
    <row r="1254" spans="1:5" x14ac:dyDescent="0.2">
      <c r="A1254">
        <v>1253</v>
      </c>
      <c r="B1254" s="1" t="s">
        <v>99</v>
      </c>
      <c r="C1254" t="s">
        <v>152</v>
      </c>
      <c r="D1254">
        <v>79</v>
      </c>
      <c r="E1254" t="s">
        <v>156</v>
      </c>
    </row>
    <row r="1255" spans="1:5" x14ac:dyDescent="0.2">
      <c r="A1255">
        <v>1254</v>
      </c>
      <c r="B1255" s="1" t="s">
        <v>100</v>
      </c>
      <c r="C1255" t="s">
        <v>151</v>
      </c>
      <c r="D1255">
        <v>71</v>
      </c>
      <c r="E1255" t="s">
        <v>156</v>
      </c>
    </row>
    <row r="1256" spans="1:5" x14ac:dyDescent="0.2">
      <c r="A1256">
        <v>1255</v>
      </c>
      <c r="B1256" s="1" t="s">
        <v>105</v>
      </c>
      <c r="C1256" t="s">
        <v>151</v>
      </c>
      <c r="D1256">
        <v>77</v>
      </c>
      <c r="E1256" t="s">
        <v>156</v>
      </c>
    </row>
    <row r="1257" spans="1:5" x14ac:dyDescent="0.2">
      <c r="A1257">
        <v>1256</v>
      </c>
      <c r="B1257" s="1" t="s">
        <v>105</v>
      </c>
      <c r="C1257" t="s">
        <v>151</v>
      </c>
      <c r="D1257">
        <v>29</v>
      </c>
      <c r="E1257" t="s">
        <v>156</v>
      </c>
    </row>
    <row r="1258" spans="1:5" x14ac:dyDescent="0.2">
      <c r="A1258">
        <v>1257</v>
      </c>
      <c r="B1258" s="1" t="s">
        <v>99</v>
      </c>
      <c r="C1258" t="s">
        <v>151</v>
      </c>
      <c r="D1258">
        <v>69</v>
      </c>
      <c r="E1258" t="s">
        <v>156</v>
      </c>
    </row>
    <row r="1259" spans="1:5" x14ac:dyDescent="0.2">
      <c r="A1259">
        <v>1258</v>
      </c>
      <c r="B1259" s="1" t="s">
        <v>99</v>
      </c>
      <c r="C1259" t="s">
        <v>151</v>
      </c>
      <c r="D1259">
        <v>87</v>
      </c>
      <c r="E1259" t="s">
        <v>156</v>
      </c>
    </row>
    <row r="1260" spans="1:5" x14ac:dyDescent="0.2">
      <c r="A1260">
        <v>1259</v>
      </c>
      <c r="B1260" s="1" t="s">
        <v>99</v>
      </c>
      <c r="C1260" t="s">
        <v>151</v>
      </c>
      <c r="D1260">
        <v>45</v>
      </c>
      <c r="E1260" t="s">
        <v>156</v>
      </c>
    </row>
    <row r="1261" spans="1:5" x14ac:dyDescent="0.2">
      <c r="A1261">
        <v>1260</v>
      </c>
      <c r="B1261" s="1" t="s">
        <v>100</v>
      </c>
      <c r="C1261" t="s">
        <v>151</v>
      </c>
      <c r="D1261">
        <v>66</v>
      </c>
      <c r="E1261" t="s">
        <v>156</v>
      </c>
    </row>
    <row r="1262" spans="1:5" x14ac:dyDescent="0.2">
      <c r="A1262">
        <v>1261</v>
      </c>
      <c r="B1262" s="1" t="s">
        <v>99</v>
      </c>
      <c r="C1262" t="s">
        <v>151</v>
      </c>
      <c r="D1262">
        <v>49</v>
      </c>
      <c r="E1262" t="s">
        <v>156</v>
      </c>
    </row>
    <row r="1263" spans="1:5" x14ac:dyDescent="0.2">
      <c r="A1263">
        <v>1262</v>
      </c>
      <c r="B1263" s="1" t="s">
        <v>99</v>
      </c>
      <c r="C1263" t="s">
        <v>151</v>
      </c>
      <c r="D1263">
        <v>41</v>
      </c>
      <c r="E1263" t="s">
        <v>156</v>
      </c>
    </row>
    <row r="1264" spans="1:5" x14ac:dyDescent="0.2">
      <c r="A1264">
        <v>1263</v>
      </c>
      <c r="B1264" s="1" t="s">
        <v>99</v>
      </c>
      <c r="C1264" t="s">
        <v>152</v>
      </c>
      <c r="D1264">
        <v>78</v>
      </c>
      <c r="E1264" t="s">
        <v>156</v>
      </c>
    </row>
    <row r="1265" spans="1:5" x14ac:dyDescent="0.2">
      <c r="A1265">
        <v>1264</v>
      </c>
      <c r="B1265" s="1" t="s">
        <v>107</v>
      </c>
      <c r="C1265" t="s">
        <v>152</v>
      </c>
      <c r="D1265">
        <v>47</v>
      </c>
      <c r="E1265" t="s">
        <v>156</v>
      </c>
    </row>
    <row r="1266" spans="1:5" x14ac:dyDescent="0.2">
      <c r="A1266">
        <v>1265</v>
      </c>
      <c r="B1266" s="1" t="s">
        <v>99</v>
      </c>
      <c r="C1266" t="s">
        <v>151</v>
      </c>
      <c r="D1266">
        <v>72</v>
      </c>
      <c r="E1266" t="s">
        <v>156</v>
      </c>
    </row>
    <row r="1267" spans="1:5" x14ac:dyDescent="0.2">
      <c r="A1267">
        <v>1266</v>
      </c>
      <c r="B1267" s="1" t="s">
        <v>99</v>
      </c>
      <c r="C1267" t="s">
        <v>151</v>
      </c>
      <c r="D1267">
        <v>42</v>
      </c>
      <c r="E1267" t="s">
        <v>156</v>
      </c>
    </row>
    <row r="1268" spans="1:5" x14ac:dyDescent="0.2">
      <c r="A1268">
        <v>1267</v>
      </c>
      <c r="B1268" s="1" t="s">
        <v>107</v>
      </c>
      <c r="C1268" t="s">
        <v>151</v>
      </c>
      <c r="D1268">
        <v>62</v>
      </c>
      <c r="E1268" t="s">
        <v>156</v>
      </c>
    </row>
    <row r="1269" spans="1:5" x14ac:dyDescent="0.2">
      <c r="A1269">
        <v>1268</v>
      </c>
      <c r="B1269" s="1" t="s">
        <v>99</v>
      </c>
      <c r="C1269" t="s">
        <v>151</v>
      </c>
      <c r="D1269">
        <v>48</v>
      </c>
      <c r="E1269" t="s">
        <v>156</v>
      </c>
    </row>
    <row r="1270" spans="1:5" x14ac:dyDescent="0.2">
      <c r="A1270">
        <v>1269</v>
      </c>
      <c r="B1270" s="1" t="s">
        <v>110</v>
      </c>
      <c r="C1270" t="s">
        <v>151</v>
      </c>
      <c r="D1270">
        <v>48</v>
      </c>
      <c r="E1270" t="s">
        <v>156</v>
      </c>
    </row>
    <row r="1271" spans="1:5" x14ac:dyDescent="0.2">
      <c r="A1271">
        <v>1270</v>
      </c>
      <c r="B1271" s="1" t="s">
        <v>99</v>
      </c>
      <c r="C1271" t="s">
        <v>151</v>
      </c>
      <c r="D1271">
        <v>48</v>
      </c>
      <c r="E1271" t="s">
        <v>156</v>
      </c>
    </row>
    <row r="1272" spans="1:5" x14ac:dyDescent="0.2">
      <c r="A1272">
        <v>1271</v>
      </c>
      <c r="B1272" s="1" t="s">
        <v>100</v>
      </c>
      <c r="C1272" t="s">
        <v>152</v>
      </c>
      <c r="D1272">
        <v>43</v>
      </c>
      <c r="E1272" t="s">
        <v>156</v>
      </c>
    </row>
    <row r="1273" spans="1:5" x14ac:dyDescent="0.2">
      <c r="A1273">
        <v>1272</v>
      </c>
      <c r="B1273" s="1" t="s">
        <v>101</v>
      </c>
      <c r="C1273" t="s">
        <v>152</v>
      </c>
      <c r="D1273">
        <v>39</v>
      </c>
      <c r="E1273" t="s">
        <v>156</v>
      </c>
    </row>
    <row r="1274" spans="1:5" x14ac:dyDescent="0.2">
      <c r="A1274">
        <v>1273</v>
      </c>
      <c r="B1274" s="1" t="s">
        <v>105</v>
      </c>
      <c r="C1274" t="s">
        <v>152</v>
      </c>
      <c r="D1274">
        <v>18</v>
      </c>
      <c r="E1274" t="s">
        <v>156</v>
      </c>
    </row>
    <row r="1275" spans="1:5" x14ac:dyDescent="0.2">
      <c r="A1275">
        <v>1274</v>
      </c>
      <c r="B1275" s="1" t="s">
        <v>99</v>
      </c>
      <c r="C1275" t="s">
        <v>152</v>
      </c>
      <c r="D1275">
        <v>78</v>
      </c>
      <c r="E1275" t="s">
        <v>156</v>
      </c>
    </row>
    <row r="1276" spans="1:5" x14ac:dyDescent="0.2">
      <c r="A1276">
        <v>1275</v>
      </c>
      <c r="B1276" s="1" t="s">
        <v>106</v>
      </c>
      <c r="C1276" t="s">
        <v>152</v>
      </c>
      <c r="D1276">
        <v>88</v>
      </c>
      <c r="E1276" t="s">
        <v>156</v>
      </c>
    </row>
    <row r="1277" spans="1:5" x14ac:dyDescent="0.2">
      <c r="A1277">
        <v>1276</v>
      </c>
      <c r="B1277" s="1" t="s">
        <v>100</v>
      </c>
      <c r="C1277" t="s">
        <v>151</v>
      </c>
      <c r="D1277">
        <v>88</v>
      </c>
      <c r="E1277" t="s">
        <v>156</v>
      </c>
    </row>
    <row r="1278" spans="1:5" x14ac:dyDescent="0.2">
      <c r="A1278">
        <v>1277</v>
      </c>
      <c r="B1278" s="1" t="s">
        <v>110</v>
      </c>
      <c r="C1278" t="s">
        <v>152</v>
      </c>
      <c r="D1278">
        <v>73</v>
      </c>
      <c r="E1278" t="s">
        <v>156</v>
      </c>
    </row>
    <row r="1279" spans="1:5" x14ac:dyDescent="0.2">
      <c r="A1279">
        <v>1278</v>
      </c>
      <c r="B1279" s="1" t="s">
        <v>99</v>
      </c>
      <c r="C1279" t="s">
        <v>152</v>
      </c>
      <c r="D1279">
        <v>69</v>
      </c>
      <c r="E1279" t="s">
        <v>156</v>
      </c>
    </row>
    <row r="1280" spans="1:5" x14ac:dyDescent="0.2">
      <c r="A1280">
        <v>1279</v>
      </c>
      <c r="B1280" s="1" t="s">
        <v>99</v>
      </c>
      <c r="C1280" t="s">
        <v>152</v>
      </c>
      <c r="D1280">
        <v>52</v>
      </c>
      <c r="E1280" t="s">
        <v>156</v>
      </c>
    </row>
    <row r="1281" spans="1:5" x14ac:dyDescent="0.2">
      <c r="A1281">
        <v>1280</v>
      </c>
      <c r="B1281" s="1" t="s">
        <v>99</v>
      </c>
      <c r="C1281" t="s">
        <v>151</v>
      </c>
      <c r="D1281">
        <v>69</v>
      </c>
      <c r="E1281" t="s">
        <v>156</v>
      </c>
    </row>
    <row r="1282" spans="1:5" x14ac:dyDescent="0.2">
      <c r="A1282">
        <v>1281</v>
      </c>
      <c r="B1282" s="1" t="s">
        <v>105</v>
      </c>
      <c r="C1282" t="s">
        <v>152</v>
      </c>
      <c r="D1282">
        <v>61</v>
      </c>
      <c r="E1282" t="s">
        <v>156</v>
      </c>
    </row>
    <row r="1283" spans="1:5" x14ac:dyDescent="0.2">
      <c r="A1283">
        <v>1282</v>
      </c>
      <c r="B1283" s="1" t="s">
        <v>100</v>
      </c>
      <c r="C1283" t="s">
        <v>151</v>
      </c>
      <c r="D1283">
        <v>35</v>
      </c>
      <c r="E1283" t="s">
        <v>156</v>
      </c>
    </row>
    <row r="1284" spans="1:5" x14ac:dyDescent="0.2">
      <c r="A1284">
        <v>1283</v>
      </c>
      <c r="B1284" s="1" t="s">
        <v>99</v>
      </c>
      <c r="C1284" t="s">
        <v>151</v>
      </c>
      <c r="D1284">
        <v>30</v>
      </c>
      <c r="E1284" t="s">
        <v>156</v>
      </c>
    </row>
    <row r="1285" spans="1:5" x14ac:dyDescent="0.2">
      <c r="A1285">
        <v>1284</v>
      </c>
      <c r="B1285" s="1" t="s">
        <v>105</v>
      </c>
      <c r="C1285" t="s">
        <v>151</v>
      </c>
      <c r="D1285">
        <v>73</v>
      </c>
      <c r="E1285" t="s">
        <v>156</v>
      </c>
    </row>
    <row r="1286" spans="1:5" x14ac:dyDescent="0.2">
      <c r="A1286">
        <v>1285</v>
      </c>
      <c r="B1286" s="1" t="s">
        <v>105</v>
      </c>
      <c r="C1286" t="s">
        <v>152</v>
      </c>
      <c r="D1286">
        <v>56</v>
      </c>
      <c r="E1286" t="s">
        <v>156</v>
      </c>
    </row>
    <row r="1287" spans="1:5" x14ac:dyDescent="0.2">
      <c r="A1287">
        <v>1286</v>
      </c>
      <c r="B1287" s="1" t="s">
        <v>99</v>
      </c>
      <c r="C1287" t="s">
        <v>151</v>
      </c>
      <c r="D1287">
        <v>61</v>
      </c>
      <c r="E1287" t="s">
        <v>156</v>
      </c>
    </row>
    <row r="1288" spans="1:5" x14ac:dyDescent="0.2">
      <c r="A1288">
        <v>1287</v>
      </c>
      <c r="B1288" s="1" t="s">
        <v>99</v>
      </c>
      <c r="C1288" t="s">
        <v>151</v>
      </c>
      <c r="D1288">
        <v>55</v>
      </c>
      <c r="E1288" t="s">
        <v>156</v>
      </c>
    </row>
    <row r="1289" spans="1:5" x14ac:dyDescent="0.2">
      <c r="A1289">
        <v>1288</v>
      </c>
      <c r="B1289" s="1" t="s">
        <v>99</v>
      </c>
      <c r="C1289" t="s">
        <v>151</v>
      </c>
      <c r="D1289">
        <v>39</v>
      </c>
      <c r="E1289" t="s">
        <v>156</v>
      </c>
    </row>
    <row r="1290" spans="1:5" x14ac:dyDescent="0.2">
      <c r="A1290">
        <v>1289</v>
      </c>
      <c r="B1290" s="1" t="s">
        <v>99</v>
      </c>
      <c r="C1290" t="s">
        <v>152</v>
      </c>
      <c r="D1290">
        <v>30</v>
      </c>
      <c r="E1290" t="s">
        <v>156</v>
      </c>
    </row>
    <row r="1291" spans="1:5" x14ac:dyDescent="0.2">
      <c r="A1291">
        <v>1290</v>
      </c>
      <c r="B1291" s="1" t="s">
        <v>99</v>
      </c>
      <c r="C1291" t="s">
        <v>151</v>
      </c>
      <c r="D1291">
        <v>31</v>
      </c>
      <c r="E1291" t="s">
        <v>156</v>
      </c>
    </row>
    <row r="1292" spans="1:5" x14ac:dyDescent="0.2">
      <c r="A1292">
        <v>1291</v>
      </c>
      <c r="B1292" s="1" t="s">
        <v>99</v>
      </c>
      <c r="C1292" t="s">
        <v>152</v>
      </c>
      <c r="D1292">
        <v>72</v>
      </c>
      <c r="E1292" t="s">
        <v>156</v>
      </c>
    </row>
    <row r="1293" spans="1:5" x14ac:dyDescent="0.2">
      <c r="A1293">
        <v>1292</v>
      </c>
      <c r="B1293" s="1" t="s">
        <v>99</v>
      </c>
      <c r="C1293" t="s">
        <v>152</v>
      </c>
      <c r="D1293">
        <v>38</v>
      </c>
      <c r="E1293" t="s">
        <v>156</v>
      </c>
    </row>
    <row r="1294" spans="1:5" x14ac:dyDescent="0.2">
      <c r="A1294">
        <v>1293</v>
      </c>
      <c r="B1294" s="1" t="s">
        <v>99</v>
      </c>
      <c r="C1294" t="s">
        <v>151</v>
      </c>
      <c r="D1294">
        <v>38</v>
      </c>
      <c r="E1294" t="s">
        <v>156</v>
      </c>
    </row>
    <row r="1295" spans="1:5" x14ac:dyDescent="0.2">
      <c r="A1295">
        <v>1294</v>
      </c>
      <c r="B1295" s="1" t="s">
        <v>100</v>
      </c>
      <c r="C1295" t="s">
        <v>152</v>
      </c>
      <c r="D1295">
        <v>54</v>
      </c>
      <c r="E1295" t="s">
        <v>156</v>
      </c>
    </row>
    <row r="1296" spans="1:5" x14ac:dyDescent="0.2">
      <c r="A1296">
        <v>1295</v>
      </c>
      <c r="B1296" s="1" t="s">
        <v>102</v>
      </c>
      <c r="C1296" t="s">
        <v>152</v>
      </c>
      <c r="D1296">
        <v>86</v>
      </c>
      <c r="E1296" t="s">
        <v>156</v>
      </c>
    </row>
    <row r="1297" spans="1:5" x14ac:dyDescent="0.2">
      <c r="A1297">
        <v>1296</v>
      </c>
      <c r="B1297" s="1" t="s">
        <v>105</v>
      </c>
      <c r="C1297" t="s">
        <v>151</v>
      </c>
      <c r="D1297">
        <v>20</v>
      </c>
      <c r="E1297" t="s">
        <v>156</v>
      </c>
    </row>
    <row r="1298" spans="1:5" x14ac:dyDescent="0.2">
      <c r="A1298">
        <v>1297</v>
      </c>
      <c r="B1298" s="1" t="s">
        <v>99</v>
      </c>
      <c r="C1298" t="s">
        <v>152</v>
      </c>
      <c r="D1298">
        <v>86</v>
      </c>
      <c r="E1298" t="s">
        <v>156</v>
      </c>
    </row>
    <row r="1299" spans="1:5" x14ac:dyDescent="0.2">
      <c r="A1299">
        <v>1298</v>
      </c>
      <c r="B1299" s="1" t="s">
        <v>101</v>
      </c>
      <c r="C1299" t="s">
        <v>151</v>
      </c>
      <c r="D1299">
        <v>31</v>
      </c>
      <c r="E1299" t="s">
        <v>156</v>
      </c>
    </row>
    <row r="1300" spans="1:5" x14ac:dyDescent="0.2">
      <c r="A1300">
        <v>1299</v>
      </c>
      <c r="B1300" s="1" t="s">
        <v>99</v>
      </c>
      <c r="C1300" t="s">
        <v>151</v>
      </c>
      <c r="D1300">
        <v>44</v>
      </c>
      <c r="E1300" t="s">
        <v>156</v>
      </c>
    </row>
    <row r="1301" spans="1:5" x14ac:dyDescent="0.2">
      <c r="A1301">
        <v>1300</v>
      </c>
      <c r="B1301" s="1" t="s">
        <v>109</v>
      </c>
      <c r="C1301" t="s">
        <v>151</v>
      </c>
      <c r="D1301">
        <v>74</v>
      </c>
      <c r="E1301" t="s">
        <v>156</v>
      </c>
    </row>
    <row r="1302" spans="1:5" x14ac:dyDescent="0.2">
      <c r="A1302">
        <v>1301</v>
      </c>
      <c r="B1302" s="1" t="s">
        <v>105</v>
      </c>
      <c r="C1302" t="s">
        <v>151</v>
      </c>
      <c r="D1302">
        <v>84</v>
      </c>
      <c r="E1302" t="s">
        <v>156</v>
      </c>
    </row>
    <row r="1303" spans="1:5" x14ac:dyDescent="0.2">
      <c r="A1303">
        <v>1302</v>
      </c>
      <c r="B1303" s="1" t="s">
        <v>100</v>
      </c>
      <c r="C1303" t="s">
        <v>152</v>
      </c>
      <c r="D1303">
        <v>28</v>
      </c>
      <c r="E1303" t="s">
        <v>156</v>
      </c>
    </row>
    <row r="1304" spans="1:5" x14ac:dyDescent="0.2">
      <c r="A1304">
        <v>1303</v>
      </c>
      <c r="B1304" s="1" t="s">
        <v>105</v>
      </c>
      <c r="C1304" t="s">
        <v>151</v>
      </c>
      <c r="D1304">
        <v>81</v>
      </c>
      <c r="E1304" t="s">
        <v>156</v>
      </c>
    </row>
    <row r="1305" spans="1:5" x14ac:dyDescent="0.2">
      <c r="A1305">
        <v>1304</v>
      </c>
      <c r="B1305" s="1" t="s">
        <v>107</v>
      </c>
      <c r="C1305" t="s">
        <v>152</v>
      </c>
      <c r="D1305">
        <v>18</v>
      </c>
      <c r="E1305" t="s">
        <v>156</v>
      </c>
    </row>
    <row r="1306" spans="1:5" x14ac:dyDescent="0.2">
      <c r="A1306">
        <v>1305</v>
      </c>
      <c r="B1306" s="1" t="s">
        <v>100</v>
      </c>
      <c r="C1306" t="s">
        <v>151</v>
      </c>
      <c r="D1306">
        <v>58</v>
      </c>
      <c r="E1306" t="s">
        <v>156</v>
      </c>
    </row>
    <row r="1307" spans="1:5" x14ac:dyDescent="0.2">
      <c r="A1307">
        <v>1306</v>
      </c>
      <c r="B1307" s="1" t="s">
        <v>99</v>
      </c>
      <c r="C1307" t="s">
        <v>151</v>
      </c>
      <c r="D1307">
        <v>65</v>
      </c>
      <c r="E1307" t="s">
        <v>156</v>
      </c>
    </row>
    <row r="1308" spans="1:5" x14ac:dyDescent="0.2">
      <c r="A1308">
        <v>1307</v>
      </c>
      <c r="B1308" s="1" t="s">
        <v>100</v>
      </c>
      <c r="C1308" t="s">
        <v>152</v>
      </c>
      <c r="D1308">
        <v>78</v>
      </c>
      <c r="E1308" t="s">
        <v>156</v>
      </c>
    </row>
    <row r="1309" spans="1:5" x14ac:dyDescent="0.2">
      <c r="A1309">
        <v>1308</v>
      </c>
      <c r="B1309" s="1" t="s">
        <v>105</v>
      </c>
      <c r="C1309" t="s">
        <v>152</v>
      </c>
      <c r="D1309">
        <v>56</v>
      </c>
      <c r="E1309" t="s">
        <v>156</v>
      </c>
    </row>
    <row r="1310" spans="1:5" x14ac:dyDescent="0.2">
      <c r="A1310">
        <v>1309</v>
      </c>
      <c r="B1310" s="1" t="s">
        <v>99</v>
      </c>
      <c r="C1310" t="s">
        <v>152</v>
      </c>
      <c r="D1310">
        <v>88</v>
      </c>
      <c r="E1310" t="s">
        <v>156</v>
      </c>
    </row>
    <row r="1311" spans="1:5" x14ac:dyDescent="0.2">
      <c r="A1311">
        <v>1310</v>
      </c>
      <c r="B1311" s="1" t="s">
        <v>105</v>
      </c>
      <c r="C1311" t="s">
        <v>151</v>
      </c>
      <c r="D1311">
        <v>70</v>
      </c>
      <c r="E1311" t="s">
        <v>156</v>
      </c>
    </row>
    <row r="1312" spans="1:5" x14ac:dyDescent="0.2">
      <c r="A1312">
        <v>1311</v>
      </c>
      <c r="B1312" s="1" t="s">
        <v>99</v>
      </c>
      <c r="C1312" t="s">
        <v>151</v>
      </c>
      <c r="D1312">
        <v>20</v>
      </c>
      <c r="E1312" t="s">
        <v>156</v>
      </c>
    </row>
    <row r="1313" spans="1:5" x14ac:dyDescent="0.2">
      <c r="A1313">
        <v>1312</v>
      </c>
      <c r="B1313" s="1" t="s">
        <v>99</v>
      </c>
      <c r="C1313" t="s">
        <v>152</v>
      </c>
      <c r="D1313">
        <v>59</v>
      </c>
      <c r="E1313" t="s">
        <v>156</v>
      </c>
    </row>
    <row r="1314" spans="1:5" x14ac:dyDescent="0.2">
      <c r="A1314">
        <v>1313</v>
      </c>
      <c r="B1314" s="1" t="s">
        <v>99</v>
      </c>
      <c r="C1314" t="s">
        <v>151</v>
      </c>
      <c r="D1314">
        <v>61</v>
      </c>
      <c r="E1314" t="s">
        <v>156</v>
      </c>
    </row>
    <row r="1315" spans="1:5" x14ac:dyDescent="0.2">
      <c r="A1315">
        <v>1314</v>
      </c>
      <c r="B1315" s="1" t="s">
        <v>99</v>
      </c>
      <c r="C1315" t="s">
        <v>152</v>
      </c>
      <c r="D1315">
        <v>86</v>
      </c>
      <c r="E1315" t="s">
        <v>156</v>
      </c>
    </row>
    <row r="1316" spans="1:5" x14ac:dyDescent="0.2">
      <c r="A1316">
        <v>1315</v>
      </c>
      <c r="B1316" s="1" t="s">
        <v>99</v>
      </c>
      <c r="C1316" t="s">
        <v>152</v>
      </c>
      <c r="D1316">
        <v>76</v>
      </c>
      <c r="E1316" t="s">
        <v>156</v>
      </c>
    </row>
    <row r="1317" spans="1:5" x14ac:dyDescent="0.2">
      <c r="A1317">
        <v>1316</v>
      </c>
      <c r="B1317" s="1" t="s">
        <v>101</v>
      </c>
      <c r="C1317" t="s">
        <v>152</v>
      </c>
      <c r="D1317">
        <v>70</v>
      </c>
      <c r="E1317" t="s">
        <v>156</v>
      </c>
    </row>
    <row r="1318" spans="1:5" x14ac:dyDescent="0.2">
      <c r="A1318">
        <v>1317</v>
      </c>
      <c r="B1318" s="1" t="s">
        <v>100</v>
      </c>
      <c r="C1318" t="s">
        <v>151</v>
      </c>
      <c r="D1318">
        <v>54</v>
      </c>
      <c r="E1318" t="s">
        <v>156</v>
      </c>
    </row>
    <row r="1319" spans="1:5" x14ac:dyDescent="0.2">
      <c r="A1319">
        <v>1318</v>
      </c>
      <c r="B1319" s="1" t="s">
        <v>99</v>
      </c>
      <c r="C1319" t="s">
        <v>151</v>
      </c>
      <c r="D1319">
        <v>24</v>
      </c>
      <c r="E1319" t="s">
        <v>156</v>
      </c>
    </row>
    <row r="1320" spans="1:5" x14ac:dyDescent="0.2">
      <c r="A1320">
        <v>1319</v>
      </c>
      <c r="B1320" s="1" t="s">
        <v>99</v>
      </c>
      <c r="C1320" t="s">
        <v>152</v>
      </c>
      <c r="D1320">
        <v>19</v>
      </c>
      <c r="E1320" t="s">
        <v>156</v>
      </c>
    </row>
    <row r="1321" spans="1:5" x14ac:dyDescent="0.2">
      <c r="A1321">
        <v>1320</v>
      </c>
      <c r="B1321" s="1" t="s">
        <v>109</v>
      </c>
      <c r="C1321" t="s">
        <v>151</v>
      </c>
      <c r="D1321">
        <v>71</v>
      </c>
      <c r="E1321" t="s">
        <v>156</v>
      </c>
    </row>
    <row r="1322" spans="1:5" x14ac:dyDescent="0.2">
      <c r="A1322">
        <v>1321</v>
      </c>
      <c r="B1322" s="1" t="s">
        <v>107</v>
      </c>
      <c r="C1322" t="s">
        <v>152</v>
      </c>
      <c r="D1322">
        <v>83</v>
      </c>
      <c r="E1322" t="s">
        <v>156</v>
      </c>
    </row>
    <row r="1323" spans="1:5" x14ac:dyDescent="0.2">
      <c r="A1323">
        <v>1322</v>
      </c>
      <c r="B1323" s="1" t="s">
        <v>99</v>
      </c>
      <c r="C1323" t="s">
        <v>152</v>
      </c>
      <c r="D1323">
        <v>49</v>
      </c>
      <c r="E1323" t="s">
        <v>156</v>
      </c>
    </row>
    <row r="1324" spans="1:5" x14ac:dyDescent="0.2">
      <c r="A1324">
        <v>1323</v>
      </c>
      <c r="B1324" s="1" t="s">
        <v>110</v>
      </c>
      <c r="C1324" t="s">
        <v>152</v>
      </c>
      <c r="D1324">
        <v>81</v>
      </c>
      <c r="E1324" t="s">
        <v>156</v>
      </c>
    </row>
    <row r="1325" spans="1:5" x14ac:dyDescent="0.2">
      <c r="A1325">
        <v>1324</v>
      </c>
      <c r="B1325" s="1" t="s">
        <v>99</v>
      </c>
      <c r="C1325" t="s">
        <v>151</v>
      </c>
      <c r="D1325">
        <v>67</v>
      </c>
      <c r="E1325" t="s">
        <v>156</v>
      </c>
    </row>
    <row r="1326" spans="1:5" x14ac:dyDescent="0.2">
      <c r="A1326">
        <v>1325</v>
      </c>
      <c r="B1326" s="1" t="s">
        <v>105</v>
      </c>
      <c r="C1326" t="s">
        <v>152</v>
      </c>
      <c r="D1326">
        <v>29</v>
      </c>
      <c r="E1326" t="s">
        <v>156</v>
      </c>
    </row>
    <row r="1327" spans="1:5" x14ac:dyDescent="0.2">
      <c r="A1327">
        <v>1326</v>
      </c>
      <c r="B1327" s="1" t="s">
        <v>100</v>
      </c>
      <c r="C1327" t="s">
        <v>151</v>
      </c>
      <c r="D1327">
        <v>84</v>
      </c>
      <c r="E1327" t="s">
        <v>156</v>
      </c>
    </row>
    <row r="1328" spans="1:5" x14ac:dyDescent="0.2">
      <c r="A1328">
        <v>1327</v>
      </c>
      <c r="B1328" s="1" t="s">
        <v>100</v>
      </c>
      <c r="C1328" t="s">
        <v>151</v>
      </c>
      <c r="D1328">
        <v>34</v>
      </c>
      <c r="E1328" t="s">
        <v>156</v>
      </c>
    </row>
    <row r="1329" spans="1:5" x14ac:dyDescent="0.2">
      <c r="A1329">
        <v>1328</v>
      </c>
      <c r="B1329" s="1" t="s">
        <v>99</v>
      </c>
      <c r="C1329" t="s">
        <v>151</v>
      </c>
      <c r="D1329">
        <v>38</v>
      </c>
      <c r="E1329" t="s">
        <v>156</v>
      </c>
    </row>
    <row r="1330" spans="1:5" x14ac:dyDescent="0.2">
      <c r="A1330">
        <v>1329</v>
      </c>
      <c r="B1330" s="1" t="s">
        <v>99</v>
      </c>
      <c r="C1330" t="s">
        <v>151</v>
      </c>
      <c r="D1330">
        <v>62</v>
      </c>
      <c r="E1330" t="s">
        <v>156</v>
      </c>
    </row>
    <row r="1331" spans="1:5" x14ac:dyDescent="0.2">
      <c r="A1331">
        <v>1330</v>
      </c>
      <c r="B1331" s="1" t="s">
        <v>101</v>
      </c>
      <c r="C1331" t="s">
        <v>151</v>
      </c>
      <c r="D1331">
        <v>59</v>
      </c>
      <c r="E1331" t="s">
        <v>156</v>
      </c>
    </row>
    <row r="1332" spans="1:5" x14ac:dyDescent="0.2">
      <c r="A1332">
        <v>1331</v>
      </c>
      <c r="B1332" s="1" t="s">
        <v>99</v>
      </c>
      <c r="C1332" t="s">
        <v>152</v>
      </c>
      <c r="D1332">
        <v>84</v>
      </c>
      <c r="E1332" t="s">
        <v>156</v>
      </c>
    </row>
    <row r="1333" spans="1:5" x14ac:dyDescent="0.2">
      <c r="A1333">
        <v>1332</v>
      </c>
      <c r="B1333" s="1" t="s">
        <v>102</v>
      </c>
      <c r="C1333" t="s">
        <v>151</v>
      </c>
      <c r="D1333">
        <v>49</v>
      </c>
      <c r="E1333" t="s">
        <v>156</v>
      </c>
    </row>
    <row r="1334" spans="1:5" x14ac:dyDescent="0.2">
      <c r="A1334">
        <v>1333</v>
      </c>
      <c r="B1334" s="1" t="s">
        <v>99</v>
      </c>
      <c r="C1334" t="s">
        <v>151</v>
      </c>
      <c r="D1334">
        <v>31</v>
      </c>
      <c r="E1334" t="s">
        <v>156</v>
      </c>
    </row>
    <row r="1335" spans="1:5" x14ac:dyDescent="0.2">
      <c r="A1335">
        <v>1334</v>
      </c>
      <c r="B1335" s="1" t="s">
        <v>99</v>
      </c>
      <c r="C1335" t="s">
        <v>152</v>
      </c>
      <c r="D1335">
        <v>30</v>
      </c>
      <c r="E1335" t="s">
        <v>156</v>
      </c>
    </row>
    <row r="1336" spans="1:5" x14ac:dyDescent="0.2">
      <c r="A1336">
        <v>1335</v>
      </c>
      <c r="B1336" s="1" t="s">
        <v>99</v>
      </c>
      <c r="C1336" t="s">
        <v>152</v>
      </c>
      <c r="D1336">
        <v>70</v>
      </c>
      <c r="E1336" t="s">
        <v>156</v>
      </c>
    </row>
    <row r="1337" spans="1:5" x14ac:dyDescent="0.2">
      <c r="A1337">
        <v>1336</v>
      </c>
      <c r="B1337" s="1" t="s">
        <v>99</v>
      </c>
      <c r="C1337" t="s">
        <v>151</v>
      </c>
      <c r="D1337">
        <v>89</v>
      </c>
      <c r="E1337" t="s">
        <v>156</v>
      </c>
    </row>
    <row r="1338" spans="1:5" x14ac:dyDescent="0.2">
      <c r="A1338">
        <v>1337</v>
      </c>
      <c r="B1338" s="1" t="s">
        <v>105</v>
      </c>
      <c r="C1338" t="s">
        <v>152</v>
      </c>
      <c r="D1338">
        <v>54</v>
      </c>
      <c r="E1338" t="s">
        <v>156</v>
      </c>
    </row>
    <row r="1339" spans="1:5" x14ac:dyDescent="0.2">
      <c r="A1339">
        <v>1338</v>
      </c>
      <c r="B1339" s="1" t="s">
        <v>107</v>
      </c>
      <c r="C1339" t="s">
        <v>151</v>
      </c>
      <c r="D1339">
        <v>37</v>
      </c>
      <c r="E1339" t="s">
        <v>156</v>
      </c>
    </row>
    <row r="1340" spans="1:5" x14ac:dyDescent="0.2">
      <c r="A1340">
        <v>1339</v>
      </c>
      <c r="B1340" s="1" t="s">
        <v>100</v>
      </c>
      <c r="C1340" t="s">
        <v>151</v>
      </c>
      <c r="D1340">
        <v>34</v>
      </c>
      <c r="E1340" t="s">
        <v>156</v>
      </c>
    </row>
    <row r="1341" spans="1:5" x14ac:dyDescent="0.2">
      <c r="A1341">
        <v>1340</v>
      </c>
      <c r="B1341" s="1" t="s">
        <v>107</v>
      </c>
      <c r="C1341" t="s">
        <v>152</v>
      </c>
      <c r="D1341">
        <v>40</v>
      </c>
      <c r="E1341" t="s">
        <v>156</v>
      </c>
    </row>
    <row r="1342" spans="1:5" x14ac:dyDescent="0.2">
      <c r="A1342">
        <v>1341</v>
      </c>
      <c r="B1342" s="1" t="s">
        <v>100</v>
      </c>
      <c r="C1342" t="s">
        <v>152</v>
      </c>
      <c r="D1342">
        <v>56</v>
      </c>
      <c r="E1342" t="s">
        <v>156</v>
      </c>
    </row>
    <row r="1343" spans="1:5" x14ac:dyDescent="0.2">
      <c r="A1343">
        <v>1342</v>
      </c>
      <c r="B1343" s="1" t="s">
        <v>99</v>
      </c>
      <c r="C1343" t="s">
        <v>151</v>
      </c>
      <c r="D1343">
        <v>24</v>
      </c>
      <c r="E1343" t="s">
        <v>156</v>
      </c>
    </row>
    <row r="1344" spans="1:5" x14ac:dyDescent="0.2">
      <c r="A1344">
        <v>1343</v>
      </c>
      <c r="B1344" s="1" t="s">
        <v>99</v>
      </c>
      <c r="C1344" t="s">
        <v>152</v>
      </c>
      <c r="D1344">
        <v>32</v>
      </c>
      <c r="E1344" t="s">
        <v>156</v>
      </c>
    </row>
    <row r="1345" spans="1:5" x14ac:dyDescent="0.2">
      <c r="A1345">
        <v>1344</v>
      </c>
      <c r="B1345" s="1" t="s">
        <v>105</v>
      </c>
      <c r="C1345" t="s">
        <v>151</v>
      </c>
      <c r="D1345">
        <v>40</v>
      </c>
      <c r="E1345" t="s">
        <v>156</v>
      </c>
    </row>
    <row r="1346" spans="1:5" x14ac:dyDescent="0.2">
      <c r="A1346">
        <v>1345</v>
      </c>
      <c r="B1346" s="1" t="s">
        <v>99</v>
      </c>
      <c r="C1346" t="s">
        <v>151</v>
      </c>
      <c r="D1346">
        <v>58</v>
      </c>
      <c r="E1346" t="s">
        <v>156</v>
      </c>
    </row>
    <row r="1347" spans="1:5" x14ac:dyDescent="0.2">
      <c r="A1347">
        <v>1346</v>
      </c>
      <c r="B1347" s="1" t="s">
        <v>99</v>
      </c>
      <c r="C1347" t="s">
        <v>151</v>
      </c>
      <c r="D1347">
        <v>81</v>
      </c>
      <c r="E1347" t="s">
        <v>156</v>
      </c>
    </row>
    <row r="1348" spans="1:5" x14ac:dyDescent="0.2">
      <c r="A1348">
        <v>1347</v>
      </c>
      <c r="B1348" s="1" t="s">
        <v>100</v>
      </c>
      <c r="C1348" t="s">
        <v>151</v>
      </c>
      <c r="D1348">
        <v>55</v>
      </c>
      <c r="E1348" t="s">
        <v>156</v>
      </c>
    </row>
    <row r="1349" spans="1:5" x14ac:dyDescent="0.2">
      <c r="A1349">
        <v>1348</v>
      </c>
      <c r="B1349" s="1" t="s">
        <v>99</v>
      </c>
      <c r="C1349" t="s">
        <v>151</v>
      </c>
      <c r="D1349">
        <v>87</v>
      </c>
      <c r="E1349" t="s">
        <v>156</v>
      </c>
    </row>
    <row r="1350" spans="1:5" x14ac:dyDescent="0.2">
      <c r="A1350">
        <v>1349</v>
      </c>
      <c r="B1350" s="1" t="s">
        <v>101</v>
      </c>
      <c r="C1350" t="s">
        <v>151</v>
      </c>
      <c r="D1350">
        <v>66</v>
      </c>
      <c r="E1350" t="s">
        <v>156</v>
      </c>
    </row>
    <row r="1351" spans="1:5" x14ac:dyDescent="0.2">
      <c r="A1351">
        <v>1350</v>
      </c>
      <c r="B1351" s="1" t="s">
        <v>105</v>
      </c>
      <c r="C1351" t="s">
        <v>151</v>
      </c>
      <c r="D1351">
        <v>51</v>
      </c>
      <c r="E1351" t="s">
        <v>156</v>
      </c>
    </row>
    <row r="1352" spans="1:5" x14ac:dyDescent="0.2">
      <c r="A1352">
        <v>1351</v>
      </c>
      <c r="B1352" s="1" t="s">
        <v>105</v>
      </c>
      <c r="C1352" t="s">
        <v>152</v>
      </c>
      <c r="D1352">
        <v>42</v>
      </c>
      <c r="E1352" t="s">
        <v>156</v>
      </c>
    </row>
    <row r="1353" spans="1:5" x14ac:dyDescent="0.2">
      <c r="A1353">
        <v>1352</v>
      </c>
      <c r="B1353" s="1" t="s">
        <v>99</v>
      </c>
      <c r="C1353" t="s">
        <v>152</v>
      </c>
      <c r="D1353">
        <v>20</v>
      </c>
      <c r="E1353" t="s">
        <v>156</v>
      </c>
    </row>
    <row r="1354" spans="1:5" x14ac:dyDescent="0.2">
      <c r="A1354">
        <v>1353</v>
      </c>
      <c r="B1354" s="1" t="s">
        <v>99</v>
      </c>
      <c r="C1354" t="s">
        <v>151</v>
      </c>
      <c r="D1354">
        <v>27</v>
      </c>
      <c r="E1354" t="s">
        <v>156</v>
      </c>
    </row>
    <row r="1355" spans="1:5" x14ac:dyDescent="0.2">
      <c r="A1355">
        <v>1354</v>
      </c>
      <c r="B1355" s="1" t="s">
        <v>106</v>
      </c>
      <c r="C1355" t="s">
        <v>151</v>
      </c>
      <c r="D1355">
        <v>68</v>
      </c>
      <c r="E1355" t="s">
        <v>156</v>
      </c>
    </row>
    <row r="1356" spans="1:5" x14ac:dyDescent="0.2">
      <c r="A1356">
        <v>1355</v>
      </c>
      <c r="B1356" s="1" t="s">
        <v>105</v>
      </c>
      <c r="C1356" t="s">
        <v>151</v>
      </c>
      <c r="D1356">
        <v>83</v>
      </c>
      <c r="E1356" t="s">
        <v>156</v>
      </c>
    </row>
    <row r="1357" spans="1:5" x14ac:dyDescent="0.2">
      <c r="A1357">
        <v>1356</v>
      </c>
      <c r="B1357" s="1" t="s">
        <v>105</v>
      </c>
      <c r="C1357" t="s">
        <v>151</v>
      </c>
      <c r="D1357">
        <v>26</v>
      </c>
      <c r="E1357" t="s">
        <v>156</v>
      </c>
    </row>
    <row r="1358" spans="1:5" x14ac:dyDescent="0.2">
      <c r="A1358">
        <v>1357</v>
      </c>
      <c r="B1358" s="1" t="s">
        <v>111</v>
      </c>
      <c r="C1358" t="s">
        <v>151</v>
      </c>
      <c r="D1358">
        <v>43</v>
      </c>
      <c r="E1358" t="s">
        <v>156</v>
      </c>
    </row>
    <row r="1359" spans="1:5" x14ac:dyDescent="0.2">
      <c r="A1359">
        <v>1358</v>
      </c>
      <c r="B1359" s="1" t="s">
        <v>101</v>
      </c>
      <c r="C1359" t="s">
        <v>152</v>
      </c>
      <c r="D1359">
        <v>60</v>
      </c>
      <c r="E1359" t="s">
        <v>156</v>
      </c>
    </row>
    <row r="1360" spans="1:5" x14ac:dyDescent="0.2">
      <c r="A1360">
        <v>1359</v>
      </c>
      <c r="B1360" s="1" t="s">
        <v>99</v>
      </c>
      <c r="C1360" t="s">
        <v>151</v>
      </c>
      <c r="D1360">
        <v>78</v>
      </c>
      <c r="E1360" t="s">
        <v>156</v>
      </c>
    </row>
    <row r="1361" spans="1:5" x14ac:dyDescent="0.2">
      <c r="A1361">
        <v>1360</v>
      </c>
      <c r="B1361" s="1" t="s">
        <v>105</v>
      </c>
      <c r="C1361" t="s">
        <v>152</v>
      </c>
      <c r="D1361">
        <v>40</v>
      </c>
      <c r="E1361" t="s">
        <v>156</v>
      </c>
    </row>
    <row r="1362" spans="1:5" x14ac:dyDescent="0.2">
      <c r="A1362">
        <v>1361</v>
      </c>
      <c r="B1362" s="1" t="s">
        <v>105</v>
      </c>
      <c r="C1362" t="s">
        <v>152</v>
      </c>
      <c r="D1362">
        <v>50</v>
      </c>
      <c r="E1362" t="s">
        <v>156</v>
      </c>
    </row>
    <row r="1363" spans="1:5" x14ac:dyDescent="0.2">
      <c r="A1363">
        <v>1362</v>
      </c>
      <c r="B1363" s="1" t="s">
        <v>102</v>
      </c>
      <c r="C1363" t="s">
        <v>151</v>
      </c>
      <c r="D1363">
        <v>40</v>
      </c>
      <c r="E1363" t="s">
        <v>156</v>
      </c>
    </row>
    <row r="1364" spans="1:5" x14ac:dyDescent="0.2">
      <c r="A1364">
        <v>1363</v>
      </c>
      <c r="B1364" s="1" t="s">
        <v>100</v>
      </c>
      <c r="C1364" t="s">
        <v>152</v>
      </c>
      <c r="D1364">
        <v>81</v>
      </c>
      <c r="E1364" t="s">
        <v>156</v>
      </c>
    </row>
    <row r="1365" spans="1:5" x14ac:dyDescent="0.2">
      <c r="A1365">
        <v>1364</v>
      </c>
      <c r="B1365" s="1" t="s">
        <v>100</v>
      </c>
      <c r="C1365" t="s">
        <v>151</v>
      </c>
      <c r="D1365">
        <v>82</v>
      </c>
      <c r="E1365" t="s">
        <v>156</v>
      </c>
    </row>
    <row r="1366" spans="1:5" x14ac:dyDescent="0.2">
      <c r="A1366">
        <v>1365</v>
      </c>
      <c r="B1366" s="1" t="s">
        <v>99</v>
      </c>
      <c r="C1366" t="s">
        <v>152</v>
      </c>
      <c r="D1366">
        <v>53</v>
      </c>
      <c r="E1366" t="s">
        <v>156</v>
      </c>
    </row>
    <row r="1367" spans="1:5" x14ac:dyDescent="0.2">
      <c r="A1367">
        <v>1366</v>
      </c>
      <c r="B1367" s="1" t="s">
        <v>99</v>
      </c>
      <c r="C1367" t="s">
        <v>151</v>
      </c>
      <c r="D1367">
        <v>44</v>
      </c>
      <c r="E1367" t="s">
        <v>156</v>
      </c>
    </row>
    <row r="1368" spans="1:5" x14ac:dyDescent="0.2">
      <c r="A1368">
        <v>1367</v>
      </c>
      <c r="B1368" s="1" t="s">
        <v>107</v>
      </c>
      <c r="C1368" t="s">
        <v>152</v>
      </c>
      <c r="D1368">
        <v>25</v>
      </c>
      <c r="E1368" t="s">
        <v>156</v>
      </c>
    </row>
    <row r="1369" spans="1:5" x14ac:dyDescent="0.2">
      <c r="A1369">
        <v>1368</v>
      </c>
      <c r="B1369" s="1" t="s">
        <v>99</v>
      </c>
      <c r="C1369" t="s">
        <v>151</v>
      </c>
      <c r="D1369">
        <v>54</v>
      </c>
      <c r="E1369" t="s">
        <v>156</v>
      </c>
    </row>
    <row r="1370" spans="1:5" x14ac:dyDescent="0.2">
      <c r="A1370">
        <v>1369</v>
      </c>
      <c r="B1370" s="1" t="s">
        <v>99</v>
      </c>
      <c r="C1370" t="s">
        <v>152</v>
      </c>
      <c r="D1370">
        <v>87</v>
      </c>
      <c r="E1370" t="s">
        <v>156</v>
      </c>
    </row>
    <row r="1371" spans="1:5" x14ac:dyDescent="0.2">
      <c r="A1371">
        <v>1370</v>
      </c>
      <c r="B1371" s="1" t="s">
        <v>111</v>
      </c>
      <c r="C1371" t="s">
        <v>151</v>
      </c>
      <c r="D1371">
        <v>89</v>
      </c>
      <c r="E1371" t="s">
        <v>156</v>
      </c>
    </row>
    <row r="1372" spans="1:5" x14ac:dyDescent="0.2">
      <c r="A1372">
        <v>1371</v>
      </c>
      <c r="B1372" s="1" t="s">
        <v>99</v>
      </c>
      <c r="C1372" t="s">
        <v>151</v>
      </c>
      <c r="D1372">
        <v>29</v>
      </c>
      <c r="E1372" t="s">
        <v>156</v>
      </c>
    </row>
    <row r="1373" spans="1:5" x14ac:dyDescent="0.2">
      <c r="A1373">
        <v>1372</v>
      </c>
      <c r="B1373" s="1" t="s">
        <v>100</v>
      </c>
      <c r="C1373" t="s">
        <v>151</v>
      </c>
      <c r="D1373">
        <v>28</v>
      </c>
      <c r="E1373" t="s">
        <v>156</v>
      </c>
    </row>
    <row r="1374" spans="1:5" x14ac:dyDescent="0.2">
      <c r="A1374">
        <v>1373</v>
      </c>
      <c r="B1374" s="1" t="s">
        <v>101</v>
      </c>
      <c r="C1374" t="s">
        <v>152</v>
      </c>
      <c r="D1374">
        <v>43</v>
      </c>
      <c r="E1374" t="s">
        <v>156</v>
      </c>
    </row>
    <row r="1375" spans="1:5" x14ac:dyDescent="0.2">
      <c r="A1375">
        <v>1374</v>
      </c>
      <c r="B1375" s="1" t="s">
        <v>100</v>
      </c>
      <c r="C1375" t="s">
        <v>151</v>
      </c>
      <c r="D1375">
        <v>80</v>
      </c>
      <c r="E1375" t="s">
        <v>156</v>
      </c>
    </row>
    <row r="1376" spans="1:5" x14ac:dyDescent="0.2">
      <c r="A1376">
        <v>1375</v>
      </c>
      <c r="B1376" s="1" t="s">
        <v>99</v>
      </c>
      <c r="C1376" t="s">
        <v>151</v>
      </c>
      <c r="D1376">
        <v>59</v>
      </c>
      <c r="E1376" t="s">
        <v>156</v>
      </c>
    </row>
    <row r="1377" spans="1:5" x14ac:dyDescent="0.2">
      <c r="A1377">
        <v>1376</v>
      </c>
      <c r="B1377" s="1" t="s">
        <v>99</v>
      </c>
      <c r="C1377" t="s">
        <v>152</v>
      </c>
      <c r="D1377">
        <v>74</v>
      </c>
      <c r="E1377" t="s">
        <v>156</v>
      </c>
    </row>
    <row r="1378" spans="1:5" x14ac:dyDescent="0.2">
      <c r="A1378">
        <v>1377</v>
      </c>
      <c r="B1378" s="1" t="s">
        <v>109</v>
      </c>
      <c r="C1378" t="s">
        <v>151</v>
      </c>
      <c r="D1378">
        <v>33</v>
      </c>
      <c r="E1378" t="s">
        <v>156</v>
      </c>
    </row>
    <row r="1379" spans="1:5" x14ac:dyDescent="0.2">
      <c r="A1379">
        <v>1378</v>
      </c>
      <c r="B1379" s="1" t="s">
        <v>105</v>
      </c>
      <c r="C1379" t="s">
        <v>151</v>
      </c>
      <c r="D1379">
        <v>31</v>
      </c>
      <c r="E1379" t="s">
        <v>156</v>
      </c>
    </row>
    <row r="1380" spans="1:5" x14ac:dyDescent="0.2">
      <c r="A1380">
        <v>1379</v>
      </c>
      <c r="B1380" s="1" t="s">
        <v>99</v>
      </c>
      <c r="C1380" t="s">
        <v>151</v>
      </c>
      <c r="D1380">
        <v>62</v>
      </c>
      <c r="E1380" t="s">
        <v>156</v>
      </c>
    </row>
    <row r="1381" spans="1:5" x14ac:dyDescent="0.2">
      <c r="A1381">
        <v>1380</v>
      </c>
      <c r="B1381" s="1" t="s">
        <v>99</v>
      </c>
      <c r="C1381" t="s">
        <v>152</v>
      </c>
      <c r="D1381">
        <v>68</v>
      </c>
      <c r="E1381" t="s">
        <v>156</v>
      </c>
    </row>
    <row r="1382" spans="1:5" x14ac:dyDescent="0.2">
      <c r="A1382">
        <v>1381</v>
      </c>
      <c r="B1382" s="1" t="s">
        <v>99</v>
      </c>
      <c r="C1382" t="s">
        <v>151</v>
      </c>
      <c r="D1382">
        <v>28</v>
      </c>
      <c r="E1382" t="s">
        <v>156</v>
      </c>
    </row>
    <row r="1383" spans="1:5" x14ac:dyDescent="0.2">
      <c r="A1383">
        <v>1382</v>
      </c>
      <c r="B1383" s="1" t="s">
        <v>105</v>
      </c>
      <c r="C1383" t="s">
        <v>151</v>
      </c>
      <c r="D1383">
        <v>69</v>
      </c>
      <c r="E1383" t="s">
        <v>156</v>
      </c>
    </row>
    <row r="1384" spans="1:5" x14ac:dyDescent="0.2">
      <c r="A1384">
        <v>1383</v>
      </c>
      <c r="B1384" s="1" t="s">
        <v>100</v>
      </c>
      <c r="C1384" t="s">
        <v>151</v>
      </c>
      <c r="D1384">
        <v>50</v>
      </c>
      <c r="E1384" t="s">
        <v>156</v>
      </c>
    </row>
    <row r="1385" spans="1:5" x14ac:dyDescent="0.2">
      <c r="A1385">
        <v>1384</v>
      </c>
      <c r="B1385" s="1" t="s">
        <v>99</v>
      </c>
      <c r="C1385" t="s">
        <v>152</v>
      </c>
      <c r="D1385">
        <v>39</v>
      </c>
      <c r="E1385" t="s">
        <v>156</v>
      </c>
    </row>
    <row r="1386" spans="1:5" x14ac:dyDescent="0.2">
      <c r="A1386">
        <v>1385</v>
      </c>
      <c r="B1386" s="1" t="s">
        <v>99</v>
      </c>
      <c r="C1386" t="s">
        <v>151</v>
      </c>
      <c r="D1386">
        <v>32</v>
      </c>
      <c r="E1386" t="s">
        <v>156</v>
      </c>
    </row>
    <row r="1387" spans="1:5" x14ac:dyDescent="0.2">
      <c r="A1387">
        <v>1386</v>
      </c>
      <c r="B1387" s="1" t="s">
        <v>104</v>
      </c>
      <c r="C1387" t="s">
        <v>151</v>
      </c>
      <c r="D1387">
        <v>18</v>
      </c>
      <c r="E1387" t="s">
        <v>156</v>
      </c>
    </row>
    <row r="1388" spans="1:5" x14ac:dyDescent="0.2">
      <c r="A1388">
        <v>1387</v>
      </c>
      <c r="B1388" s="1" t="s">
        <v>99</v>
      </c>
      <c r="C1388" t="s">
        <v>151</v>
      </c>
      <c r="D1388">
        <v>90</v>
      </c>
      <c r="E1388" t="s">
        <v>156</v>
      </c>
    </row>
    <row r="1389" spans="1:5" x14ac:dyDescent="0.2">
      <c r="A1389">
        <v>1388</v>
      </c>
      <c r="B1389" s="1" t="s">
        <v>106</v>
      </c>
      <c r="C1389" t="s">
        <v>152</v>
      </c>
      <c r="D1389">
        <v>65</v>
      </c>
      <c r="E1389" t="s">
        <v>156</v>
      </c>
    </row>
    <row r="1390" spans="1:5" x14ac:dyDescent="0.2">
      <c r="A1390">
        <v>1389</v>
      </c>
      <c r="B1390" s="1" t="s">
        <v>99</v>
      </c>
      <c r="C1390" t="s">
        <v>152</v>
      </c>
      <c r="D1390">
        <v>29</v>
      </c>
      <c r="E1390" t="s">
        <v>156</v>
      </c>
    </row>
    <row r="1391" spans="1:5" x14ac:dyDescent="0.2">
      <c r="A1391">
        <v>1390</v>
      </c>
      <c r="B1391" s="1" t="s">
        <v>107</v>
      </c>
      <c r="C1391" t="s">
        <v>152</v>
      </c>
      <c r="D1391">
        <v>27</v>
      </c>
      <c r="E1391" t="s">
        <v>156</v>
      </c>
    </row>
    <row r="1392" spans="1:5" x14ac:dyDescent="0.2">
      <c r="A1392">
        <v>1391</v>
      </c>
      <c r="B1392" s="1" t="s">
        <v>99</v>
      </c>
      <c r="C1392" t="s">
        <v>151</v>
      </c>
      <c r="D1392">
        <v>61</v>
      </c>
      <c r="E1392" t="s">
        <v>156</v>
      </c>
    </row>
    <row r="1393" spans="1:5" x14ac:dyDescent="0.2">
      <c r="A1393">
        <v>1392</v>
      </c>
      <c r="B1393" s="1" t="s">
        <v>111</v>
      </c>
      <c r="C1393" t="s">
        <v>152</v>
      </c>
      <c r="D1393">
        <v>81</v>
      </c>
      <c r="E1393" t="s">
        <v>156</v>
      </c>
    </row>
    <row r="1394" spans="1:5" x14ac:dyDescent="0.2">
      <c r="A1394">
        <v>1393</v>
      </c>
      <c r="B1394" s="1" t="s">
        <v>107</v>
      </c>
      <c r="C1394" t="s">
        <v>152</v>
      </c>
      <c r="D1394">
        <v>76</v>
      </c>
      <c r="E1394" t="s">
        <v>156</v>
      </c>
    </row>
    <row r="1395" spans="1:5" x14ac:dyDescent="0.2">
      <c r="A1395">
        <v>1394</v>
      </c>
      <c r="B1395" s="1" t="s">
        <v>99</v>
      </c>
      <c r="C1395" t="s">
        <v>152</v>
      </c>
      <c r="D1395">
        <v>58</v>
      </c>
      <c r="E1395" t="s">
        <v>156</v>
      </c>
    </row>
    <row r="1396" spans="1:5" x14ac:dyDescent="0.2">
      <c r="A1396">
        <v>1395</v>
      </c>
      <c r="B1396" s="1" t="s">
        <v>99</v>
      </c>
      <c r="C1396" t="s">
        <v>152</v>
      </c>
      <c r="D1396">
        <v>63</v>
      </c>
      <c r="E1396" t="s">
        <v>156</v>
      </c>
    </row>
    <row r="1397" spans="1:5" x14ac:dyDescent="0.2">
      <c r="A1397">
        <v>1396</v>
      </c>
      <c r="B1397" s="1" t="s">
        <v>99</v>
      </c>
      <c r="C1397" t="s">
        <v>151</v>
      </c>
      <c r="D1397">
        <v>90</v>
      </c>
      <c r="E1397" t="s">
        <v>156</v>
      </c>
    </row>
    <row r="1398" spans="1:5" x14ac:dyDescent="0.2">
      <c r="A1398">
        <v>1397</v>
      </c>
      <c r="B1398" s="1" t="s">
        <v>105</v>
      </c>
      <c r="C1398" t="s">
        <v>151</v>
      </c>
      <c r="D1398">
        <v>22</v>
      </c>
      <c r="E1398" t="s">
        <v>156</v>
      </c>
    </row>
    <row r="1399" spans="1:5" x14ac:dyDescent="0.2">
      <c r="A1399">
        <v>1398</v>
      </c>
      <c r="B1399" s="1" t="s">
        <v>108</v>
      </c>
      <c r="C1399" t="s">
        <v>152</v>
      </c>
      <c r="D1399">
        <v>44</v>
      </c>
      <c r="E1399" t="s">
        <v>156</v>
      </c>
    </row>
    <row r="1400" spans="1:5" x14ac:dyDescent="0.2">
      <c r="A1400">
        <v>1399</v>
      </c>
      <c r="B1400" s="1" t="s">
        <v>101</v>
      </c>
      <c r="C1400" t="s">
        <v>152</v>
      </c>
      <c r="D1400">
        <v>24</v>
      </c>
      <c r="E1400" t="s">
        <v>156</v>
      </c>
    </row>
    <row r="1401" spans="1:5" x14ac:dyDescent="0.2">
      <c r="A1401">
        <v>1400</v>
      </c>
      <c r="B1401" s="1" t="s">
        <v>99</v>
      </c>
      <c r="C1401" t="s">
        <v>152</v>
      </c>
      <c r="D1401">
        <v>34</v>
      </c>
      <c r="E1401" t="s">
        <v>156</v>
      </c>
    </row>
    <row r="1402" spans="1:5" x14ac:dyDescent="0.2">
      <c r="A1402">
        <v>1401</v>
      </c>
      <c r="B1402" s="1" t="s">
        <v>102</v>
      </c>
      <c r="C1402" t="s">
        <v>151</v>
      </c>
      <c r="D1402">
        <v>53</v>
      </c>
      <c r="E1402" t="s">
        <v>156</v>
      </c>
    </row>
    <row r="1403" spans="1:5" x14ac:dyDescent="0.2">
      <c r="A1403">
        <v>1402</v>
      </c>
      <c r="B1403" s="1" t="s">
        <v>99</v>
      </c>
      <c r="C1403" t="s">
        <v>151</v>
      </c>
      <c r="D1403">
        <v>80</v>
      </c>
      <c r="E1403" t="s">
        <v>156</v>
      </c>
    </row>
    <row r="1404" spans="1:5" x14ac:dyDescent="0.2">
      <c r="A1404">
        <v>1403</v>
      </c>
      <c r="B1404" s="1" t="s">
        <v>99</v>
      </c>
      <c r="C1404" t="s">
        <v>151</v>
      </c>
      <c r="D1404">
        <v>81</v>
      </c>
      <c r="E1404" t="s">
        <v>156</v>
      </c>
    </row>
    <row r="1405" spans="1:5" x14ac:dyDescent="0.2">
      <c r="A1405">
        <v>1404</v>
      </c>
      <c r="B1405" s="1" t="s">
        <v>99</v>
      </c>
      <c r="C1405" t="s">
        <v>152</v>
      </c>
      <c r="D1405">
        <v>59</v>
      </c>
      <c r="E1405" t="s">
        <v>156</v>
      </c>
    </row>
    <row r="1406" spans="1:5" x14ac:dyDescent="0.2">
      <c r="A1406">
        <v>1405</v>
      </c>
      <c r="B1406" s="1" t="s">
        <v>99</v>
      </c>
      <c r="C1406" t="s">
        <v>152</v>
      </c>
      <c r="D1406">
        <v>65</v>
      </c>
      <c r="E1406" t="s">
        <v>156</v>
      </c>
    </row>
    <row r="1407" spans="1:5" x14ac:dyDescent="0.2">
      <c r="A1407">
        <v>1406</v>
      </c>
      <c r="B1407" s="1" t="s">
        <v>101</v>
      </c>
      <c r="C1407" t="s">
        <v>151</v>
      </c>
      <c r="D1407">
        <v>18</v>
      </c>
      <c r="E1407" t="s">
        <v>156</v>
      </c>
    </row>
    <row r="1408" spans="1:5" x14ac:dyDescent="0.2">
      <c r="A1408">
        <v>1407</v>
      </c>
      <c r="B1408" s="1" t="s">
        <v>99</v>
      </c>
      <c r="C1408" t="s">
        <v>152</v>
      </c>
      <c r="D1408">
        <v>37</v>
      </c>
      <c r="E1408" t="s">
        <v>156</v>
      </c>
    </row>
    <row r="1409" spans="1:5" x14ac:dyDescent="0.2">
      <c r="A1409">
        <v>1408</v>
      </c>
      <c r="B1409" s="1" t="s">
        <v>99</v>
      </c>
      <c r="C1409" t="s">
        <v>152</v>
      </c>
      <c r="D1409">
        <v>68</v>
      </c>
      <c r="E1409" t="s">
        <v>156</v>
      </c>
    </row>
    <row r="1410" spans="1:5" x14ac:dyDescent="0.2">
      <c r="A1410">
        <v>1409</v>
      </c>
      <c r="B1410" s="1" t="s">
        <v>99</v>
      </c>
      <c r="C1410" t="s">
        <v>152</v>
      </c>
      <c r="D1410">
        <v>63</v>
      </c>
      <c r="E1410" t="s">
        <v>156</v>
      </c>
    </row>
    <row r="1411" spans="1:5" x14ac:dyDescent="0.2">
      <c r="A1411">
        <v>1410</v>
      </c>
      <c r="B1411" s="1" t="s">
        <v>99</v>
      </c>
      <c r="C1411" t="s">
        <v>151</v>
      </c>
      <c r="D1411">
        <v>55</v>
      </c>
      <c r="E1411" t="s">
        <v>156</v>
      </c>
    </row>
    <row r="1412" spans="1:5" x14ac:dyDescent="0.2">
      <c r="A1412">
        <v>1411</v>
      </c>
      <c r="B1412" s="1" t="s">
        <v>105</v>
      </c>
      <c r="C1412" t="s">
        <v>152</v>
      </c>
      <c r="D1412">
        <v>52</v>
      </c>
      <c r="E1412" t="s">
        <v>156</v>
      </c>
    </row>
    <row r="1413" spans="1:5" x14ac:dyDescent="0.2">
      <c r="A1413">
        <v>1412</v>
      </c>
      <c r="B1413" s="1" t="s">
        <v>107</v>
      </c>
      <c r="C1413" t="s">
        <v>152</v>
      </c>
      <c r="D1413">
        <v>33</v>
      </c>
      <c r="E1413" t="s">
        <v>156</v>
      </c>
    </row>
    <row r="1414" spans="1:5" x14ac:dyDescent="0.2">
      <c r="A1414">
        <v>1413</v>
      </c>
      <c r="B1414" s="1" t="s">
        <v>105</v>
      </c>
      <c r="C1414" t="s">
        <v>151</v>
      </c>
      <c r="D1414">
        <v>26</v>
      </c>
      <c r="E1414" t="s">
        <v>156</v>
      </c>
    </row>
    <row r="1415" spans="1:5" x14ac:dyDescent="0.2">
      <c r="A1415">
        <v>1414</v>
      </c>
      <c r="B1415" s="1" t="s">
        <v>99</v>
      </c>
      <c r="C1415" t="s">
        <v>152</v>
      </c>
      <c r="D1415">
        <v>28</v>
      </c>
      <c r="E1415" t="s">
        <v>156</v>
      </c>
    </row>
    <row r="1416" spans="1:5" x14ac:dyDescent="0.2">
      <c r="A1416">
        <v>1415</v>
      </c>
      <c r="B1416" s="1" t="s">
        <v>100</v>
      </c>
      <c r="C1416" t="s">
        <v>152</v>
      </c>
      <c r="D1416">
        <v>71</v>
      </c>
      <c r="E1416" t="s">
        <v>156</v>
      </c>
    </row>
    <row r="1417" spans="1:5" x14ac:dyDescent="0.2">
      <c r="A1417">
        <v>1416</v>
      </c>
      <c r="B1417" s="1" t="s">
        <v>99</v>
      </c>
      <c r="C1417" t="s">
        <v>152</v>
      </c>
      <c r="D1417">
        <v>84</v>
      </c>
      <c r="E1417" t="s">
        <v>156</v>
      </c>
    </row>
    <row r="1418" spans="1:5" x14ac:dyDescent="0.2">
      <c r="A1418">
        <v>1417</v>
      </c>
      <c r="B1418" s="1" t="s">
        <v>100</v>
      </c>
      <c r="C1418" t="s">
        <v>152</v>
      </c>
      <c r="D1418">
        <v>73</v>
      </c>
      <c r="E1418" t="s">
        <v>156</v>
      </c>
    </row>
    <row r="1419" spans="1:5" x14ac:dyDescent="0.2">
      <c r="A1419">
        <v>1418</v>
      </c>
      <c r="B1419" s="1" t="s">
        <v>99</v>
      </c>
      <c r="C1419" t="s">
        <v>151</v>
      </c>
      <c r="D1419">
        <v>24</v>
      </c>
      <c r="E1419" t="s">
        <v>156</v>
      </c>
    </row>
    <row r="1420" spans="1:5" x14ac:dyDescent="0.2">
      <c r="A1420">
        <v>1419</v>
      </c>
      <c r="B1420" s="1" t="s">
        <v>99</v>
      </c>
      <c r="C1420" t="s">
        <v>152</v>
      </c>
      <c r="D1420">
        <v>50</v>
      </c>
      <c r="E1420" t="s">
        <v>156</v>
      </c>
    </row>
    <row r="1421" spans="1:5" x14ac:dyDescent="0.2">
      <c r="A1421">
        <v>1420</v>
      </c>
      <c r="B1421" s="1" t="s">
        <v>99</v>
      </c>
      <c r="C1421" t="s">
        <v>151</v>
      </c>
      <c r="D1421">
        <v>28</v>
      </c>
      <c r="E1421" t="s">
        <v>156</v>
      </c>
    </row>
    <row r="1422" spans="1:5" x14ac:dyDescent="0.2">
      <c r="A1422">
        <v>1421</v>
      </c>
      <c r="B1422" s="1" t="s">
        <v>105</v>
      </c>
      <c r="C1422" t="s">
        <v>151</v>
      </c>
      <c r="D1422">
        <v>21</v>
      </c>
      <c r="E1422" t="s">
        <v>156</v>
      </c>
    </row>
    <row r="1423" spans="1:5" x14ac:dyDescent="0.2">
      <c r="A1423">
        <v>1422</v>
      </c>
      <c r="B1423" s="1" t="s">
        <v>99</v>
      </c>
      <c r="C1423" t="s">
        <v>151</v>
      </c>
      <c r="D1423">
        <v>61</v>
      </c>
      <c r="E1423" t="s">
        <v>156</v>
      </c>
    </row>
    <row r="1424" spans="1:5" x14ac:dyDescent="0.2">
      <c r="A1424">
        <v>1423</v>
      </c>
      <c r="B1424" s="1" t="s">
        <v>99</v>
      </c>
      <c r="C1424" t="s">
        <v>151</v>
      </c>
      <c r="D1424">
        <v>78</v>
      </c>
      <c r="E1424" t="s">
        <v>156</v>
      </c>
    </row>
    <row r="1425" spans="1:5" x14ac:dyDescent="0.2">
      <c r="A1425">
        <v>1424</v>
      </c>
      <c r="B1425" s="1" t="s">
        <v>105</v>
      </c>
      <c r="C1425" t="s">
        <v>151</v>
      </c>
      <c r="D1425">
        <v>39</v>
      </c>
      <c r="E1425" t="s">
        <v>156</v>
      </c>
    </row>
    <row r="1426" spans="1:5" x14ac:dyDescent="0.2">
      <c r="A1426">
        <v>1425</v>
      </c>
      <c r="B1426" s="1" t="s">
        <v>101</v>
      </c>
      <c r="C1426" t="s">
        <v>152</v>
      </c>
      <c r="D1426">
        <v>79</v>
      </c>
      <c r="E1426" t="s">
        <v>156</v>
      </c>
    </row>
    <row r="1427" spans="1:5" x14ac:dyDescent="0.2">
      <c r="A1427">
        <v>1426</v>
      </c>
      <c r="B1427" s="1" t="s">
        <v>99</v>
      </c>
      <c r="C1427" t="s">
        <v>152</v>
      </c>
      <c r="D1427">
        <v>37</v>
      </c>
      <c r="E1427" t="s">
        <v>156</v>
      </c>
    </row>
    <row r="1428" spans="1:5" x14ac:dyDescent="0.2">
      <c r="A1428">
        <v>1427</v>
      </c>
      <c r="B1428" s="1" t="s">
        <v>107</v>
      </c>
      <c r="C1428" t="s">
        <v>152</v>
      </c>
      <c r="D1428">
        <v>18</v>
      </c>
      <c r="E1428" t="s">
        <v>156</v>
      </c>
    </row>
    <row r="1429" spans="1:5" x14ac:dyDescent="0.2">
      <c r="A1429">
        <v>1428</v>
      </c>
      <c r="B1429" s="1" t="s">
        <v>100</v>
      </c>
      <c r="C1429" t="s">
        <v>152</v>
      </c>
      <c r="D1429">
        <v>57</v>
      </c>
      <c r="E1429" t="s">
        <v>156</v>
      </c>
    </row>
    <row r="1430" spans="1:5" x14ac:dyDescent="0.2">
      <c r="A1430">
        <v>1429</v>
      </c>
      <c r="B1430" s="1" t="s">
        <v>104</v>
      </c>
      <c r="C1430" t="s">
        <v>152</v>
      </c>
      <c r="D1430">
        <v>47</v>
      </c>
      <c r="E1430" t="s">
        <v>156</v>
      </c>
    </row>
    <row r="1431" spans="1:5" x14ac:dyDescent="0.2">
      <c r="A1431">
        <v>1430</v>
      </c>
      <c r="B1431" s="1" t="s">
        <v>99</v>
      </c>
      <c r="C1431" t="s">
        <v>152</v>
      </c>
      <c r="D1431">
        <v>82</v>
      </c>
      <c r="E1431" t="s">
        <v>156</v>
      </c>
    </row>
    <row r="1432" spans="1:5" x14ac:dyDescent="0.2">
      <c r="A1432">
        <v>1431</v>
      </c>
      <c r="B1432" s="1" t="s">
        <v>99</v>
      </c>
      <c r="C1432" t="s">
        <v>151</v>
      </c>
      <c r="D1432">
        <v>63</v>
      </c>
      <c r="E1432" t="s">
        <v>156</v>
      </c>
    </row>
    <row r="1433" spans="1:5" x14ac:dyDescent="0.2">
      <c r="A1433">
        <v>1432</v>
      </c>
      <c r="B1433" s="1" t="s">
        <v>99</v>
      </c>
      <c r="C1433" t="s">
        <v>152</v>
      </c>
      <c r="D1433">
        <v>30</v>
      </c>
      <c r="E1433" t="s">
        <v>156</v>
      </c>
    </row>
    <row r="1434" spans="1:5" x14ac:dyDescent="0.2">
      <c r="A1434">
        <v>1433</v>
      </c>
      <c r="B1434" s="1" t="s">
        <v>101</v>
      </c>
      <c r="C1434" t="s">
        <v>152</v>
      </c>
      <c r="D1434">
        <v>28</v>
      </c>
      <c r="E1434" t="s">
        <v>156</v>
      </c>
    </row>
    <row r="1435" spans="1:5" x14ac:dyDescent="0.2">
      <c r="A1435">
        <v>1434</v>
      </c>
      <c r="B1435" s="1" t="s">
        <v>99</v>
      </c>
      <c r="C1435" t="s">
        <v>152</v>
      </c>
      <c r="D1435">
        <v>65</v>
      </c>
      <c r="E1435" t="s">
        <v>156</v>
      </c>
    </row>
    <row r="1436" spans="1:5" x14ac:dyDescent="0.2">
      <c r="A1436">
        <v>1435</v>
      </c>
      <c r="B1436" s="1" t="s">
        <v>100</v>
      </c>
      <c r="C1436" t="s">
        <v>152</v>
      </c>
      <c r="D1436">
        <v>45</v>
      </c>
      <c r="E1436" t="s">
        <v>156</v>
      </c>
    </row>
    <row r="1437" spans="1:5" x14ac:dyDescent="0.2">
      <c r="A1437">
        <v>1436</v>
      </c>
      <c r="B1437" s="1" t="s">
        <v>105</v>
      </c>
      <c r="C1437" t="s">
        <v>151</v>
      </c>
      <c r="D1437">
        <v>40</v>
      </c>
      <c r="E1437" t="s">
        <v>156</v>
      </c>
    </row>
    <row r="1438" spans="1:5" x14ac:dyDescent="0.2">
      <c r="A1438">
        <v>1437</v>
      </c>
      <c r="B1438" s="1" t="s">
        <v>99</v>
      </c>
      <c r="C1438" t="s">
        <v>151</v>
      </c>
      <c r="D1438">
        <v>80</v>
      </c>
      <c r="E1438" t="s">
        <v>156</v>
      </c>
    </row>
    <row r="1439" spans="1:5" x14ac:dyDescent="0.2">
      <c r="A1439">
        <v>1438</v>
      </c>
      <c r="B1439" s="1" t="s">
        <v>106</v>
      </c>
      <c r="C1439" t="s">
        <v>151</v>
      </c>
      <c r="D1439">
        <v>35</v>
      </c>
      <c r="E1439" t="s">
        <v>156</v>
      </c>
    </row>
    <row r="1440" spans="1:5" x14ac:dyDescent="0.2">
      <c r="A1440">
        <v>1439</v>
      </c>
      <c r="B1440" s="1" t="s">
        <v>105</v>
      </c>
      <c r="C1440" t="s">
        <v>151</v>
      </c>
      <c r="D1440">
        <v>40</v>
      </c>
      <c r="E1440" t="s">
        <v>156</v>
      </c>
    </row>
    <row r="1441" spans="1:5" x14ac:dyDescent="0.2">
      <c r="A1441">
        <v>1440</v>
      </c>
      <c r="B1441" s="1" t="s">
        <v>105</v>
      </c>
      <c r="C1441" t="s">
        <v>152</v>
      </c>
      <c r="D1441">
        <v>60</v>
      </c>
      <c r="E1441" t="s">
        <v>156</v>
      </c>
    </row>
    <row r="1442" spans="1:5" x14ac:dyDescent="0.2">
      <c r="A1442">
        <v>1441</v>
      </c>
      <c r="B1442" s="1" t="s">
        <v>101</v>
      </c>
      <c r="C1442" t="s">
        <v>151</v>
      </c>
      <c r="D1442">
        <v>65</v>
      </c>
      <c r="E1442" t="s">
        <v>156</v>
      </c>
    </row>
    <row r="1443" spans="1:5" x14ac:dyDescent="0.2">
      <c r="A1443">
        <v>1442</v>
      </c>
      <c r="B1443" s="1" t="s">
        <v>99</v>
      </c>
      <c r="C1443" t="s">
        <v>151</v>
      </c>
      <c r="D1443">
        <v>82</v>
      </c>
      <c r="E1443" t="s">
        <v>156</v>
      </c>
    </row>
    <row r="1444" spans="1:5" x14ac:dyDescent="0.2">
      <c r="A1444">
        <v>1443</v>
      </c>
      <c r="B1444" s="1" t="s">
        <v>99</v>
      </c>
      <c r="C1444" t="s">
        <v>152</v>
      </c>
      <c r="D1444">
        <v>43</v>
      </c>
      <c r="E1444" t="s">
        <v>156</v>
      </c>
    </row>
    <row r="1445" spans="1:5" x14ac:dyDescent="0.2">
      <c r="A1445">
        <v>1444</v>
      </c>
      <c r="B1445" s="1" t="s">
        <v>105</v>
      </c>
      <c r="C1445" t="s">
        <v>151</v>
      </c>
      <c r="D1445">
        <v>65</v>
      </c>
      <c r="E1445" t="s">
        <v>156</v>
      </c>
    </row>
    <row r="1446" spans="1:5" x14ac:dyDescent="0.2">
      <c r="A1446">
        <v>1445</v>
      </c>
      <c r="B1446" s="1" t="s">
        <v>99</v>
      </c>
      <c r="C1446" t="s">
        <v>151</v>
      </c>
      <c r="D1446">
        <v>51</v>
      </c>
      <c r="E1446" t="s">
        <v>156</v>
      </c>
    </row>
    <row r="1447" spans="1:5" x14ac:dyDescent="0.2">
      <c r="A1447">
        <v>1446</v>
      </c>
      <c r="B1447" s="1" t="s">
        <v>109</v>
      </c>
      <c r="C1447" t="s">
        <v>152</v>
      </c>
      <c r="D1447">
        <v>52</v>
      </c>
      <c r="E1447" t="s">
        <v>156</v>
      </c>
    </row>
    <row r="1448" spans="1:5" x14ac:dyDescent="0.2">
      <c r="A1448">
        <v>1447</v>
      </c>
      <c r="B1448" s="1" t="s">
        <v>106</v>
      </c>
      <c r="C1448" t="s">
        <v>152</v>
      </c>
      <c r="D1448">
        <v>20</v>
      </c>
      <c r="E1448" t="s">
        <v>156</v>
      </c>
    </row>
    <row r="1449" spans="1:5" x14ac:dyDescent="0.2">
      <c r="A1449">
        <v>1448</v>
      </c>
      <c r="B1449" s="1" t="s">
        <v>108</v>
      </c>
      <c r="C1449" t="s">
        <v>151</v>
      </c>
      <c r="D1449">
        <v>84</v>
      </c>
      <c r="E1449" t="s">
        <v>156</v>
      </c>
    </row>
    <row r="1450" spans="1:5" x14ac:dyDescent="0.2">
      <c r="A1450">
        <v>1449</v>
      </c>
      <c r="B1450" s="1" t="s">
        <v>99</v>
      </c>
      <c r="C1450" t="s">
        <v>152</v>
      </c>
      <c r="D1450">
        <v>82</v>
      </c>
      <c r="E1450" t="s">
        <v>156</v>
      </c>
    </row>
    <row r="1451" spans="1:5" x14ac:dyDescent="0.2">
      <c r="A1451">
        <v>1450</v>
      </c>
      <c r="B1451" s="1" t="s">
        <v>100</v>
      </c>
      <c r="C1451" t="s">
        <v>151</v>
      </c>
      <c r="D1451">
        <v>27</v>
      </c>
      <c r="E1451" t="s">
        <v>156</v>
      </c>
    </row>
    <row r="1452" spans="1:5" x14ac:dyDescent="0.2">
      <c r="A1452">
        <v>1451</v>
      </c>
      <c r="B1452" s="1" t="s">
        <v>99</v>
      </c>
      <c r="C1452" t="s">
        <v>152</v>
      </c>
      <c r="D1452">
        <v>51</v>
      </c>
      <c r="E1452" t="s">
        <v>156</v>
      </c>
    </row>
    <row r="1453" spans="1:5" x14ac:dyDescent="0.2">
      <c r="A1453">
        <v>1452</v>
      </c>
      <c r="B1453" s="1" t="s">
        <v>100</v>
      </c>
      <c r="C1453" t="s">
        <v>152</v>
      </c>
      <c r="D1453">
        <v>22</v>
      </c>
      <c r="E1453" t="s">
        <v>156</v>
      </c>
    </row>
    <row r="1454" spans="1:5" x14ac:dyDescent="0.2">
      <c r="A1454">
        <v>1453</v>
      </c>
      <c r="B1454" s="1" t="s">
        <v>106</v>
      </c>
      <c r="C1454" t="s">
        <v>151</v>
      </c>
      <c r="D1454">
        <v>24</v>
      </c>
      <c r="E1454" t="s">
        <v>156</v>
      </c>
    </row>
    <row r="1455" spans="1:5" x14ac:dyDescent="0.2">
      <c r="A1455">
        <v>1454</v>
      </c>
      <c r="B1455" s="1" t="s">
        <v>105</v>
      </c>
      <c r="C1455" t="s">
        <v>152</v>
      </c>
      <c r="D1455">
        <v>71</v>
      </c>
      <c r="E1455" t="s">
        <v>156</v>
      </c>
    </row>
    <row r="1456" spans="1:5" x14ac:dyDescent="0.2">
      <c r="A1456">
        <v>1455</v>
      </c>
      <c r="B1456" s="1" t="s">
        <v>99</v>
      </c>
      <c r="C1456" t="s">
        <v>152</v>
      </c>
      <c r="D1456">
        <v>87</v>
      </c>
      <c r="E1456" t="s">
        <v>156</v>
      </c>
    </row>
    <row r="1457" spans="1:5" x14ac:dyDescent="0.2">
      <c r="A1457">
        <v>1456</v>
      </c>
      <c r="B1457" s="1" t="s">
        <v>105</v>
      </c>
      <c r="C1457" t="s">
        <v>152</v>
      </c>
      <c r="D1457">
        <v>35</v>
      </c>
      <c r="E1457" t="s">
        <v>156</v>
      </c>
    </row>
    <row r="1458" spans="1:5" x14ac:dyDescent="0.2">
      <c r="A1458">
        <v>1457</v>
      </c>
      <c r="B1458" s="1" t="s">
        <v>101</v>
      </c>
      <c r="C1458" t="s">
        <v>151</v>
      </c>
      <c r="D1458">
        <v>49</v>
      </c>
      <c r="E1458" t="s">
        <v>156</v>
      </c>
    </row>
    <row r="1459" spans="1:5" x14ac:dyDescent="0.2">
      <c r="A1459">
        <v>1458</v>
      </c>
      <c r="B1459" s="1" t="s">
        <v>100</v>
      </c>
      <c r="C1459" t="s">
        <v>151</v>
      </c>
      <c r="D1459">
        <v>67</v>
      </c>
      <c r="E1459" t="s">
        <v>156</v>
      </c>
    </row>
    <row r="1460" spans="1:5" x14ac:dyDescent="0.2">
      <c r="A1460">
        <v>1459</v>
      </c>
      <c r="B1460" s="1" t="s">
        <v>100</v>
      </c>
      <c r="C1460" t="s">
        <v>151</v>
      </c>
      <c r="D1460">
        <v>59</v>
      </c>
      <c r="E1460" t="s">
        <v>156</v>
      </c>
    </row>
    <row r="1461" spans="1:5" x14ac:dyDescent="0.2">
      <c r="A1461">
        <v>1460</v>
      </c>
      <c r="B1461" s="1" t="s">
        <v>107</v>
      </c>
      <c r="C1461" t="s">
        <v>151</v>
      </c>
      <c r="D1461">
        <v>63</v>
      </c>
      <c r="E1461" t="s">
        <v>156</v>
      </c>
    </row>
    <row r="1462" spans="1:5" x14ac:dyDescent="0.2">
      <c r="A1462">
        <v>1461</v>
      </c>
      <c r="B1462" s="1" t="s">
        <v>99</v>
      </c>
      <c r="C1462" t="s">
        <v>151</v>
      </c>
      <c r="D1462">
        <v>77</v>
      </c>
      <c r="E1462" t="s">
        <v>156</v>
      </c>
    </row>
    <row r="1463" spans="1:5" x14ac:dyDescent="0.2">
      <c r="A1463">
        <v>1462</v>
      </c>
      <c r="B1463" s="1" t="s">
        <v>99</v>
      </c>
      <c r="C1463" t="s">
        <v>151</v>
      </c>
      <c r="D1463">
        <v>65</v>
      </c>
      <c r="E1463" t="s">
        <v>156</v>
      </c>
    </row>
    <row r="1464" spans="1:5" x14ac:dyDescent="0.2">
      <c r="A1464">
        <v>1463</v>
      </c>
      <c r="B1464" s="1" t="s">
        <v>101</v>
      </c>
      <c r="C1464" t="s">
        <v>152</v>
      </c>
      <c r="D1464">
        <v>31</v>
      </c>
      <c r="E1464" t="s">
        <v>156</v>
      </c>
    </row>
    <row r="1465" spans="1:5" x14ac:dyDescent="0.2">
      <c r="A1465">
        <v>1464</v>
      </c>
      <c r="B1465" s="1" t="s">
        <v>100</v>
      </c>
      <c r="C1465" t="s">
        <v>152</v>
      </c>
      <c r="D1465">
        <v>73</v>
      </c>
      <c r="E1465" t="s">
        <v>156</v>
      </c>
    </row>
    <row r="1466" spans="1:5" x14ac:dyDescent="0.2">
      <c r="A1466">
        <v>1465</v>
      </c>
      <c r="B1466" s="1" t="s">
        <v>100</v>
      </c>
      <c r="C1466" t="s">
        <v>151</v>
      </c>
      <c r="D1466">
        <v>71</v>
      </c>
      <c r="E1466" t="s">
        <v>156</v>
      </c>
    </row>
    <row r="1467" spans="1:5" x14ac:dyDescent="0.2">
      <c r="A1467">
        <v>1466</v>
      </c>
      <c r="B1467" s="1" t="s">
        <v>111</v>
      </c>
      <c r="C1467" t="s">
        <v>152</v>
      </c>
      <c r="D1467">
        <v>39</v>
      </c>
      <c r="E1467" t="s">
        <v>156</v>
      </c>
    </row>
    <row r="1468" spans="1:5" x14ac:dyDescent="0.2">
      <c r="A1468">
        <v>1467</v>
      </c>
      <c r="B1468" s="1" t="s">
        <v>99</v>
      </c>
      <c r="C1468" t="s">
        <v>152</v>
      </c>
      <c r="D1468">
        <v>18</v>
      </c>
      <c r="E1468" t="s">
        <v>156</v>
      </c>
    </row>
    <row r="1469" spans="1:5" x14ac:dyDescent="0.2">
      <c r="A1469">
        <v>1468</v>
      </c>
      <c r="B1469" s="1" t="s">
        <v>99</v>
      </c>
      <c r="C1469" t="s">
        <v>152</v>
      </c>
      <c r="D1469">
        <v>71</v>
      </c>
      <c r="E1469" t="s">
        <v>156</v>
      </c>
    </row>
    <row r="1470" spans="1:5" x14ac:dyDescent="0.2">
      <c r="A1470">
        <v>1469</v>
      </c>
      <c r="B1470" s="1" t="s">
        <v>107</v>
      </c>
      <c r="C1470" t="s">
        <v>152</v>
      </c>
      <c r="D1470">
        <v>38</v>
      </c>
      <c r="E1470" t="s">
        <v>156</v>
      </c>
    </row>
    <row r="1471" spans="1:5" x14ac:dyDescent="0.2">
      <c r="A1471">
        <v>1470</v>
      </c>
      <c r="B1471" s="1" t="s">
        <v>99</v>
      </c>
      <c r="C1471" t="s">
        <v>152</v>
      </c>
      <c r="D1471">
        <v>34</v>
      </c>
      <c r="E1471" t="s">
        <v>156</v>
      </c>
    </row>
    <row r="1472" spans="1:5" x14ac:dyDescent="0.2">
      <c r="A1472">
        <v>1471</v>
      </c>
      <c r="B1472" s="1" t="s">
        <v>107</v>
      </c>
      <c r="C1472" t="s">
        <v>152</v>
      </c>
      <c r="D1472">
        <v>69</v>
      </c>
      <c r="E1472" t="s">
        <v>156</v>
      </c>
    </row>
    <row r="1473" spans="1:5" x14ac:dyDescent="0.2">
      <c r="A1473">
        <v>1472</v>
      </c>
      <c r="B1473" s="1" t="s">
        <v>99</v>
      </c>
      <c r="C1473" t="s">
        <v>152</v>
      </c>
      <c r="D1473">
        <v>83</v>
      </c>
      <c r="E1473" t="s">
        <v>156</v>
      </c>
    </row>
    <row r="1474" spans="1:5" x14ac:dyDescent="0.2">
      <c r="A1474">
        <v>1473</v>
      </c>
      <c r="B1474" s="1" t="s">
        <v>99</v>
      </c>
      <c r="C1474" t="s">
        <v>152</v>
      </c>
      <c r="D1474">
        <v>40</v>
      </c>
      <c r="E1474" t="s">
        <v>156</v>
      </c>
    </row>
    <row r="1475" spans="1:5" x14ac:dyDescent="0.2">
      <c r="A1475">
        <v>1474</v>
      </c>
      <c r="B1475" s="1" t="s">
        <v>99</v>
      </c>
      <c r="C1475" t="s">
        <v>151</v>
      </c>
      <c r="D1475">
        <v>25</v>
      </c>
      <c r="E1475" t="s">
        <v>156</v>
      </c>
    </row>
    <row r="1476" spans="1:5" x14ac:dyDescent="0.2">
      <c r="A1476">
        <v>1475</v>
      </c>
      <c r="B1476" s="1" t="s">
        <v>105</v>
      </c>
      <c r="C1476" t="s">
        <v>152</v>
      </c>
      <c r="D1476">
        <v>25</v>
      </c>
      <c r="E1476" t="s">
        <v>156</v>
      </c>
    </row>
    <row r="1477" spans="1:5" x14ac:dyDescent="0.2">
      <c r="A1477">
        <v>1476</v>
      </c>
      <c r="B1477" s="1" t="s">
        <v>107</v>
      </c>
      <c r="C1477" t="s">
        <v>151</v>
      </c>
      <c r="D1477">
        <v>23</v>
      </c>
      <c r="E1477" t="s">
        <v>156</v>
      </c>
    </row>
    <row r="1478" spans="1:5" x14ac:dyDescent="0.2">
      <c r="A1478">
        <v>1477</v>
      </c>
      <c r="B1478" s="1" t="s">
        <v>105</v>
      </c>
      <c r="C1478" t="s">
        <v>152</v>
      </c>
      <c r="D1478">
        <v>73</v>
      </c>
      <c r="E1478" t="s">
        <v>156</v>
      </c>
    </row>
    <row r="1479" spans="1:5" x14ac:dyDescent="0.2">
      <c r="A1479">
        <v>1478</v>
      </c>
      <c r="B1479" s="1" t="s">
        <v>104</v>
      </c>
      <c r="C1479" t="s">
        <v>151</v>
      </c>
      <c r="D1479">
        <v>43</v>
      </c>
      <c r="E1479" t="s">
        <v>156</v>
      </c>
    </row>
    <row r="1480" spans="1:5" x14ac:dyDescent="0.2">
      <c r="A1480">
        <v>1479</v>
      </c>
      <c r="B1480" s="1" t="s">
        <v>99</v>
      </c>
      <c r="C1480" t="s">
        <v>152</v>
      </c>
      <c r="D1480">
        <v>87</v>
      </c>
      <c r="E1480" t="s">
        <v>156</v>
      </c>
    </row>
    <row r="1481" spans="1:5" x14ac:dyDescent="0.2">
      <c r="A1481">
        <v>1480</v>
      </c>
      <c r="B1481" s="1" t="s">
        <v>102</v>
      </c>
      <c r="C1481" t="s">
        <v>151</v>
      </c>
      <c r="D1481">
        <v>43</v>
      </c>
      <c r="E1481" t="s">
        <v>156</v>
      </c>
    </row>
    <row r="1482" spans="1:5" x14ac:dyDescent="0.2">
      <c r="A1482">
        <v>1481</v>
      </c>
      <c r="B1482" s="1" t="s">
        <v>99</v>
      </c>
      <c r="C1482" t="s">
        <v>151</v>
      </c>
      <c r="D1482">
        <v>53</v>
      </c>
      <c r="E1482" t="s">
        <v>156</v>
      </c>
    </row>
    <row r="1483" spans="1:5" x14ac:dyDescent="0.2">
      <c r="A1483">
        <v>1482</v>
      </c>
      <c r="B1483" s="1" t="s">
        <v>100</v>
      </c>
      <c r="C1483" t="s">
        <v>151</v>
      </c>
      <c r="D1483">
        <v>24</v>
      </c>
      <c r="E1483" t="s">
        <v>156</v>
      </c>
    </row>
    <row r="1484" spans="1:5" x14ac:dyDescent="0.2">
      <c r="A1484">
        <v>1483</v>
      </c>
      <c r="B1484" s="1" t="s">
        <v>99</v>
      </c>
      <c r="C1484" t="s">
        <v>151</v>
      </c>
      <c r="D1484">
        <v>82</v>
      </c>
      <c r="E1484" t="s">
        <v>156</v>
      </c>
    </row>
    <row r="1485" spans="1:5" x14ac:dyDescent="0.2">
      <c r="A1485">
        <v>1484</v>
      </c>
      <c r="B1485" s="1" t="s">
        <v>99</v>
      </c>
      <c r="C1485" t="s">
        <v>152</v>
      </c>
      <c r="D1485">
        <v>84</v>
      </c>
      <c r="E1485" t="s">
        <v>156</v>
      </c>
    </row>
    <row r="1486" spans="1:5" x14ac:dyDescent="0.2">
      <c r="A1486">
        <v>1485</v>
      </c>
      <c r="B1486" s="1" t="s">
        <v>105</v>
      </c>
      <c r="C1486" t="s">
        <v>152</v>
      </c>
      <c r="D1486">
        <v>38</v>
      </c>
      <c r="E1486" t="s">
        <v>156</v>
      </c>
    </row>
    <row r="1487" spans="1:5" x14ac:dyDescent="0.2">
      <c r="A1487">
        <v>1486</v>
      </c>
      <c r="B1487" s="1" t="s">
        <v>99</v>
      </c>
      <c r="C1487" t="s">
        <v>152</v>
      </c>
      <c r="D1487">
        <v>30</v>
      </c>
      <c r="E1487" t="s">
        <v>156</v>
      </c>
    </row>
    <row r="1488" spans="1:5" x14ac:dyDescent="0.2">
      <c r="A1488">
        <v>1487</v>
      </c>
      <c r="B1488" s="1" t="s">
        <v>107</v>
      </c>
      <c r="C1488" t="s">
        <v>151</v>
      </c>
      <c r="D1488">
        <v>76</v>
      </c>
      <c r="E1488" t="s">
        <v>156</v>
      </c>
    </row>
    <row r="1489" spans="1:5" x14ac:dyDescent="0.2">
      <c r="A1489">
        <v>1488</v>
      </c>
      <c r="B1489" s="1" t="s">
        <v>99</v>
      </c>
      <c r="C1489" t="s">
        <v>151</v>
      </c>
      <c r="D1489">
        <v>35</v>
      </c>
      <c r="E1489" t="s">
        <v>156</v>
      </c>
    </row>
    <row r="1490" spans="1:5" x14ac:dyDescent="0.2">
      <c r="A1490">
        <v>1489</v>
      </c>
      <c r="B1490" s="1" t="s">
        <v>105</v>
      </c>
      <c r="C1490" t="s">
        <v>152</v>
      </c>
      <c r="D1490">
        <v>46</v>
      </c>
      <c r="E1490" t="s">
        <v>156</v>
      </c>
    </row>
    <row r="1491" spans="1:5" x14ac:dyDescent="0.2">
      <c r="A1491">
        <v>1490</v>
      </c>
      <c r="B1491" s="1" t="s">
        <v>105</v>
      </c>
      <c r="C1491" t="s">
        <v>152</v>
      </c>
      <c r="D1491">
        <v>30</v>
      </c>
      <c r="E1491" t="s">
        <v>156</v>
      </c>
    </row>
    <row r="1492" spans="1:5" x14ac:dyDescent="0.2">
      <c r="A1492">
        <v>1491</v>
      </c>
      <c r="B1492" s="1" t="s">
        <v>99</v>
      </c>
      <c r="C1492" t="s">
        <v>152</v>
      </c>
      <c r="D1492">
        <v>67</v>
      </c>
      <c r="E1492" t="s">
        <v>156</v>
      </c>
    </row>
    <row r="1493" spans="1:5" x14ac:dyDescent="0.2">
      <c r="A1493">
        <v>1492</v>
      </c>
      <c r="B1493" s="1" t="s">
        <v>99</v>
      </c>
      <c r="C1493" t="s">
        <v>152</v>
      </c>
      <c r="D1493">
        <v>78</v>
      </c>
      <c r="E1493" t="s">
        <v>156</v>
      </c>
    </row>
    <row r="1494" spans="1:5" x14ac:dyDescent="0.2">
      <c r="A1494">
        <v>1493</v>
      </c>
      <c r="B1494" s="1" t="s">
        <v>108</v>
      </c>
      <c r="C1494" t="s">
        <v>152</v>
      </c>
      <c r="D1494">
        <v>25</v>
      </c>
      <c r="E1494" t="s">
        <v>156</v>
      </c>
    </row>
    <row r="1495" spans="1:5" x14ac:dyDescent="0.2">
      <c r="A1495">
        <v>1494</v>
      </c>
      <c r="B1495" s="1" t="s">
        <v>105</v>
      </c>
      <c r="C1495" t="s">
        <v>151</v>
      </c>
      <c r="D1495">
        <v>35</v>
      </c>
      <c r="E1495" t="s">
        <v>156</v>
      </c>
    </row>
    <row r="1496" spans="1:5" x14ac:dyDescent="0.2">
      <c r="A1496">
        <v>1495</v>
      </c>
      <c r="B1496" s="1" t="s">
        <v>108</v>
      </c>
      <c r="C1496" t="s">
        <v>151</v>
      </c>
      <c r="D1496">
        <v>34</v>
      </c>
      <c r="E1496" t="s">
        <v>156</v>
      </c>
    </row>
    <row r="1497" spans="1:5" x14ac:dyDescent="0.2">
      <c r="A1497">
        <v>1496</v>
      </c>
      <c r="B1497" s="1" t="s">
        <v>99</v>
      </c>
      <c r="C1497" t="s">
        <v>152</v>
      </c>
      <c r="D1497">
        <v>74</v>
      </c>
      <c r="E1497" t="s">
        <v>156</v>
      </c>
    </row>
    <row r="1498" spans="1:5" x14ac:dyDescent="0.2">
      <c r="A1498">
        <v>1497</v>
      </c>
      <c r="B1498" s="1" t="s">
        <v>105</v>
      </c>
      <c r="C1498" t="s">
        <v>152</v>
      </c>
      <c r="D1498">
        <v>54</v>
      </c>
      <c r="E1498" t="s">
        <v>156</v>
      </c>
    </row>
    <row r="1499" spans="1:5" x14ac:dyDescent="0.2">
      <c r="A1499">
        <v>1498</v>
      </c>
      <c r="B1499" s="1" t="s">
        <v>109</v>
      </c>
      <c r="C1499" t="s">
        <v>152</v>
      </c>
      <c r="D1499">
        <v>75</v>
      </c>
      <c r="E1499" t="s">
        <v>156</v>
      </c>
    </row>
    <row r="1500" spans="1:5" x14ac:dyDescent="0.2">
      <c r="A1500">
        <v>1499</v>
      </c>
      <c r="B1500" s="1" t="s">
        <v>99</v>
      </c>
      <c r="C1500" t="s">
        <v>152</v>
      </c>
      <c r="D1500">
        <v>48</v>
      </c>
      <c r="E1500" t="s">
        <v>156</v>
      </c>
    </row>
    <row r="1501" spans="1:5" x14ac:dyDescent="0.2">
      <c r="A1501">
        <v>1500</v>
      </c>
      <c r="B1501" s="1" t="s">
        <v>99</v>
      </c>
      <c r="C1501" t="s">
        <v>151</v>
      </c>
      <c r="D1501">
        <v>19</v>
      </c>
      <c r="E1501" t="s">
        <v>156</v>
      </c>
    </row>
    <row r="1502" spans="1:5" x14ac:dyDescent="0.2">
      <c r="A1502">
        <v>1501</v>
      </c>
      <c r="B1502" s="1" t="s">
        <v>99</v>
      </c>
      <c r="C1502" t="s">
        <v>151</v>
      </c>
      <c r="D1502">
        <v>51</v>
      </c>
      <c r="E1502" t="s">
        <v>157</v>
      </c>
    </row>
    <row r="1503" spans="1:5" x14ac:dyDescent="0.2">
      <c r="A1503">
        <v>1502</v>
      </c>
      <c r="B1503" s="1" t="s">
        <v>105</v>
      </c>
      <c r="C1503" t="s">
        <v>152</v>
      </c>
      <c r="D1503">
        <v>33</v>
      </c>
      <c r="E1503" t="s">
        <v>157</v>
      </c>
    </row>
    <row r="1504" spans="1:5" x14ac:dyDescent="0.2">
      <c r="A1504">
        <v>1503</v>
      </c>
      <c r="B1504" s="1" t="s">
        <v>103</v>
      </c>
      <c r="C1504" t="s">
        <v>152</v>
      </c>
      <c r="D1504">
        <v>79</v>
      </c>
      <c r="E1504" t="s">
        <v>157</v>
      </c>
    </row>
    <row r="1505" spans="1:5" x14ac:dyDescent="0.2">
      <c r="A1505">
        <v>1504</v>
      </c>
      <c r="B1505" s="1" t="s">
        <v>100</v>
      </c>
      <c r="C1505" t="s">
        <v>152</v>
      </c>
      <c r="D1505">
        <v>33</v>
      </c>
      <c r="E1505" t="s">
        <v>157</v>
      </c>
    </row>
    <row r="1506" spans="1:5" x14ac:dyDescent="0.2">
      <c r="A1506">
        <v>1505</v>
      </c>
      <c r="B1506" s="1" t="s">
        <v>99</v>
      </c>
      <c r="C1506" t="s">
        <v>151</v>
      </c>
      <c r="D1506">
        <v>48</v>
      </c>
      <c r="E1506" t="s">
        <v>157</v>
      </c>
    </row>
    <row r="1507" spans="1:5" x14ac:dyDescent="0.2">
      <c r="A1507">
        <v>1506</v>
      </c>
      <c r="B1507" s="1" t="s">
        <v>99</v>
      </c>
      <c r="C1507" t="s">
        <v>151</v>
      </c>
      <c r="D1507">
        <v>18</v>
      </c>
      <c r="E1507" t="s">
        <v>157</v>
      </c>
    </row>
    <row r="1508" spans="1:5" x14ac:dyDescent="0.2">
      <c r="A1508">
        <v>1507</v>
      </c>
      <c r="B1508" s="1" t="s">
        <v>99</v>
      </c>
      <c r="C1508" t="s">
        <v>152</v>
      </c>
      <c r="D1508">
        <v>78</v>
      </c>
      <c r="E1508" t="s">
        <v>157</v>
      </c>
    </row>
    <row r="1509" spans="1:5" x14ac:dyDescent="0.2">
      <c r="A1509">
        <v>1508</v>
      </c>
      <c r="B1509" s="1" t="s">
        <v>99</v>
      </c>
      <c r="C1509" t="s">
        <v>151</v>
      </c>
      <c r="D1509">
        <v>73</v>
      </c>
      <c r="E1509" t="s">
        <v>157</v>
      </c>
    </row>
    <row r="1510" spans="1:5" x14ac:dyDescent="0.2">
      <c r="A1510">
        <v>1509</v>
      </c>
      <c r="B1510" s="1" t="s">
        <v>99</v>
      </c>
      <c r="C1510" t="s">
        <v>151</v>
      </c>
      <c r="D1510">
        <v>31</v>
      </c>
      <c r="E1510" t="s">
        <v>157</v>
      </c>
    </row>
    <row r="1511" spans="1:5" x14ac:dyDescent="0.2">
      <c r="A1511">
        <v>1510</v>
      </c>
      <c r="B1511" s="1" t="s">
        <v>103</v>
      </c>
      <c r="C1511" t="s">
        <v>151</v>
      </c>
      <c r="D1511">
        <v>23</v>
      </c>
      <c r="E1511" t="s">
        <v>157</v>
      </c>
    </row>
    <row r="1512" spans="1:5" x14ac:dyDescent="0.2">
      <c r="A1512">
        <v>1511</v>
      </c>
      <c r="B1512" s="1" t="s">
        <v>99</v>
      </c>
      <c r="C1512" t="s">
        <v>151</v>
      </c>
      <c r="D1512">
        <v>19</v>
      </c>
      <c r="E1512" t="s">
        <v>157</v>
      </c>
    </row>
    <row r="1513" spans="1:5" x14ac:dyDescent="0.2">
      <c r="A1513">
        <v>1512</v>
      </c>
      <c r="B1513" s="1" t="s">
        <v>108</v>
      </c>
      <c r="C1513" t="s">
        <v>152</v>
      </c>
      <c r="D1513">
        <v>28</v>
      </c>
      <c r="E1513" t="s">
        <v>157</v>
      </c>
    </row>
    <row r="1514" spans="1:5" x14ac:dyDescent="0.2">
      <c r="A1514">
        <v>1513</v>
      </c>
      <c r="B1514" s="1" t="s">
        <v>99</v>
      </c>
      <c r="C1514" t="s">
        <v>152</v>
      </c>
      <c r="D1514">
        <v>76</v>
      </c>
      <c r="E1514" t="s">
        <v>157</v>
      </c>
    </row>
    <row r="1515" spans="1:5" x14ac:dyDescent="0.2">
      <c r="A1515">
        <v>1514</v>
      </c>
      <c r="B1515" s="1" t="s">
        <v>100</v>
      </c>
      <c r="C1515" t="s">
        <v>151</v>
      </c>
      <c r="D1515">
        <v>42</v>
      </c>
      <c r="E1515" t="s">
        <v>157</v>
      </c>
    </row>
    <row r="1516" spans="1:5" x14ac:dyDescent="0.2">
      <c r="A1516">
        <v>1515</v>
      </c>
      <c r="B1516" s="1" t="s">
        <v>99</v>
      </c>
      <c r="C1516" t="s">
        <v>151</v>
      </c>
      <c r="D1516">
        <v>54</v>
      </c>
      <c r="E1516" t="s">
        <v>157</v>
      </c>
    </row>
    <row r="1517" spans="1:5" x14ac:dyDescent="0.2">
      <c r="A1517">
        <v>1516</v>
      </c>
      <c r="B1517" s="1" t="s">
        <v>103</v>
      </c>
      <c r="C1517" t="s">
        <v>152</v>
      </c>
      <c r="D1517">
        <v>25</v>
      </c>
      <c r="E1517" t="s">
        <v>157</v>
      </c>
    </row>
    <row r="1518" spans="1:5" x14ac:dyDescent="0.2">
      <c r="A1518">
        <v>1517</v>
      </c>
      <c r="B1518" s="1" t="s">
        <v>100</v>
      </c>
      <c r="C1518" t="s">
        <v>152</v>
      </c>
      <c r="D1518">
        <v>48</v>
      </c>
      <c r="E1518" t="s">
        <v>157</v>
      </c>
    </row>
    <row r="1519" spans="1:5" x14ac:dyDescent="0.2">
      <c r="A1519">
        <v>1518</v>
      </c>
      <c r="B1519" s="1" t="s">
        <v>99</v>
      </c>
      <c r="C1519" t="s">
        <v>152</v>
      </c>
      <c r="D1519">
        <v>66</v>
      </c>
      <c r="E1519" t="s">
        <v>157</v>
      </c>
    </row>
    <row r="1520" spans="1:5" x14ac:dyDescent="0.2">
      <c r="A1520">
        <v>1519</v>
      </c>
      <c r="B1520" s="1" t="s">
        <v>105</v>
      </c>
      <c r="C1520" t="s">
        <v>151</v>
      </c>
      <c r="D1520">
        <v>20</v>
      </c>
      <c r="E1520" t="s">
        <v>157</v>
      </c>
    </row>
    <row r="1521" spans="1:5" x14ac:dyDescent="0.2">
      <c r="A1521">
        <v>1520</v>
      </c>
      <c r="B1521" s="1" t="s">
        <v>99</v>
      </c>
      <c r="C1521" t="s">
        <v>152</v>
      </c>
      <c r="D1521">
        <v>28</v>
      </c>
      <c r="E1521" t="s">
        <v>157</v>
      </c>
    </row>
    <row r="1522" spans="1:5" x14ac:dyDescent="0.2">
      <c r="A1522">
        <v>1521</v>
      </c>
      <c r="B1522" s="1" t="s">
        <v>99</v>
      </c>
      <c r="C1522" t="s">
        <v>152</v>
      </c>
      <c r="D1522">
        <v>88</v>
      </c>
      <c r="E1522" t="s">
        <v>157</v>
      </c>
    </row>
    <row r="1523" spans="1:5" x14ac:dyDescent="0.2">
      <c r="A1523">
        <v>1522</v>
      </c>
      <c r="B1523" s="1" t="s">
        <v>99</v>
      </c>
      <c r="C1523" t="s">
        <v>151</v>
      </c>
      <c r="D1523">
        <v>81</v>
      </c>
      <c r="E1523" t="s">
        <v>157</v>
      </c>
    </row>
    <row r="1524" spans="1:5" x14ac:dyDescent="0.2">
      <c r="A1524">
        <v>1523</v>
      </c>
      <c r="B1524" s="1" t="s">
        <v>105</v>
      </c>
      <c r="C1524" t="s">
        <v>151</v>
      </c>
      <c r="D1524">
        <v>50</v>
      </c>
      <c r="E1524" t="s">
        <v>157</v>
      </c>
    </row>
    <row r="1525" spans="1:5" x14ac:dyDescent="0.2">
      <c r="A1525">
        <v>1524</v>
      </c>
      <c r="B1525" s="1" t="s">
        <v>100</v>
      </c>
      <c r="C1525" t="s">
        <v>152</v>
      </c>
      <c r="D1525">
        <v>75</v>
      </c>
      <c r="E1525" t="s">
        <v>157</v>
      </c>
    </row>
    <row r="1526" spans="1:5" x14ac:dyDescent="0.2">
      <c r="A1526">
        <v>1525</v>
      </c>
      <c r="B1526" s="1" t="s">
        <v>107</v>
      </c>
      <c r="C1526" t="s">
        <v>152</v>
      </c>
      <c r="D1526">
        <v>87</v>
      </c>
      <c r="E1526" t="s">
        <v>157</v>
      </c>
    </row>
    <row r="1527" spans="1:5" x14ac:dyDescent="0.2">
      <c r="A1527">
        <v>1526</v>
      </c>
      <c r="B1527" s="1" t="s">
        <v>99</v>
      </c>
      <c r="C1527" t="s">
        <v>152</v>
      </c>
      <c r="D1527">
        <v>50</v>
      </c>
      <c r="E1527" t="s">
        <v>157</v>
      </c>
    </row>
    <row r="1528" spans="1:5" x14ac:dyDescent="0.2">
      <c r="A1528">
        <v>1527</v>
      </c>
      <c r="B1528" s="1" t="s">
        <v>107</v>
      </c>
      <c r="C1528" t="s">
        <v>152</v>
      </c>
      <c r="D1528">
        <v>73</v>
      </c>
      <c r="E1528" t="s">
        <v>157</v>
      </c>
    </row>
    <row r="1529" spans="1:5" x14ac:dyDescent="0.2">
      <c r="A1529">
        <v>1528</v>
      </c>
      <c r="B1529" s="1" t="s">
        <v>99</v>
      </c>
      <c r="C1529" t="s">
        <v>152</v>
      </c>
      <c r="D1529">
        <v>58</v>
      </c>
      <c r="E1529" t="s">
        <v>157</v>
      </c>
    </row>
    <row r="1530" spans="1:5" x14ac:dyDescent="0.2">
      <c r="A1530">
        <v>1529</v>
      </c>
      <c r="B1530" s="1" t="s">
        <v>102</v>
      </c>
      <c r="C1530" t="s">
        <v>151</v>
      </c>
      <c r="D1530">
        <v>27</v>
      </c>
      <c r="E1530" t="s">
        <v>157</v>
      </c>
    </row>
    <row r="1531" spans="1:5" x14ac:dyDescent="0.2">
      <c r="A1531">
        <v>1530</v>
      </c>
      <c r="B1531" s="1" t="s">
        <v>104</v>
      </c>
      <c r="C1531" t="s">
        <v>152</v>
      </c>
      <c r="D1531">
        <v>79</v>
      </c>
      <c r="E1531" t="s">
        <v>157</v>
      </c>
    </row>
    <row r="1532" spans="1:5" x14ac:dyDescent="0.2">
      <c r="A1532">
        <v>1531</v>
      </c>
      <c r="B1532" s="1" t="s">
        <v>106</v>
      </c>
      <c r="C1532" t="s">
        <v>152</v>
      </c>
      <c r="D1532">
        <v>41</v>
      </c>
      <c r="E1532" t="s">
        <v>157</v>
      </c>
    </row>
    <row r="1533" spans="1:5" x14ac:dyDescent="0.2">
      <c r="A1533">
        <v>1532</v>
      </c>
      <c r="B1533" s="1" t="s">
        <v>105</v>
      </c>
      <c r="C1533" t="s">
        <v>151</v>
      </c>
      <c r="D1533">
        <v>43</v>
      </c>
      <c r="E1533" t="s">
        <v>157</v>
      </c>
    </row>
    <row r="1534" spans="1:5" x14ac:dyDescent="0.2">
      <c r="A1534">
        <v>1533</v>
      </c>
      <c r="B1534" s="1" t="s">
        <v>102</v>
      </c>
      <c r="C1534" t="s">
        <v>151</v>
      </c>
      <c r="D1534">
        <v>49</v>
      </c>
      <c r="E1534" t="s">
        <v>157</v>
      </c>
    </row>
    <row r="1535" spans="1:5" x14ac:dyDescent="0.2">
      <c r="A1535">
        <v>1534</v>
      </c>
      <c r="B1535" s="1" t="s">
        <v>99</v>
      </c>
      <c r="C1535" t="s">
        <v>152</v>
      </c>
      <c r="D1535">
        <v>18</v>
      </c>
      <c r="E1535" t="s">
        <v>157</v>
      </c>
    </row>
    <row r="1536" spans="1:5" x14ac:dyDescent="0.2">
      <c r="A1536">
        <v>1535</v>
      </c>
      <c r="B1536" s="1" t="s">
        <v>100</v>
      </c>
      <c r="C1536" t="s">
        <v>151</v>
      </c>
      <c r="D1536">
        <v>41</v>
      </c>
      <c r="E1536" t="s">
        <v>157</v>
      </c>
    </row>
    <row r="1537" spans="1:5" x14ac:dyDescent="0.2">
      <c r="A1537">
        <v>1536</v>
      </c>
      <c r="B1537" s="1" t="s">
        <v>99</v>
      </c>
      <c r="C1537" t="s">
        <v>152</v>
      </c>
      <c r="D1537">
        <v>50</v>
      </c>
      <c r="E1537" t="s">
        <v>157</v>
      </c>
    </row>
    <row r="1538" spans="1:5" x14ac:dyDescent="0.2">
      <c r="A1538">
        <v>1537</v>
      </c>
      <c r="B1538" s="1" t="s">
        <v>99</v>
      </c>
      <c r="C1538" t="s">
        <v>152</v>
      </c>
      <c r="D1538">
        <v>83</v>
      </c>
      <c r="E1538" t="s">
        <v>157</v>
      </c>
    </row>
    <row r="1539" spans="1:5" x14ac:dyDescent="0.2">
      <c r="A1539">
        <v>1538</v>
      </c>
      <c r="B1539" s="1" t="s">
        <v>99</v>
      </c>
      <c r="C1539" t="s">
        <v>152</v>
      </c>
      <c r="D1539">
        <v>21</v>
      </c>
      <c r="E1539" t="s">
        <v>157</v>
      </c>
    </row>
    <row r="1540" spans="1:5" x14ac:dyDescent="0.2">
      <c r="A1540">
        <v>1539</v>
      </c>
      <c r="B1540" s="1" t="s">
        <v>99</v>
      </c>
      <c r="C1540" t="s">
        <v>152</v>
      </c>
      <c r="D1540">
        <v>73</v>
      </c>
      <c r="E1540" t="s">
        <v>157</v>
      </c>
    </row>
    <row r="1541" spans="1:5" x14ac:dyDescent="0.2">
      <c r="A1541">
        <v>1540</v>
      </c>
      <c r="B1541" s="1" t="s">
        <v>101</v>
      </c>
      <c r="C1541" t="s">
        <v>151</v>
      </c>
      <c r="D1541">
        <v>58</v>
      </c>
      <c r="E1541" t="s">
        <v>157</v>
      </c>
    </row>
    <row r="1542" spans="1:5" x14ac:dyDescent="0.2">
      <c r="A1542">
        <v>1541</v>
      </c>
      <c r="B1542" s="1" t="s">
        <v>100</v>
      </c>
      <c r="C1542" t="s">
        <v>151</v>
      </c>
      <c r="D1542">
        <v>50</v>
      </c>
      <c r="E1542" t="s">
        <v>157</v>
      </c>
    </row>
    <row r="1543" spans="1:5" x14ac:dyDescent="0.2">
      <c r="A1543">
        <v>1542</v>
      </c>
      <c r="B1543" s="1" t="s">
        <v>100</v>
      </c>
      <c r="C1543" t="s">
        <v>151</v>
      </c>
      <c r="D1543">
        <v>65</v>
      </c>
      <c r="E1543" t="s">
        <v>157</v>
      </c>
    </row>
    <row r="1544" spans="1:5" x14ac:dyDescent="0.2">
      <c r="A1544">
        <v>1543</v>
      </c>
      <c r="B1544" s="1" t="s">
        <v>99</v>
      </c>
      <c r="C1544" t="s">
        <v>151</v>
      </c>
      <c r="D1544">
        <v>68</v>
      </c>
      <c r="E1544" t="s">
        <v>157</v>
      </c>
    </row>
    <row r="1545" spans="1:5" x14ac:dyDescent="0.2">
      <c r="A1545">
        <v>1544</v>
      </c>
      <c r="B1545" s="1" t="s">
        <v>99</v>
      </c>
      <c r="C1545" t="s">
        <v>151</v>
      </c>
      <c r="D1545">
        <v>77</v>
      </c>
      <c r="E1545" t="s">
        <v>157</v>
      </c>
    </row>
    <row r="1546" spans="1:5" x14ac:dyDescent="0.2">
      <c r="A1546">
        <v>1545</v>
      </c>
      <c r="B1546" s="1" t="s">
        <v>103</v>
      </c>
      <c r="C1546" t="s">
        <v>152</v>
      </c>
      <c r="D1546">
        <v>30</v>
      </c>
      <c r="E1546" t="s">
        <v>157</v>
      </c>
    </row>
    <row r="1547" spans="1:5" x14ac:dyDescent="0.2">
      <c r="A1547">
        <v>1546</v>
      </c>
      <c r="B1547" s="1" t="s">
        <v>104</v>
      </c>
      <c r="C1547" t="s">
        <v>152</v>
      </c>
      <c r="D1547">
        <v>33</v>
      </c>
      <c r="E1547" t="s">
        <v>157</v>
      </c>
    </row>
    <row r="1548" spans="1:5" x14ac:dyDescent="0.2">
      <c r="A1548">
        <v>1547</v>
      </c>
      <c r="B1548" s="1" t="s">
        <v>100</v>
      </c>
      <c r="C1548" t="s">
        <v>151</v>
      </c>
      <c r="D1548">
        <v>37</v>
      </c>
      <c r="E1548" t="s">
        <v>157</v>
      </c>
    </row>
    <row r="1549" spans="1:5" x14ac:dyDescent="0.2">
      <c r="A1549">
        <v>1548</v>
      </c>
      <c r="B1549" s="1" t="s">
        <v>100</v>
      </c>
      <c r="C1549" t="s">
        <v>151</v>
      </c>
      <c r="D1549">
        <v>46</v>
      </c>
      <c r="E1549" t="s">
        <v>157</v>
      </c>
    </row>
    <row r="1550" spans="1:5" x14ac:dyDescent="0.2">
      <c r="A1550">
        <v>1549</v>
      </c>
      <c r="B1550" s="1" t="s">
        <v>99</v>
      </c>
      <c r="C1550" t="s">
        <v>152</v>
      </c>
      <c r="D1550">
        <v>70</v>
      </c>
      <c r="E1550" t="s">
        <v>157</v>
      </c>
    </row>
    <row r="1551" spans="1:5" x14ac:dyDescent="0.2">
      <c r="A1551">
        <v>1550</v>
      </c>
      <c r="B1551" s="1" t="s">
        <v>99</v>
      </c>
      <c r="C1551" t="s">
        <v>151</v>
      </c>
      <c r="D1551">
        <v>67</v>
      </c>
      <c r="E1551" t="s">
        <v>157</v>
      </c>
    </row>
    <row r="1552" spans="1:5" x14ac:dyDescent="0.2">
      <c r="A1552">
        <v>1551</v>
      </c>
      <c r="B1552" s="1" t="s">
        <v>99</v>
      </c>
      <c r="C1552" t="s">
        <v>151</v>
      </c>
      <c r="D1552">
        <v>21</v>
      </c>
      <c r="E1552" t="s">
        <v>157</v>
      </c>
    </row>
    <row r="1553" spans="1:5" x14ac:dyDescent="0.2">
      <c r="A1553">
        <v>1552</v>
      </c>
      <c r="B1553" s="1" t="s">
        <v>107</v>
      </c>
      <c r="C1553" t="s">
        <v>152</v>
      </c>
      <c r="D1553">
        <v>37</v>
      </c>
      <c r="E1553" t="s">
        <v>157</v>
      </c>
    </row>
    <row r="1554" spans="1:5" x14ac:dyDescent="0.2">
      <c r="A1554">
        <v>1553</v>
      </c>
      <c r="B1554" s="1" t="s">
        <v>100</v>
      </c>
      <c r="C1554" t="s">
        <v>151</v>
      </c>
      <c r="D1554">
        <v>81</v>
      </c>
      <c r="E1554" t="s">
        <v>157</v>
      </c>
    </row>
    <row r="1555" spans="1:5" x14ac:dyDescent="0.2">
      <c r="A1555">
        <v>1554</v>
      </c>
      <c r="B1555" s="1" t="s">
        <v>109</v>
      </c>
      <c r="C1555" t="s">
        <v>152</v>
      </c>
      <c r="D1555">
        <v>52</v>
      </c>
      <c r="E1555" t="s">
        <v>157</v>
      </c>
    </row>
    <row r="1556" spans="1:5" x14ac:dyDescent="0.2">
      <c r="A1556">
        <v>1555</v>
      </c>
      <c r="B1556" s="1" t="s">
        <v>99</v>
      </c>
      <c r="C1556" t="s">
        <v>152</v>
      </c>
      <c r="D1556">
        <v>28</v>
      </c>
      <c r="E1556" t="s">
        <v>157</v>
      </c>
    </row>
    <row r="1557" spans="1:5" x14ac:dyDescent="0.2">
      <c r="A1557">
        <v>1556</v>
      </c>
      <c r="B1557" s="1" t="s">
        <v>101</v>
      </c>
      <c r="C1557" t="s">
        <v>152</v>
      </c>
      <c r="D1557">
        <v>76</v>
      </c>
      <c r="E1557" t="s">
        <v>157</v>
      </c>
    </row>
    <row r="1558" spans="1:5" x14ac:dyDescent="0.2">
      <c r="A1558">
        <v>1557</v>
      </c>
      <c r="B1558" s="1" t="s">
        <v>99</v>
      </c>
      <c r="C1558" t="s">
        <v>151</v>
      </c>
      <c r="D1558">
        <v>28</v>
      </c>
      <c r="E1558" t="s">
        <v>157</v>
      </c>
    </row>
    <row r="1559" spans="1:5" x14ac:dyDescent="0.2">
      <c r="A1559">
        <v>1558</v>
      </c>
      <c r="B1559" s="1" t="s">
        <v>102</v>
      </c>
      <c r="C1559" t="s">
        <v>152</v>
      </c>
      <c r="D1559">
        <v>83</v>
      </c>
      <c r="E1559" t="s">
        <v>157</v>
      </c>
    </row>
    <row r="1560" spans="1:5" x14ac:dyDescent="0.2">
      <c r="A1560">
        <v>1559</v>
      </c>
      <c r="B1560" s="1" t="s">
        <v>105</v>
      </c>
      <c r="C1560" t="s">
        <v>152</v>
      </c>
      <c r="D1560">
        <v>68</v>
      </c>
      <c r="E1560" t="s">
        <v>157</v>
      </c>
    </row>
    <row r="1561" spans="1:5" x14ac:dyDescent="0.2">
      <c r="A1561">
        <v>1560</v>
      </c>
      <c r="B1561" s="1" t="s">
        <v>106</v>
      </c>
      <c r="C1561" t="s">
        <v>151</v>
      </c>
      <c r="D1561">
        <v>36</v>
      </c>
      <c r="E1561" t="s">
        <v>157</v>
      </c>
    </row>
    <row r="1562" spans="1:5" x14ac:dyDescent="0.2">
      <c r="A1562">
        <v>1561</v>
      </c>
      <c r="B1562" s="1" t="s">
        <v>110</v>
      </c>
      <c r="C1562" t="s">
        <v>152</v>
      </c>
      <c r="D1562">
        <v>28</v>
      </c>
      <c r="E1562" t="s">
        <v>157</v>
      </c>
    </row>
    <row r="1563" spans="1:5" x14ac:dyDescent="0.2">
      <c r="A1563">
        <v>1562</v>
      </c>
      <c r="B1563" s="1" t="s">
        <v>105</v>
      </c>
      <c r="C1563" t="s">
        <v>151</v>
      </c>
      <c r="D1563">
        <v>20</v>
      </c>
      <c r="E1563" t="s">
        <v>157</v>
      </c>
    </row>
    <row r="1564" spans="1:5" x14ac:dyDescent="0.2">
      <c r="A1564">
        <v>1563</v>
      </c>
      <c r="B1564" s="1" t="s">
        <v>103</v>
      </c>
      <c r="C1564" t="s">
        <v>152</v>
      </c>
      <c r="D1564">
        <v>65</v>
      </c>
      <c r="E1564" t="s">
        <v>157</v>
      </c>
    </row>
    <row r="1565" spans="1:5" x14ac:dyDescent="0.2">
      <c r="A1565">
        <v>1564</v>
      </c>
      <c r="B1565" s="1" t="s">
        <v>106</v>
      </c>
      <c r="C1565" t="s">
        <v>151</v>
      </c>
      <c r="D1565">
        <v>89</v>
      </c>
      <c r="E1565" t="s">
        <v>157</v>
      </c>
    </row>
    <row r="1566" spans="1:5" x14ac:dyDescent="0.2">
      <c r="A1566">
        <v>1565</v>
      </c>
      <c r="B1566" s="1" t="s">
        <v>102</v>
      </c>
      <c r="C1566" t="s">
        <v>151</v>
      </c>
      <c r="D1566">
        <v>64</v>
      </c>
      <c r="E1566" t="s">
        <v>157</v>
      </c>
    </row>
    <row r="1567" spans="1:5" x14ac:dyDescent="0.2">
      <c r="A1567">
        <v>1566</v>
      </c>
      <c r="B1567" s="1" t="s">
        <v>99</v>
      </c>
      <c r="C1567" t="s">
        <v>151</v>
      </c>
      <c r="D1567">
        <v>64</v>
      </c>
      <c r="E1567" t="s">
        <v>157</v>
      </c>
    </row>
    <row r="1568" spans="1:5" x14ac:dyDescent="0.2">
      <c r="A1568">
        <v>1567</v>
      </c>
      <c r="B1568" s="1" t="s">
        <v>99</v>
      </c>
      <c r="C1568" t="s">
        <v>151</v>
      </c>
      <c r="D1568">
        <v>25</v>
      </c>
      <c r="E1568" t="s">
        <v>157</v>
      </c>
    </row>
    <row r="1569" spans="1:5" x14ac:dyDescent="0.2">
      <c r="A1569">
        <v>1568</v>
      </c>
      <c r="B1569" s="1" t="s">
        <v>105</v>
      </c>
      <c r="C1569" t="s">
        <v>152</v>
      </c>
      <c r="D1569">
        <v>47</v>
      </c>
      <c r="E1569" t="s">
        <v>157</v>
      </c>
    </row>
    <row r="1570" spans="1:5" x14ac:dyDescent="0.2">
      <c r="A1570">
        <v>1569</v>
      </c>
      <c r="B1570" s="1" t="s">
        <v>105</v>
      </c>
      <c r="C1570" t="s">
        <v>152</v>
      </c>
      <c r="D1570">
        <v>20</v>
      </c>
      <c r="E1570" t="s">
        <v>157</v>
      </c>
    </row>
    <row r="1571" spans="1:5" x14ac:dyDescent="0.2">
      <c r="A1571">
        <v>1570</v>
      </c>
      <c r="B1571" s="1" t="s">
        <v>99</v>
      </c>
      <c r="C1571" t="s">
        <v>151</v>
      </c>
      <c r="D1571">
        <v>46</v>
      </c>
      <c r="E1571" t="s">
        <v>157</v>
      </c>
    </row>
    <row r="1572" spans="1:5" x14ac:dyDescent="0.2">
      <c r="A1572">
        <v>1571</v>
      </c>
      <c r="B1572" s="1" t="s">
        <v>99</v>
      </c>
      <c r="C1572" t="s">
        <v>152</v>
      </c>
      <c r="D1572">
        <v>71</v>
      </c>
      <c r="E1572" t="s">
        <v>157</v>
      </c>
    </row>
    <row r="1573" spans="1:5" x14ac:dyDescent="0.2">
      <c r="A1573">
        <v>1572</v>
      </c>
      <c r="B1573" s="1" t="s">
        <v>99</v>
      </c>
      <c r="C1573" t="s">
        <v>152</v>
      </c>
      <c r="D1573">
        <v>47</v>
      </c>
      <c r="E1573" t="s">
        <v>157</v>
      </c>
    </row>
    <row r="1574" spans="1:5" x14ac:dyDescent="0.2">
      <c r="A1574">
        <v>1573</v>
      </c>
      <c r="B1574" s="1" t="s">
        <v>107</v>
      </c>
      <c r="C1574" t="s">
        <v>152</v>
      </c>
      <c r="D1574">
        <v>72</v>
      </c>
      <c r="E1574" t="s">
        <v>157</v>
      </c>
    </row>
    <row r="1575" spans="1:5" x14ac:dyDescent="0.2">
      <c r="A1575">
        <v>1574</v>
      </c>
      <c r="B1575" s="1" t="s">
        <v>104</v>
      </c>
      <c r="C1575" t="s">
        <v>152</v>
      </c>
      <c r="D1575">
        <v>36</v>
      </c>
      <c r="E1575" t="s">
        <v>157</v>
      </c>
    </row>
    <row r="1576" spans="1:5" x14ac:dyDescent="0.2">
      <c r="A1576">
        <v>1575</v>
      </c>
      <c r="B1576" s="1" t="s">
        <v>99</v>
      </c>
      <c r="C1576" t="s">
        <v>151</v>
      </c>
      <c r="D1576">
        <v>84</v>
      </c>
      <c r="E1576" t="s">
        <v>157</v>
      </c>
    </row>
    <row r="1577" spans="1:5" x14ac:dyDescent="0.2">
      <c r="A1577">
        <v>1576</v>
      </c>
      <c r="B1577" s="1" t="s">
        <v>99</v>
      </c>
      <c r="C1577" t="s">
        <v>151</v>
      </c>
      <c r="D1577">
        <v>70</v>
      </c>
      <c r="E1577" t="s">
        <v>157</v>
      </c>
    </row>
    <row r="1578" spans="1:5" x14ac:dyDescent="0.2">
      <c r="A1578">
        <v>1577</v>
      </c>
      <c r="B1578" s="1" t="s">
        <v>100</v>
      </c>
      <c r="C1578" t="s">
        <v>151</v>
      </c>
      <c r="D1578">
        <v>55</v>
      </c>
      <c r="E1578" t="s">
        <v>157</v>
      </c>
    </row>
    <row r="1579" spans="1:5" x14ac:dyDescent="0.2">
      <c r="A1579">
        <v>1578</v>
      </c>
      <c r="B1579" s="1" t="s">
        <v>107</v>
      </c>
      <c r="C1579" t="s">
        <v>151</v>
      </c>
      <c r="D1579">
        <v>24</v>
      </c>
      <c r="E1579" t="s">
        <v>157</v>
      </c>
    </row>
    <row r="1580" spans="1:5" x14ac:dyDescent="0.2">
      <c r="A1580">
        <v>1579</v>
      </c>
      <c r="B1580" s="1" t="s">
        <v>100</v>
      </c>
      <c r="C1580" t="s">
        <v>152</v>
      </c>
      <c r="D1580">
        <v>74</v>
      </c>
      <c r="E1580" t="s">
        <v>157</v>
      </c>
    </row>
    <row r="1581" spans="1:5" x14ac:dyDescent="0.2">
      <c r="A1581">
        <v>1580</v>
      </c>
      <c r="B1581" s="1" t="s">
        <v>101</v>
      </c>
      <c r="C1581" t="s">
        <v>151</v>
      </c>
      <c r="D1581">
        <v>85</v>
      </c>
      <c r="E1581" t="s">
        <v>157</v>
      </c>
    </row>
    <row r="1582" spans="1:5" x14ac:dyDescent="0.2">
      <c r="A1582">
        <v>1581</v>
      </c>
      <c r="B1582" s="1" t="s">
        <v>99</v>
      </c>
      <c r="C1582" t="s">
        <v>151</v>
      </c>
      <c r="D1582">
        <v>79</v>
      </c>
      <c r="E1582" t="s">
        <v>157</v>
      </c>
    </row>
    <row r="1583" spans="1:5" x14ac:dyDescent="0.2">
      <c r="A1583">
        <v>1582</v>
      </c>
      <c r="B1583" s="1" t="s">
        <v>100</v>
      </c>
      <c r="C1583" t="s">
        <v>151</v>
      </c>
      <c r="D1583">
        <v>69</v>
      </c>
      <c r="E1583" t="s">
        <v>157</v>
      </c>
    </row>
    <row r="1584" spans="1:5" x14ac:dyDescent="0.2">
      <c r="A1584">
        <v>1583</v>
      </c>
      <c r="B1584" s="1" t="s">
        <v>106</v>
      </c>
      <c r="C1584" t="s">
        <v>152</v>
      </c>
      <c r="D1584">
        <v>73</v>
      </c>
      <c r="E1584" t="s">
        <v>157</v>
      </c>
    </row>
    <row r="1585" spans="1:5" x14ac:dyDescent="0.2">
      <c r="A1585">
        <v>1584</v>
      </c>
      <c r="B1585" s="1" t="s">
        <v>99</v>
      </c>
      <c r="C1585" t="s">
        <v>152</v>
      </c>
      <c r="D1585">
        <v>30</v>
      </c>
      <c r="E1585" t="s">
        <v>157</v>
      </c>
    </row>
    <row r="1586" spans="1:5" x14ac:dyDescent="0.2">
      <c r="A1586">
        <v>1585</v>
      </c>
      <c r="B1586" s="1" t="s">
        <v>100</v>
      </c>
      <c r="C1586" t="s">
        <v>152</v>
      </c>
      <c r="D1586">
        <v>51</v>
      </c>
      <c r="E1586" t="s">
        <v>157</v>
      </c>
    </row>
    <row r="1587" spans="1:5" x14ac:dyDescent="0.2">
      <c r="A1587">
        <v>1586</v>
      </c>
      <c r="B1587" s="1" t="s">
        <v>100</v>
      </c>
      <c r="C1587" t="s">
        <v>152</v>
      </c>
      <c r="D1587">
        <v>42</v>
      </c>
      <c r="E1587" t="s">
        <v>157</v>
      </c>
    </row>
    <row r="1588" spans="1:5" x14ac:dyDescent="0.2">
      <c r="A1588">
        <v>1587</v>
      </c>
      <c r="B1588" s="1" t="s">
        <v>99</v>
      </c>
      <c r="C1588" t="s">
        <v>151</v>
      </c>
      <c r="D1588">
        <v>41</v>
      </c>
      <c r="E1588" t="s">
        <v>157</v>
      </c>
    </row>
    <row r="1589" spans="1:5" x14ac:dyDescent="0.2">
      <c r="A1589">
        <v>1588</v>
      </c>
      <c r="B1589" s="1" t="s">
        <v>100</v>
      </c>
      <c r="C1589" t="s">
        <v>151</v>
      </c>
      <c r="D1589">
        <v>74</v>
      </c>
      <c r="E1589" t="s">
        <v>157</v>
      </c>
    </row>
    <row r="1590" spans="1:5" x14ac:dyDescent="0.2">
      <c r="A1590">
        <v>1589</v>
      </c>
      <c r="B1590" s="1" t="s">
        <v>99</v>
      </c>
      <c r="C1590" t="s">
        <v>152</v>
      </c>
      <c r="D1590">
        <v>20</v>
      </c>
      <c r="E1590" t="s">
        <v>157</v>
      </c>
    </row>
    <row r="1591" spans="1:5" x14ac:dyDescent="0.2">
      <c r="A1591">
        <v>1590</v>
      </c>
      <c r="B1591" s="1" t="s">
        <v>106</v>
      </c>
      <c r="C1591" t="s">
        <v>151</v>
      </c>
      <c r="D1591">
        <v>69</v>
      </c>
      <c r="E1591" t="s">
        <v>157</v>
      </c>
    </row>
    <row r="1592" spans="1:5" x14ac:dyDescent="0.2">
      <c r="A1592">
        <v>1591</v>
      </c>
      <c r="B1592" s="1" t="s">
        <v>99</v>
      </c>
      <c r="C1592" t="s">
        <v>151</v>
      </c>
      <c r="D1592">
        <v>61</v>
      </c>
      <c r="E1592" t="s">
        <v>157</v>
      </c>
    </row>
    <row r="1593" spans="1:5" x14ac:dyDescent="0.2">
      <c r="A1593">
        <v>1592</v>
      </c>
      <c r="B1593" s="1" t="s">
        <v>101</v>
      </c>
      <c r="C1593" t="s">
        <v>151</v>
      </c>
      <c r="D1593">
        <v>67</v>
      </c>
      <c r="E1593" t="s">
        <v>157</v>
      </c>
    </row>
    <row r="1594" spans="1:5" x14ac:dyDescent="0.2">
      <c r="A1594">
        <v>1593</v>
      </c>
      <c r="B1594" s="1" t="s">
        <v>100</v>
      </c>
      <c r="C1594" t="s">
        <v>152</v>
      </c>
      <c r="D1594">
        <v>34</v>
      </c>
      <c r="E1594" t="s">
        <v>157</v>
      </c>
    </row>
    <row r="1595" spans="1:5" x14ac:dyDescent="0.2">
      <c r="A1595">
        <v>1594</v>
      </c>
      <c r="B1595" s="1" t="s">
        <v>101</v>
      </c>
      <c r="C1595" t="s">
        <v>151</v>
      </c>
      <c r="D1595">
        <v>27</v>
      </c>
      <c r="E1595" t="s">
        <v>157</v>
      </c>
    </row>
    <row r="1596" spans="1:5" x14ac:dyDescent="0.2">
      <c r="A1596">
        <v>1595</v>
      </c>
      <c r="B1596" s="1" t="s">
        <v>99</v>
      </c>
      <c r="C1596" t="s">
        <v>152</v>
      </c>
      <c r="D1596">
        <v>67</v>
      </c>
      <c r="E1596" t="s">
        <v>157</v>
      </c>
    </row>
    <row r="1597" spans="1:5" x14ac:dyDescent="0.2">
      <c r="A1597">
        <v>1596</v>
      </c>
      <c r="B1597" s="1" t="s">
        <v>99</v>
      </c>
      <c r="C1597" t="s">
        <v>152</v>
      </c>
      <c r="D1597">
        <v>44</v>
      </c>
      <c r="E1597" t="s">
        <v>157</v>
      </c>
    </row>
    <row r="1598" spans="1:5" x14ac:dyDescent="0.2">
      <c r="A1598">
        <v>1597</v>
      </c>
      <c r="B1598" s="1" t="s">
        <v>108</v>
      </c>
      <c r="C1598" t="s">
        <v>152</v>
      </c>
      <c r="D1598">
        <v>44</v>
      </c>
      <c r="E1598" t="s">
        <v>157</v>
      </c>
    </row>
    <row r="1599" spans="1:5" x14ac:dyDescent="0.2">
      <c r="A1599">
        <v>1598</v>
      </c>
      <c r="B1599" s="1" t="s">
        <v>110</v>
      </c>
      <c r="C1599" t="s">
        <v>152</v>
      </c>
      <c r="D1599">
        <v>29</v>
      </c>
      <c r="E1599" t="s">
        <v>157</v>
      </c>
    </row>
    <row r="1600" spans="1:5" x14ac:dyDescent="0.2">
      <c r="A1600">
        <v>1599</v>
      </c>
      <c r="B1600" s="1" t="s">
        <v>99</v>
      </c>
      <c r="C1600" t="s">
        <v>151</v>
      </c>
      <c r="D1600">
        <v>81</v>
      </c>
      <c r="E1600" t="s">
        <v>157</v>
      </c>
    </row>
    <row r="1601" spans="1:5" x14ac:dyDescent="0.2">
      <c r="A1601">
        <v>1600</v>
      </c>
      <c r="B1601" s="1" t="s">
        <v>105</v>
      </c>
      <c r="C1601" t="s">
        <v>152</v>
      </c>
      <c r="D1601">
        <v>87</v>
      </c>
      <c r="E1601" t="s">
        <v>157</v>
      </c>
    </row>
    <row r="1602" spans="1:5" x14ac:dyDescent="0.2">
      <c r="A1602">
        <v>1601</v>
      </c>
      <c r="B1602" s="1" t="s">
        <v>100</v>
      </c>
      <c r="C1602" t="s">
        <v>152</v>
      </c>
      <c r="D1602">
        <v>22</v>
      </c>
      <c r="E1602" t="s">
        <v>157</v>
      </c>
    </row>
    <row r="1603" spans="1:5" x14ac:dyDescent="0.2">
      <c r="A1603">
        <v>1602</v>
      </c>
      <c r="B1603" s="1" t="s">
        <v>99</v>
      </c>
      <c r="C1603" t="s">
        <v>151</v>
      </c>
      <c r="D1603">
        <v>53</v>
      </c>
      <c r="E1603" t="s">
        <v>157</v>
      </c>
    </row>
    <row r="1604" spans="1:5" x14ac:dyDescent="0.2">
      <c r="A1604">
        <v>1603</v>
      </c>
      <c r="B1604" s="1" t="s">
        <v>99</v>
      </c>
      <c r="C1604" t="s">
        <v>151</v>
      </c>
      <c r="D1604">
        <v>73</v>
      </c>
      <c r="E1604" t="s">
        <v>157</v>
      </c>
    </row>
    <row r="1605" spans="1:5" x14ac:dyDescent="0.2">
      <c r="A1605">
        <v>1604</v>
      </c>
      <c r="B1605" s="1" t="s">
        <v>105</v>
      </c>
      <c r="C1605" t="s">
        <v>152</v>
      </c>
      <c r="D1605">
        <v>76</v>
      </c>
      <c r="E1605" t="s">
        <v>157</v>
      </c>
    </row>
    <row r="1606" spans="1:5" x14ac:dyDescent="0.2">
      <c r="A1606">
        <v>1605</v>
      </c>
      <c r="B1606" s="1" t="s">
        <v>105</v>
      </c>
      <c r="C1606" t="s">
        <v>152</v>
      </c>
      <c r="D1606">
        <v>45</v>
      </c>
      <c r="E1606" t="s">
        <v>157</v>
      </c>
    </row>
    <row r="1607" spans="1:5" x14ac:dyDescent="0.2">
      <c r="A1607">
        <v>1606</v>
      </c>
      <c r="B1607" s="1" t="s">
        <v>100</v>
      </c>
      <c r="C1607" t="s">
        <v>151</v>
      </c>
      <c r="D1607">
        <v>23</v>
      </c>
      <c r="E1607" t="s">
        <v>157</v>
      </c>
    </row>
    <row r="1608" spans="1:5" x14ac:dyDescent="0.2">
      <c r="A1608">
        <v>1607</v>
      </c>
      <c r="B1608" s="1" t="s">
        <v>101</v>
      </c>
      <c r="C1608" t="s">
        <v>151</v>
      </c>
      <c r="D1608">
        <v>65</v>
      </c>
      <c r="E1608" t="s">
        <v>157</v>
      </c>
    </row>
    <row r="1609" spans="1:5" x14ac:dyDescent="0.2">
      <c r="A1609">
        <v>1608</v>
      </c>
      <c r="B1609" s="1" t="s">
        <v>99</v>
      </c>
      <c r="C1609" t="s">
        <v>151</v>
      </c>
      <c r="D1609">
        <v>43</v>
      </c>
      <c r="E1609" t="s">
        <v>157</v>
      </c>
    </row>
    <row r="1610" spans="1:5" x14ac:dyDescent="0.2">
      <c r="A1610">
        <v>1609</v>
      </c>
      <c r="B1610" s="1" t="s">
        <v>99</v>
      </c>
      <c r="C1610" t="s">
        <v>152</v>
      </c>
      <c r="D1610">
        <v>64</v>
      </c>
      <c r="E1610" t="s">
        <v>157</v>
      </c>
    </row>
    <row r="1611" spans="1:5" x14ac:dyDescent="0.2">
      <c r="A1611">
        <v>1610</v>
      </c>
      <c r="B1611" s="1" t="s">
        <v>101</v>
      </c>
      <c r="C1611" t="s">
        <v>152</v>
      </c>
      <c r="D1611">
        <v>72</v>
      </c>
      <c r="E1611" t="s">
        <v>157</v>
      </c>
    </row>
    <row r="1612" spans="1:5" x14ac:dyDescent="0.2">
      <c r="A1612">
        <v>1611</v>
      </c>
      <c r="B1612" s="1" t="s">
        <v>100</v>
      </c>
      <c r="C1612" t="s">
        <v>151</v>
      </c>
      <c r="D1612">
        <v>37</v>
      </c>
      <c r="E1612" t="s">
        <v>157</v>
      </c>
    </row>
    <row r="1613" spans="1:5" x14ac:dyDescent="0.2">
      <c r="A1613">
        <v>1612</v>
      </c>
      <c r="B1613" s="1" t="s">
        <v>105</v>
      </c>
      <c r="C1613" t="s">
        <v>151</v>
      </c>
      <c r="D1613">
        <v>75</v>
      </c>
      <c r="E1613" t="s">
        <v>157</v>
      </c>
    </row>
    <row r="1614" spans="1:5" x14ac:dyDescent="0.2">
      <c r="A1614">
        <v>1613</v>
      </c>
      <c r="B1614" s="1" t="s">
        <v>99</v>
      </c>
      <c r="C1614" t="s">
        <v>151</v>
      </c>
      <c r="D1614">
        <v>71</v>
      </c>
      <c r="E1614" t="s">
        <v>157</v>
      </c>
    </row>
    <row r="1615" spans="1:5" x14ac:dyDescent="0.2">
      <c r="A1615">
        <v>1614</v>
      </c>
      <c r="B1615" s="1" t="s">
        <v>99</v>
      </c>
      <c r="C1615" t="s">
        <v>151</v>
      </c>
      <c r="D1615">
        <v>37</v>
      </c>
      <c r="E1615" t="s">
        <v>157</v>
      </c>
    </row>
    <row r="1616" spans="1:5" x14ac:dyDescent="0.2">
      <c r="A1616">
        <v>1615</v>
      </c>
      <c r="B1616" s="1" t="s">
        <v>105</v>
      </c>
      <c r="C1616" t="s">
        <v>151</v>
      </c>
      <c r="D1616">
        <v>64</v>
      </c>
      <c r="E1616" t="s">
        <v>157</v>
      </c>
    </row>
    <row r="1617" spans="1:5" x14ac:dyDescent="0.2">
      <c r="A1617">
        <v>1616</v>
      </c>
      <c r="B1617" s="1" t="s">
        <v>99</v>
      </c>
      <c r="C1617" t="s">
        <v>152</v>
      </c>
      <c r="D1617">
        <v>38</v>
      </c>
      <c r="E1617" t="s">
        <v>157</v>
      </c>
    </row>
    <row r="1618" spans="1:5" x14ac:dyDescent="0.2">
      <c r="A1618">
        <v>1617</v>
      </c>
      <c r="B1618" s="1" t="s">
        <v>104</v>
      </c>
      <c r="C1618" t="s">
        <v>151</v>
      </c>
      <c r="D1618">
        <v>50</v>
      </c>
      <c r="E1618" t="s">
        <v>157</v>
      </c>
    </row>
    <row r="1619" spans="1:5" x14ac:dyDescent="0.2">
      <c r="A1619">
        <v>1618</v>
      </c>
      <c r="B1619" s="1" t="s">
        <v>99</v>
      </c>
      <c r="C1619" t="s">
        <v>151</v>
      </c>
      <c r="D1619">
        <v>50</v>
      </c>
      <c r="E1619" t="s">
        <v>157</v>
      </c>
    </row>
    <row r="1620" spans="1:5" x14ac:dyDescent="0.2">
      <c r="A1620">
        <v>1619</v>
      </c>
      <c r="B1620" s="1" t="s">
        <v>99</v>
      </c>
      <c r="C1620" t="s">
        <v>151</v>
      </c>
      <c r="D1620">
        <v>56</v>
      </c>
      <c r="E1620" t="s">
        <v>157</v>
      </c>
    </row>
    <row r="1621" spans="1:5" x14ac:dyDescent="0.2">
      <c r="A1621">
        <v>1620</v>
      </c>
      <c r="B1621" s="1" t="s">
        <v>99</v>
      </c>
      <c r="C1621" t="s">
        <v>152</v>
      </c>
      <c r="D1621">
        <v>61</v>
      </c>
      <c r="E1621" t="s">
        <v>157</v>
      </c>
    </row>
    <row r="1622" spans="1:5" x14ac:dyDescent="0.2">
      <c r="A1622">
        <v>1621</v>
      </c>
      <c r="B1622" s="1" t="s">
        <v>101</v>
      </c>
      <c r="C1622" t="s">
        <v>151</v>
      </c>
      <c r="D1622">
        <v>21</v>
      </c>
      <c r="E1622" t="s">
        <v>157</v>
      </c>
    </row>
    <row r="1623" spans="1:5" x14ac:dyDescent="0.2">
      <c r="A1623">
        <v>1622</v>
      </c>
      <c r="B1623" s="1" t="s">
        <v>100</v>
      </c>
      <c r="C1623" t="s">
        <v>152</v>
      </c>
      <c r="D1623">
        <v>87</v>
      </c>
      <c r="E1623" t="s">
        <v>157</v>
      </c>
    </row>
    <row r="1624" spans="1:5" x14ac:dyDescent="0.2">
      <c r="A1624">
        <v>1623</v>
      </c>
      <c r="B1624" s="1" t="s">
        <v>105</v>
      </c>
      <c r="C1624" t="s">
        <v>151</v>
      </c>
      <c r="D1624">
        <v>46</v>
      </c>
      <c r="E1624" t="s">
        <v>157</v>
      </c>
    </row>
    <row r="1625" spans="1:5" x14ac:dyDescent="0.2">
      <c r="A1625">
        <v>1624</v>
      </c>
      <c r="B1625" s="1" t="s">
        <v>99</v>
      </c>
      <c r="C1625" t="s">
        <v>151</v>
      </c>
      <c r="D1625">
        <v>32</v>
      </c>
      <c r="E1625" t="s">
        <v>157</v>
      </c>
    </row>
    <row r="1626" spans="1:5" x14ac:dyDescent="0.2">
      <c r="A1626">
        <v>1625</v>
      </c>
      <c r="B1626" s="1" t="s">
        <v>109</v>
      </c>
      <c r="C1626" t="s">
        <v>152</v>
      </c>
      <c r="D1626">
        <v>61</v>
      </c>
      <c r="E1626" t="s">
        <v>157</v>
      </c>
    </row>
    <row r="1627" spans="1:5" x14ac:dyDescent="0.2">
      <c r="A1627">
        <v>1626</v>
      </c>
      <c r="B1627" s="1" t="s">
        <v>99</v>
      </c>
      <c r="C1627" t="s">
        <v>152</v>
      </c>
      <c r="D1627">
        <v>31</v>
      </c>
      <c r="E1627" t="s">
        <v>157</v>
      </c>
    </row>
    <row r="1628" spans="1:5" x14ac:dyDescent="0.2">
      <c r="A1628">
        <v>1627</v>
      </c>
      <c r="B1628" s="1" t="s">
        <v>101</v>
      </c>
      <c r="C1628" t="s">
        <v>152</v>
      </c>
      <c r="D1628">
        <v>61</v>
      </c>
      <c r="E1628" t="s">
        <v>157</v>
      </c>
    </row>
    <row r="1629" spans="1:5" x14ac:dyDescent="0.2">
      <c r="A1629">
        <v>1628</v>
      </c>
      <c r="B1629" s="1" t="s">
        <v>99</v>
      </c>
      <c r="C1629" t="s">
        <v>152</v>
      </c>
      <c r="D1629">
        <v>79</v>
      </c>
      <c r="E1629" t="s">
        <v>157</v>
      </c>
    </row>
    <row r="1630" spans="1:5" x14ac:dyDescent="0.2">
      <c r="A1630">
        <v>1629</v>
      </c>
      <c r="B1630" s="1" t="s">
        <v>99</v>
      </c>
      <c r="C1630" t="s">
        <v>152</v>
      </c>
      <c r="D1630">
        <v>73</v>
      </c>
      <c r="E1630" t="s">
        <v>157</v>
      </c>
    </row>
    <row r="1631" spans="1:5" x14ac:dyDescent="0.2">
      <c r="A1631">
        <v>1630</v>
      </c>
      <c r="B1631" s="1" t="s">
        <v>100</v>
      </c>
      <c r="C1631" t="s">
        <v>152</v>
      </c>
      <c r="D1631">
        <v>21</v>
      </c>
      <c r="E1631" t="s">
        <v>157</v>
      </c>
    </row>
    <row r="1632" spans="1:5" x14ac:dyDescent="0.2">
      <c r="A1632">
        <v>1631</v>
      </c>
      <c r="B1632" s="1" t="s">
        <v>99</v>
      </c>
      <c r="C1632" t="s">
        <v>152</v>
      </c>
      <c r="D1632">
        <v>80</v>
      </c>
      <c r="E1632" t="s">
        <v>157</v>
      </c>
    </row>
    <row r="1633" spans="1:5" x14ac:dyDescent="0.2">
      <c r="A1633">
        <v>1632</v>
      </c>
      <c r="B1633" s="1" t="s">
        <v>105</v>
      </c>
      <c r="C1633" t="s">
        <v>152</v>
      </c>
      <c r="D1633">
        <v>27</v>
      </c>
      <c r="E1633" t="s">
        <v>157</v>
      </c>
    </row>
    <row r="1634" spans="1:5" x14ac:dyDescent="0.2">
      <c r="A1634">
        <v>1633</v>
      </c>
      <c r="B1634" s="1" t="s">
        <v>101</v>
      </c>
      <c r="C1634" t="s">
        <v>151</v>
      </c>
      <c r="D1634">
        <v>64</v>
      </c>
      <c r="E1634" t="s">
        <v>157</v>
      </c>
    </row>
    <row r="1635" spans="1:5" x14ac:dyDescent="0.2">
      <c r="A1635">
        <v>1634</v>
      </c>
      <c r="B1635" s="1" t="s">
        <v>105</v>
      </c>
      <c r="C1635" t="s">
        <v>151</v>
      </c>
      <c r="D1635">
        <v>34</v>
      </c>
      <c r="E1635" t="s">
        <v>157</v>
      </c>
    </row>
    <row r="1636" spans="1:5" x14ac:dyDescent="0.2">
      <c r="A1636">
        <v>1635</v>
      </c>
      <c r="B1636" s="1" t="s">
        <v>99</v>
      </c>
      <c r="C1636" t="s">
        <v>151</v>
      </c>
      <c r="D1636">
        <v>41</v>
      </c>
      <c r="E1636" t="s">
        <v>157</v>
      </c>
    </row>
    <row r="1637" spans="1:5" x14ac:dyDescent="0.2">
      <c r="A1637">
        <v>1636</v>
      </c>
      <c r="B1637" s="1" t="s">
        <v>104</v>
      </c>
      <c r="C1637" t="s">
        <v>152</v>
      </c>
      <c r="D1637">
        <v>20</v>
      </c>
      <c r="E1637" t="s">
        <v>157</v>
      </c>
    </row>
    <row r="1638" spans="1:5" x14ac:dyDescent="0.2">
      <c r="A1638">
        <v>1637</v>
      </c>
      <c r="B1638" s="1" t="s">
        <v>109</v>
      </c>
      <c r="C1638" t="s">
        <v>152</v>
      </c>
      <c r="D1638">
        <v>55</v>
      </c>
      <c r="E1638" t="s">
        <v>157</v>
      </c>
    </row>
    <row r="1639" spans="1:5" x14ac:dyDescent="0.2">
      <c r="A1639">
        <v>1638</v>
      </c>
      <c r="B1639" s="1" t="s">
        <v>100</v>
      </c>
      <c r="C1639" t="s">
        <v>151</v>
      </c>
      <c r="D1639">
        <v>86</v>
      </c>
      <c r="E1639" t="s">
        <v>157</v>
      </c>
    </row>
    <row r="1640" spans="1:5" x14ac:dyDescent="0.2">
      <c r="A1640">
        <v>1639</v>
      </c>
      <c r="B1640" s="1" t="s">
        <v>101</v>
      </c>
      <c r="C1640" t="s">
        <v>151</v>
      </c>
      <c r="D1640">
        <v>57</v>
      </c>
      <c r="E1640" t="s">
        <v>157</v>
      </c>
    </row>
    <row r="1641" spans="1:5" x14ac:dyDescent="0.2">
      <c r="A1641">
        <v>1640</v>
      </c>
      <c r="B1641" s="1" t="s">
        <v>105</v>
      </c>
      <c r="C1641" t="s">
        <v>152</v>
      </c>
      <c r="D1641">
        <v>22</v>
      </c>
      <c r="E1641" t="s">
        <v>157</v>
      </c>
    </row>
    <row r="1642" spans="1:5" x14ac:dyDescent="0.2">
      <c r="A1642">
        <v>1641</v>
      </c>
      <c r="B1642" s="1" t="s">
        <v>109</v>
      </c>
      <c r="C1642" t="s">
        <v>151</v>
      </c>
      <c r="D1642">
        <v>85</v>
      </c>
      <c r="E1642" t="s">
        <v>157</v>
      </c>
    </row>
    <row r="1643" spans="1:5" x14ac:dyDescent="0.2">
      <c r="A1643">
        <v>1642</v>
      </c>
      <c r="B1643" s="1" t="s">
        <v>107</v>
      </c>
      <c r="C1643" t="s">
        <v>151</v>
      </c>
      <c r="D1643">
        <v>28</v>
      </c>
      <c r="E1643" t="s">
        <v>157</v>
      </c>
    </row>
    <row r="1644" spans="1:5" x14ac:dyDescent="0.2">
      <c r="A1644">
        <v>1643</v>
      </c>
      <c r="B1644" s="1" t="s">
        <v>101</v>
      </c>
      <c r="C1644" t="s">
        <v>152</v>
      </c>
      <c r="D1644">
        <v>29</v>
      </c>
      <c r="E1644" t="s">
        <v>157</v>
      </c>
    </row>
    <row r="1645" spans="1:5" x14ac:dyDescent="0.2">
      <c r="A1645">
        <v>1644</v>
      </c>
      <c r="B1645" s="1" t="s">
        <v>101</v>
      </c>
      <c r="C1645" t="s">
        <v>152</v>
      </c>
      <c r="D1645">
        <v>25</v>
      </c>
      <c r="E1645" t="s">
        <v>157</v>
      </c>
    </row>
    <row r="1646" spans="1:5" x14ac:dyDescent="0.2">
      <c r="A1646">
        <v>1645</v>
      </c>
      <c r="B1646" s="1" t="s">
        <v>101</v>
      </c>
      <c r="C1646" t="s">
        <v>151</v>
      </c>
      <c r="D1646">
        <v>86</v>
      </c>
      <c r="E1646" t="s">
        <v>157</v>
      </c>
    </row>
    <row r="1647" spans="1:5" x14ac:dyDescent="0.2">
      <c r="A1647">
        <v>1646</v>
      </c>
      <c r="B1647" s="1" t="s">
        <v>105</v>
      </c>
      <c r="C1647" t="s">
        <v>152</v>
      </c>
      <c r="D1647">
        <v>51</v>
      </c>
      <c r="E1647" t="s">
        <v>157</v>
      </c>
    </row>
    <row r="1648" spans="1:5" x14ac:dyDescent="0.2">
      <c r="A1648">
        <v>1647</v>
      </c>
      <c r="B1648" s="1" t="s">
        <v>99</v>
      </c>
      <c r="C1648" t="s">
        <v>152</v>
      </c>
      <c r="D1648">
        <v>22</v>
      </c>
      <c r="E1648" t="s">
        <v>157</v>
      </c>
    </row>
    <row r="1649" spans="1:5" x14ac:dyDescent="0.2">
      <c r="A1649">
        <v>1648</v>
      </c>
      <c r="B1649" s="1" t="s">
        <v>109</v>
      </c>
      <c r="C1649" t="s">
        <v>151</v>
      </c>
      <c r="D1649">
        <v>78</v>
      </c>
      <c r="E1649" t="s">
        <v>157</v>
      </c>
    </row>
    <row r="1650" spans="1:5" x14ac:dyDescent="0.2">
      <c r="A1650">
        <v>1649</v>
      </c>
      <c r="B1650" s="1" t="s">
        <v>99</v>
      </c>
      <c r="C1650" t="s">
        <v>151</v>
      </c>
      <c r="D1650">
        <v>27</v>
      </c>
      <c r="E1650" t="s">
        <v>157</v>
      </c>
    </row>
    <row r="1651" spans="1:5" x14ac:dyDescent="0.2">
      <c r="A1651">
        <v>1650</v>
      </c>
      <c r="B1651" s="1" t="s">
        <v>105</v>
      </c>
      <c r="C1651" t="s">
        <v>151</v>
      </c>
      <c r="D1651">
        <v>42</v>
      </c>
      <c r="E1651" t="s">
        <v>157</v>
      </c>
    </row>
    <row r="1652" spans="1:5" x14ac:dyDescent="0.2">
      <c r="A1652">
        <v>1651</v>
      </c>
      <c r="B1652" s="1" t="s">
        <v>101</v>
      </c>
      <c r="C1652" t="s">
        <v>151</v>
      </c>
      <c r="D1652">
        <v>53</v>
      </c>
      <c r="E1652" t="s">
        <v>157</v>
      </c>
    </row>
    <row r="1653" spans="1:5" x14ac:dyDescent="0.2">
      <c r="A1653">
        <v>1652</v>
      </c>
      <c r="B1653" s="1" t="s">
        <v>99</v>
      </c>
      <c r="C1653" t="s">
        <v>152</v>
      </c>
      <c r="D1653">
        <v>83</v>
      </c>
      <c r="E1653" t="s">
        <v>157</v>
      </c>
    </row>
    <row r="1654" spans="1:5" x14ac:dyDescent="0.2">
      <c r="A1654">
        <v>1653</v>
      </c>
      <c r="B1654" s="1" t="s">
        <v>100</v>
      </c>
      <c r="C1654" t="s">
        <v>151</v>
      </c>
      <c r="D1654">
        <v>30</v>
      </c>
      <c r="E1654" t="s">
        <v>157</v>
      </c>
    </row>
    <row r="1655" spans="1:5" x14ac:dyDescent="0.2">
      <c r="A1655">
        <v>1654</v>
      </c>
      <c r="B1655" s="1" t="s">
        <v>99</v>
      </c>
      <c r="C1655" t="s">
        <v>152</v>
      </c>
      <c r="D1655">
        <v>56</v>
      </c>
      <c r="E1655" t="s">
        <v>157</v>
      </c>
    </row>
    <row r="1656" spans="1:5" x14ac:dyDescent="0.2">
      <c r="A1656">
        <v>1655</v>
      </c>
      <c r="B1656" s="1" t="s">
        <v>99</v>
      </c>
      <c r="C1656" t="s">
        <v>152</v>
      </c>
      <c r="D1656">
        <v>72</v>
      </c>
      <c r="E1656" t="s">
        <v>157</v>
      </c>
    </row>
    <row r="1657" spans="1:5" x14ac:dyDescent="0.2">
      <c r="A1657">
        <v>1656</v>
      </c>
      <c r="B1657" s="1" t="s">
        <v>99</v>
      </c>
      <c r="C1657" t="s">
        <v>152</v>
      </c>
      <c r="D1657">
        <v>24</v>
      </c>
      <c r="E1657" t="s">
        <v>157</v>
      </c>
    </row>
    <row r="1658" spans="1:5" x14ac:dyDescent="0.2">
      <c r="A1658">
        <v>1657</v>
      </c>
      <c r="B1658" s="1" t="s">
        <v>109</v>
      </c>
      <c r="C1658" t="s">
        <v>152</v>
      </c>
      <c r="D1658">
        <v>21</v>
      </c>
      <c r="E1658" t="s">
        <v>157</v>
      </c>
    </row>
    <row r="1659" spans="1:5" x14ac:dyDescent="0.2">
      <c r="A1659">
        <v>1658</v>
      </c>
      <c r="B1659" s="1" t="s">
        <v>99</v>
      </c>
      <c r="C1659" t="s">
        <v>152</v>
      </c>
      <c r="D1659">
        <v>41</v>
      </c>
      <c r="E1659" t="s">
        <v>157</v>
      </c>
    </row>
    <row r="1660" spans="1:5" x14ac:dyDescent="0.2">
      <c r="A1660">
        <v>1659</v>
      </c>
      <c r="B1660" s="1" t="s">
        <v>105</v>
      </c>
      <c r="C1660" t="s">
        <v>151</v>
      </c>
      <c r="D1660">
        <v>59</v>
      </c>
      <c r="E1660" t="s">
        <v>157</v>
      </c>
    </row>
    <row r="1661" spans="1:5" x14ac:dyDescent="0.2">
      <c r="A1661">
        <v>1660</v>
      </c>
      <c r="B1661" s="1" t="s">
        <v>101</v>
      </c>
      <c r="C1661" t="s">
        <v>151</v>
      </c>
      <c r="D1661">
        <v>38</v>
      </c>
      <c r="E1661" t="s">
        <v>157</v>
      </c>
    </row>
    <row r="1662" spans="1:5" x14ac:dyDescent="0.2">
      <c r="A1662">
        <v>1661</v>
      </c>
      <c r="B1662" s="1" t="s">
        <v>100</v>
      </c>
      <c r="C1662" t="s">
        <v>152</v>
      </c>
      <c r="D1662">
        <v>33</v>
      </c>
      <c r="E1662" t="s">
        <v>157</v>
      </c>
    </row>
    <row r="1663" spans="1:5" x14ac:dyDescent="0.2">
      <c r="A1663">
        <v>1662</v>
      </c>
      <c r="B1663" s="1" t="s">
        <v>101</v>
      </c>
      <c r="C1663" t="s">
        <v>152</v>
      </c>
      <c r="D1663">
        <v>25</v>
      </c>
      <c r="E1663" t="s">
        <v>157</v>
      </c>
    </row>
    <row r="1664" spans="1:5" x14ac:dyDescent="0.2">
      <c r="A1664">
        <v>1663</v>
      </c>
      <c r="B1664" s="1" t="s">
        <v>104</v>
      </c>
      <c r="C1664" t="s">
        <v>152</v>
      </c>
      <c r="D1664">
        <v>60</v>
      </c>
      <c r="E1664" t="s">
        <v>157</v>
      </c>
    </row>
    <row r="1665" spans="1:5" x14ac:dyDescent="0.2">
      <c r="A1665">
        <v>1664</v>
      </c>
      <c r="B1665" s="1" t="s">
        <v>99</v>
      </c>
      <c r="C1665" t="s">
        <v>151</v>
      </c>
      <c r="D1665">
        <v>27</v>
      </c>
      <c r="E1665" t="s">
        <v>157</v>
      </c>
    </row>
    <row r="1666" spans="1:5" x14ac:dyDescent="0.2">
      <c r="A1666">
        <v>1665</v>
      </c>
      <c r="B1666" s="1" t="s">
        <v>110</v>
      </c>
      <c r="C1666" t="s">
        <v>152</v>
      </c>
      <c r="D1666">
        <v>19</v>
      </c>
      <c r="E1666" t="s">
        <v>157</v>
      </c>
    </row>
    <row r="1667" spans="1:5" x14ac:dyDescent="0.2">
      <c r="A1667">
        <v>1666</v>
      </c>
      <c r="B1667" s="1" t="s">
        <v>105</v>
      </c>
      <c r="C1667" t="s">
        <v>152</v>
      </c>
      <c r="D1667">
        <v>21</v>
      </c>
      <c r="E1667" t="s">
        <v>157</v>
      </c>
    </row>
    <row r="1668" spans="1:5" x14ac:dyDescent="0.2">
      <c r="A1668">
        <v>1667</v>
      </c>
      <c r="B1668" s="1" t="s">
        <v>100</v>
      </c>
      <c r="C1668" t="s">
        <v>152</v>
      </c>
      <c r="D1668">
        <v>73</v>
      </c>
      <c r="E1668" t="s">
        <v>157</v>
      </c>
    </row>
    <row r="1669" spans="1:5" x14ac:dyDescent="0.2">
      <c r="A1669">
        <v>1668</v>
      </c>
      <c r="B1669" s="1" t="s">
        <v>99</v>
      </c>
      <c r="C1669" t="s">
        <v>152</v>
      </c>
      <c r="D1669">
        <v>68</v>
      </c>
      <c r="E1669" t="s">
        <v>157</v>
      </c>
    </row>
    <row r="1670" spans="1:5" x14ac:dyDescent="0.2">
      <c r="A1670">
        <v>1669</v>
      </c>
      <c r="B1670" s="1" t="s">
        <v>101</v>
      </c>
      <c r="C1670" t="s">
        <v>151</v>
      </c>
      <c r="D1670">
        <v>28</v>
      </c>
      <c r="E1670" t="s">
        <v>157</v>
      </c>
    </row>
    <row r="1671" spans="1:5" x14ac:dyDescent="0.2">
      <c r="A1671">
        <v>1670</v>
      </c>
      <c r="B1671" s="1" t="s">
        <v>99</v>
      </c>
      <c r="C1671" t="s">
        <v>152</v>
      </c>
      <c r="D1671">
        <v>80</v>
      </c>
      <c r="E1671" t="s">
        <v>157</v>
      </c>
    </row>
    <row r="1672" spans="1:5" x14ac:dyDescent="0.2">
      <c r="A1672">
        <v>1671</v>
      </c>
      <c r="B1672" s="1" t="s">
        <v>99</v>
      </c>
      <c r="C1672" t="s">
        <v>151</v>
      </c>
      <c r="D1672">
        <v>56</v>
      </c>
      <c r="E1672" t="s">
        <v>157</v>
      </c>
    </row>
    <row r="1673" spans="1:5" x14ac:dyDescent="0.2">
      <c r="A1673">
        <v>1672</v>
      </c>
      <c r="B1673" s="1" t="s">
        <v>104</v>
      </c>
      <c r="C1673" t="s">
        <v>151</v>
      </c>
      <c r="D1673">
        <v>84</v>
      </c>
      <c r="E1673" t="s">
        <v>157</v>
      </c>
    </row>
    <row r="1674" spans="1:5" x14ac:dyDescent="0.2">
      <c r="A1674">
        <v>1673</v>
      </c>
      <c r="B1674" s="1" t="s">
        <v>105</v>
      </c>
      <c r="C1674" t="s">
        <v>151</v>
      </c>
      <c r="D1674">
        <v>30</v>
      </c>
      <c r="E1674" t="s">
        <v>157</v>
      </c>
    </row>
    <row r="1675" spans="1:5" x14ac:dyDescent="0.2">
      <c r="A1675">
        <v>1674</v>
      </c>
      <c r="B1675" s="1" t="s">
        <v>100</v>
      </c>
      <c r="C1675" t="s">
        <v>151</v>
      </c>
      <c r="D1675">
        <v>88</v>
      </c>
      <c r="E1675" t="s">
        <v>157</v>
      </c>
    </row>
    <row r="1676" spans="1:5" x14ac:dyDescent="0.2">
      <c r="A1676">
        <v>1675</v>
      </c>
      <c r="B1676" s="1" t="s">
        <v>99</v>
      </c>
      <c r="C1676" t="s">
        <v>152</v>
      </c>
      <c r="D1676">
        <v>57</v>
      </c>
      <c r="E1676" t="s">
        <v>157</v>
      </c>
    </row>
    <row r="1677" spans="1:5" x14ac:dyDescent="0.2">
      <c r="A1677">
        <v>1676</v>
      </c>
      <c r="B1677" s="1" t="s">
        <v>104</v>
      </c>
      <c r="C1677" t="s">
        <v>151</v>
      </c>
      <c r="D1677">
        <v>25</v>
      </c>
      <c r="E1677" t="s">
        <v>157</v>
      </c>
    </row>
    <row r="1678" spans="1:5" x14ac:dyDescent="0.2">
      <c r="A1678">
        <v>1677</v>
      </c>
      <c r="B1678" s="1" t="s">
        <v>107</v>
      </c>
      <c r="C1678" t="s">
        <v>152</v>
      </c>
      <c r="D1678">
        <v>51</v>
      </c>
      <c r="E1678" t="s">
        <v>157</v>
      </c>
    </row>
    <row r="1679" spans="1:5" x14ac:dyDescent="0.2">
      <c r="A1679">
        <v>1678</v>
      </c>
      <c r="B1679" s="1" t="s">
        <v>99</v>
      </c>
      <c r="C1679" t="s">
        <v>152</v>
      </c>
      <c r="D1679">
        <v>25</v>
      </c>
      <c r="E1679" t="s">
        <v>157</v>
      </c>
    </row>
    <row r="1680" spans="1:5" x14ac:dyDescent="0.2">
      <c r="A1680">
        <v>1679</v>
      </c>
      <c r="B1680" s="1" t="s">
        <v>101</v>
      </c>
      <c r="C1680" t="s">
        <v>152</v>
      </c>
      <c r="D1680">
        <v>59</v>
      </c>
      <c r="E1680" t="s">
        <v>157</v>
      </c>
    </row>
    <row r="1681" spans="1:5" x14ac:dyDescent="0.2">
      <c r="A1681">
        <v>1680</v>
      </c>
      <c r="B1681" s="1" t="s">
        <v>99</v>
      </c>
      <c r="C1681" t="s">
        <v>151</v>
      </c>
      <c r="D1681">
        <v>41</v>
      </c>
      <c r="E1681" t="s">
        <v>157</v>
      </c>
    </row>
    <row r="1682" spans="1:5" x14ac:dyDescent="0.2">
      <c r="A1682">
        <v>1681</v>
      </c>
      <c r="B1682" s="1" t="s">
        <v>105</v>
      </c>
      <c r="C1682" t="s">
        <v>152</v>
      </c>
      <c r="D1682">
        <v>38</v>
      </c>
      <c r="E1682" t="s">
        <v>157</v>
      </c>
    </row>
    <row r="1683" spans="1:5" x14ac:dyDescent="0.2">
      <c r="A1683">
        <v>1682</v>
      </c>
      <c r="B1683" s="1" t="s">
        <v>100</v>
      </c>
      <c r="C1683" t="s">
        <v>151</v>
      </c>
      <c r="D1683">
        <v>72</v>
      </c>
      <c r="E1683" t="s">
        <v>157</v>
      </c>
    </row>
    <row r="1684" spans="1:5" x14ac:dyDescent="0.2">
      <c r="A1684">
        <v>1683</v>
      </c>
      <c r="B1684" s="1" t="s">
        <v>108</v>
      </c>
      <c r="C1684" t="s">
        <v>151</v>
      </c>
      <c r="D1684">
        <v>37</v>
      </c>
      <c r="E1684" t="s">
        <v>157</v>
      </c>
    </row>
    <row r="1685" spans="1:5" x14ac:dyDescent="0.2">
      <c r="A1685">
        <v>1684</v>
      </c>
      <c r="B1685" s="1" t="s">
        <v>99</v>
      </c>
      <c r="C1685" t="s">
        <v>151</v>
      </c>
      <c r="D1685">
        <v>81</v>
      </c>
      <c r="E1685" t="s">
        <v>157</v>
      </c>
    </row>
    <row r="1686" spans="1:5" x14ac:dyDescent="0.2">
      <c r="A1686">
        <v>1685</v>
      </c>
      <c r="B1686" s="1" t="s">
        <v>99</v>
      </c>
      <c r="C1686" t="s">
        <v>152</v>
      </c>
      <c r="D1686">
        <v>74</v>
      </c>
      <c r="E1686" t="s">
        <v>157</v>
      </c>
    </row>
    <row r="1687" spans="1:5" x14ac:dyDescent="0.2">
      <c r="A1687">
        <v>1686</v>
      </c>
      <c r="B1687" s="1" t="s">
        <v>100</v>
      </c>
      <c r="C1687" t="s">
        <v>151</v>
      </c>
      <c r="D1687">
        <v>53</v>
      </c>
      <c r="E1687" t="s">
        <v>157</v>
      </c>
    </row>
    <row r="1688" spans="1:5" x14ac:dyDescent="0.2">
      <c r="A1688">
        <v>1687</v>
      </c>
      <c r="B1688" s="1" t="s">
        <v>101</v>
      </c>
      <c r="C1688" t="s">
        <v>151</v>
      </c>
      <c r="D1688">
        <v>38</v>
      </c>
      <c r="E1688" t="s">
        <v>157</v>
      </c>
    </row>
    <row r="1689" spans="1:5" x14ac:dyDescent="0.2">
      <c r="A1689">
        <v>1688</v>
      </c>
      <c r="B1689" s="1" t="s">
        <v>101</v>
      </c>
      <c r="C1689" t="s">
        <v>152</v>
      </c>
      <c r="D1689">
        <v>49</v>
      </c>
      <c r="E1689" t="s">
        <v>157</v>
      </c>
    </row>
    <row r="1690" spans="1:5" x14ac:dyDescent="0.2">
      <c r="A1690">
        <v>1689</v>
      </c>
      <c r="B1690" s="1" t="s">
        <v>101</v>
      </c>
      <c r="C1690" t="s">
        <v>151</v>
      </c>
      <c r="D1690">
        <v>50</v>
      </c>
      <c r="E1690" t="s">
        <v>157</v>
      </c>
    </row>
    <row r="1691" spans="1:5" x14ac:dyDescent="0.2">
      <c r="A1691">
        <v>1690</v>
      </c>
      <c r="B1691" s="1" t="s">
        <v>101</v>
      </c>
      <c r="C1691" t="s">
        <v>152</v>
      </c>
      <c r="D1691">
        <v>57</v>
      </c>
      <c r="E1691" t="s">
        <v>157</v>
      </c>
    </row>
    <row r="1692" spans="1:5" x14ac:dyDescent="0.2">
      <c r="A1692">
        <v>1691</v>
      </c>
      <c r="B1692" s="1" t="s">
        <v>99</v>
      </c>
      <c r="C1692" t="s">
        <v>151</v>
      </c>
      <c r="D1692">
        <v>43</v>
      </c>
      <c r="E1692" t="s">
        <v>157</v>
      </c>
    </row>
    <row r="1693" spans="1:5" x14ac:dyDescent="0.2">
      <c r="A1693">
        <v>1692</v>
      </c>
      <c r="B1693" s="1" t="s">
        <v>99</v>
      </c>
      <c r="C1693" t="s">
        <v>152</v>
      </c>
      <c r="D1693">
        <v>78</v>
      </c>
      <c r="E1693" t="s">
        <v>157</v>
      </c>
    </row>
    <row r="1694" spans="1:5" x14ac:dyDescent="0.2">
      <c r="A1694">
        <v>1693</v>
      </c>
      <c r="B1694" s="1" t="s">
        <v>100</v>
      </c>
      <c r="C1694" t="s">
        <v>152</v>
      </c>
      <c r="D1694">
        <v>63</v>
      </c>
      <c r="E1694" t="s">
        <v>157</v>
      </c>
    </row>
    <row r="1695" spans="1:5" x14ac:dyDescent="0.2">
      <c r="A1695">
        <v>1694</v>
      </c>
      <c r="B1695" s="1" t="s">
        <v>111</v>
      </c>
      <c r="C1695" t="s">
        <v>151</v>
      </c>
      <c r="D1695">
        <v>83</v>
      </c>
      <c r="E1695" t="s">
        <v>157</v>
      </c>
    </row>
    <row r="1696" spans="1:5" x14ac:dyDescent="0.2">
      <c r="A1696">
        <v>1695</v>
      </c>
      <c r="B1696" s="1" t="s">
        <v>105</v>
      </c>
      <c r="C1696" t="s">
        <v>152</v>
      </c>
      <c r="D1696">
        <v>37</v>
      </c>
      <c r="E1696" t="s">
        <v>157</v>
      </c>
    </row>
    <row r="1697" spans="1:5" x14ac:dyDescent="0.2">
      <c r="A1697">
        <v>1696</v>
      </c>
      <c r="B1697" s="1" t="s">
        <v>99</v>
      </c>
      <c r="C1697" t="s">
        <v>151</v>
      </c>
      <c r="D1697">
        <v>68</v>
      </c>
      <c r="E1697" t="s">
        <v>157</v>
      </c>
    </row>
    <row r="1698" spans="1:5" x14ac:dyDescent="0.2">
      <c r="A1698">
        <v>1697</v>
      </c>
      <c r="B1698" s="1" t="s">
        <v>100</v>
      </c>
      <c r="C1698" t="s">
        <v>152</v>
      </c>
      <c r="D1698">
        <v>65</v>
      </c>
      <c r="E1698" t="s">
        <v>157</v>
      </c>
    </row>
    <row r="1699" spans="1:5" x14ac:dyDescent="0.2">
      <c r="A1699">
        <v>1698</v>
      </c>
      <c r="B1699" s="1" t="s">
        <v>100</v>
      </c>
      <c r="C1699" t="s">
        <v>152</v>
      </c>
      <c r="D1699">
        <v>34</v>
      </c>
      <c r="E1699" t="s">
        <v>157</v>
      </c>
    </row>
    <row r="1700" spans="1:5" x14ac:dyDescent="0.2">
      <c r="A1700">
        <v>1699</v>
      </c>
      <c r="B1700" s="1" t="s">
        <v>101</v>
      </c>
      <c r="C1700" t="s">
        <v>152</v>
      </c>
      <c r="D1700">
        <v>21</v>
      </c>
      <c r="E1700" t="s">
        <v>157</v>
      </c>
    </row>
    <row r="1701" spans="1:5" x14ac:dyDescent="0.2">
      <c r="A1701">
        <v>1700</v>
      </c>
      <c r="B1701" s="1" t="s">
        <v>99</v>
      </c>
      <c r="C1701" t="s">
        <v>151</v>
      </c>
      <c r="D1701">
        <v>37</v>
      </c>
      <c r="E1701" t="s">
        <v>157</v>
      </c>
    </row>
    <row r="1702" spans="1:5" x14ac:dyDescent="0.2">
      <c r="A1702">
        <v>1701</v>
      </c>
      <c r="B1702" s="1" t="s">
        <v>99</v>
      </c>
      <c r="C1702" t="s">
        <v>152</v>
      </c>
      <c r="D1702">
        <v>41</v>
      </c>
      <c r="E1702" t="s">
        <v>157</v>
      </c>
    </row>
    <row r="1703" spans="1:5" x14ac:dyDescent="0.2">
      <c r="A1703">
        <v>1702</v>
      </c>
      <c r="B1703" s="1" t="s">
        <v>107</v>
      </c>
      <c r="C1703" t="s">
        <v>151</v>
      </c>
      <c r="D1703">
        <v>26</v>
      </c>
      <c r="E1703" t="s">
        <v>157</v>
      </c>
    </row>
    <row r="1704" spans="1:5" x14ac:dyDescent="0.2">
      <c r="A1704">
        <v>1703</v>
      </c>
      <c r="B1704" s="1" t="s">
        <v>100</v>
      </c>
      <c r="C1704" t="s">
        <v>152</v>
      </c>
      <c r="D1704">
        <v>85</v>
      </c>
      <c r="E1704" t="s">
        <v>157</v>
      </c>
    </row>
    <row r="1705" spans="1:5" x14ac:dyDescent="0.2">
      <c r="A1705">
        <v>1704</v>
      </c>
      <c r="B1705" s="1" t="s">
        <v>99</v>
      </c>
      <c r="C1705" t="s">
        <v>151</v>
      </c>
      <c r="D1705">
        <v>67</v>
      </c>
      <c r="E1705" t="s">
        <v>157</v>
      </c>
    </row>
    <row r="1706" spans="1:5" x14ac:dyDescent="0.2">
      <c r="A1706">
        <v>1705</v>
      </c>
      <c r="B1706" s="1" t="s">
        <v>100</v>
      </c>
      <c r="C1706" t="s">
        <v>152</v>
      </c>
      <c r="D1706">
        <v>30</v>
      </c>
      <c r="E1706" t="s">
        <v>157</v>
      </c>
    </row>
    <row r="1707" spans="1:5" x14ac:dyDescent="0.2">
      <c r="A1707">
        <v>1706</v>
      </c>
      <c r="B1707" s="1" t="s">
        <v>99</v>
      </c>
      <c r="C1707" t="s">
        <v>152</v>
      </c>
      <c r="D1707">
        <v>47</v>
      </c>
      <c r="E1707" t="s">
        <v>157</v>
      </c>
    </row>
    <row r="1708" spans="1:5" x14ac:dyDescent="0.2">
      <c r="A1708">
        <v>1707</v>
      </c>
      <c r="B1708" s="1" t="s">
        <v>100</v>
      </c>
      <c r="C1708" t="s">
        <v>152</v>
      </c>
      <c r="D1708">
        <v>85</v>
      </c>
      <c r="E1708" t="s">
        <v>157</v>
      </c>
    </row>
    <row r="1709" spans="1:5" x14ac:dyDescent="0.2">
      <c r="A1709">
        <v>1708</v>
      </c>
      <c r="B1709" s="1" t="s">
        <v>100</v>
      </c>
      <c r="C1709" t="s">
        <v>151</v>
      </c>
      <c r="D1709">
        <v>87</v>
      </c>
      <c r="E1709" t="s">
        <v>157</v>
      </c>
    </row>
    <row r="1710" spans="1:5" x14ac:dyDescent="0.2">
      <c r="A1710">
        <v>1709</v>
      </c>
      <c r="B1710" s="1" t="s">
        <v>99</v>
      </c>
      <c r="C1710" t="s">
        <v>151</v>
      </c>
      <c r="D1710">
        <v>26</v>
      </c>
      <c r="E1710" t="s">
        <v>157</v>
      </c>
    </row>
    <row r="1711" spans="1:5" x14ac:dyDescent="0.2">
      <c r="A1711">
        <v>1710</v>
      </c>
      <c r="B1711" s="1" t="s">
        <v>105</v>
      </c>
      <c r="C1711" t="s">
        <v>152</v>
      </c>
      <c r="D1711">
        <v>84</v>
      </c>
      <c r="E1711" t="s">
        <v>157</v>
      </c>
    </row>
    <row r="1712" spans="1:5" x14ac:dyDescent="0.2">
      <c r="A1712">
        <v>1711</v>
      </c>
      <c r="B1712" s="1" t="s">
        <v>99</v>
      </c>
      <c r="C1712" t="s">
        <v>152</v>
      </c>
      <c r="D1712">
        <v>39</v>
      </c>
      <c r="E1712" t="s">
        <v>157</v>
      </c>
    </row>
    <row r="1713" spans="1:5" x14ac:dyDescent="0.2">
      <c r="A1713">
        <v>1712</v>
      </c>
      <c r="B1713" s="1" t="s">
        <v>109</v>
      </c>
      <c r="C1713" t="s">
        <v>152</v>
      </c>
      <c r="D1713">
        <v>82</v>
      </c>
      <c r="E1713" t="s">
        <v>157</v>
      </c>
    </row>
    <row r="1714" spans="1:5" x14ac:dyDescent="0.2">
      <c r="A1714">
        <v>1713</v>
      </c>
      <c r="B1714" s="1" t="s">
        <v>100</v>
      </c>
      <c r="C1714" t="s">
        <v>151</v>
      </c>
      <c r="D1714">
        <v>87</v>
      </c>
      <c r="E1714" t="s">
        <v>157</v>
      </c>
    </row>
    <row r="1715" spans="1:5" x14ac:dyDescent="0.2">
      <c r="A1715">
        <v>1714</v>
      </c>
      <c r="B1715" s="1" t="s">
        <v>105</v>
      </c>
      <c r="C1715" t="s">
        <v>151</v>
      </c>
      <c r="D1715">
        <v>33</v>
      </c>
      <c r="E1715" t="s">
        <v>157</v>
      </c>
    </row>
    <row r="1716" spans="1:5" x14ac:dyDescent="0.2">
      <c r="A1716">
        <v>1715</v>
      </c>
      <c r="B1716" s="1" t="s">
        <v>99</v>
      </c>
      <c r="C1716" t="s">
        <v>151</v>
      </c>
      <c r="D1716">
        <v>41</v>
      </c>
      <c r="E1716" t="s">
        <v>157</v>
      </c>
    </row>
    <row r="1717" spans="1:5" x14ac:dyDescent="0.2">
      <c r="A1717">
        <v>1716</v>
      </c>
      <c r="B1717" s="1" t="s">
        <v>99</v>
      </c>
      <c r="C1717" t="s">
        <v>152</v>
      </c>
      <c r="D1717">
        <v>18</v>
      </c>
      <c r="E1717" t="s">
        <v>157</v>
      </c>
    </row>
    <row r="1718" spans="1:5" x14ac:dyDescent="0.2">
      <c r="A1718">
        <v>1717</v>
      </c>
      <c r="B1718" s="1" t="s">
        <v>101</v>
      </c>
      <c r="C1718" t="s">
        <v>151</v>
      </c>
      <c r="D1718">
        <v>33</v>
      </c>
      <c r="E1718" t="s">
        <v>157</v>
      </c>
    </row>
    <row r="1719" spans="1:5" x14ac:dyDescent="0.2">
      <c r="A1719">
        <v>1718</v>
      </c>
      <c r="B1719" s="1" t="s">
        <v>99</v>
      </c>
      <c r="C1719" t="s">
        <v>151</v>
      </c>
      <c r="D1719">
        <v>26</v>
      </c>
      <c r="E1719" t="s">
        <v>157</v>
      </c>
    </row>
    <row r="1720" spans="1:5" x14ac:dyDescent="0.2">
      <c r="A1720">
        <v>1719</v>
      </c>
      <c r="B1720" s="1" t="s">
        <v>107</v>
      </c>
      <c r="C1720" t="s">
        <v>152</v>
      </c>
      <c r="D1720">
        <v>23</v>
      </c>
      <c r="E1720" t="s">
        <v>157</v>
      </c>
    </row>
    <row r="1721" spans="1:5" x14ac:dyDescent="0.2">
      <c r="A1721">
        <v>1720</v>
      </c>
      <c r="B1721" s="1" t="s">
        <v>99</v>
      </c>
      <c r="C1721" t="s">
        <v>151</v>
      </c>
      <c r="D1721">
        <v>85</v>
      </c>
      <c r="E1721" t="s">
        <v>157</v>
      </c>
    </row>
    <row r="1722" spans="1:5" x14ac:dyDescent="0.2">
      <c r="A1722">
        <v>1721</v>
      </c>
      <c r="B1722" s="1" t="s">
        <v>109</v>
      </c>
      <c r="C1722" t="s">
        <v>152</v>
      </c>
      <c r="D1722">
        <v>22</v>
      </c>
      <c r="E1722" t="s">
        <v>157</v>
      </c>
    </row>
    <row r="1723" spans="1:5" x14ac:dyDescent="0.2">
      <c r="A1723">
        <v>1722</v>
      </c>
      <c r="B1723" s="1" t="s">
        <v>99</v>
      </c>
      <c r="C1723" t="s">
        <v>151</v>
      </c>
      <c r="D1723">
        <v>46</v>
      </c>
      <c r="E1723" t="s">
        <v>157</v>
      </c>
    </row>
    <row r="1724" spans="1:5" x14ac:dyDescent="0.2">
      <c r="A1724">
        <v>1723</v>
      </c>
      <c r="B1724" s="1" t="s">
        <v>105</v>
      </c>
      <c r="C1724" t="s">
        <v>151</v>
      </c>
      <c r="D1724">
        <v>82</v>
      </c>
      <c r="E1724" t="s">
        <v>157</v>
      </c>
    </row>
    <row r="1725" spans="1:5" x14ac:dyDescent="0.2">
      <c r="A1725">
        <v>1724</v>
      </c>
      <c r="B1725" s="1" t="s">
        <v>101</v>
      </c>
      <c r="C1725" t="s">
        <v>151</v>
      </c>
      <c r="D1725">
        <v>76</v>
      </c>
      <c r="E1725" t="s">
        <v>157</v>
      </c>
    </row>
    <row r="1726" spans="1:5" x14ac:dyDescent="0.2">
      <c r="A1726">
        <v>1725</v>
      </c>
      <c r="B1726" s="1" t="s">
        <v>99</v>
      </c>
      <c r="C1726" t="s">
        <v>151</v>
      </c>
      <c r="D1726">
        <v>81</v>
      </c>
      <c r="E1726" t="s">
        <v>157</v>
      </c>
    </row>
    <row r="1727" spans="1:5" x14ac:dyDescent="0.2">
      <c r="A1727">
        <v>1726</v>
      </c>
      <c r="B1727" s="1" t="s">
        <v>105</v>
      </c>
      <c r="C1727" t="s">
        <v>152</v>
      </c>
      <c r="D1727">
        <v>36</v>
      </c>
      <c r="E1727" t="s">
        <v>157</v>
      </c>
    </row>
    <row r="1728" spans="1:5" x14ac:dyDescent="0.2">
      <c r="A1728">
        <v>1727</v>
      </c>
      <c r="B1728" s="1" t="s">
        <v>99</v>
      </c>
      <c r="C1728" t="s">
        <v>151</v>
      </c>
      <c r="D1728">
        <v>75</v>
      </c>
      <c r="E1728" t="s">
        <v>157</v>
      </c>
    </row>
    <row r="1729" spans="1:5" x14ac:dyDescent="0.2">
      <c r="A1729">
        <v>1728</v>
      </c>
      <c r="B1729" s="1" t="s">
        <v>100</v>
      </c>
      <c r="C1729" t="s">
        <v>152</v>
      </c>
      <c r="D1729">
        <v>27</v>
      </c>
      <c r="E1729" t="s">
        <v>157</v>
      </c>
    </row>
    <row r="1730" spans="1:5" x14ac:dyDescent="0.2">
      <c r="A1730">
        <v>1729</v>
      </c>
      <c r="B1730" s="1" t="s">
        <v>101</v>
      </c>
      <c r="C1730" t="s">
        <v>151</v>
      </c>
      <c r="D1730">
        <v>72</v>
      </c>
      <c r="E1730" t="s">
        <v>157</v>
      </c>
    </row>
    <row r="1731" spans="1:5" x14ac:dyDescent="0.2">
      <c r="A1731">
        <v>1730</v>
      </c>
      <c r="B1731" s="1" t="s">
        <v>100</v>
      </c>
      <c r="C1731" t="s">
        <v>152</v>
      </c>
      <c r="D1731">
        <v>73</v>
      </c>
      <c r="E1731" t="s">
        <v>157</v>
      </c>
    </row>
    <row r="1732" spans="1:5" x14ac:dyDescent="0.2">
      <c r="A1732">
        <v>1731</v>
      </c>
      <c r="B1732" s="1" t="s">
        <v>105</v>
      </c>
      <c r="C1732" t="s">
        <v>151</v>
      </c>
      <c r="D1732">
        <v>65</v>
      </c>
      <c r="E1732" t="s">
        <v>157</v>
      </c>
    </row>
    <row r="1733" spans="1:5" x14ac:dyDescent="0.2">
      <c r="A1733">
        <v>1732</v>
      </c>
      <c r="B1733" s="1" t="s">
        <v>99</v>
      </c>
      <c r="C1733" t="s">
        <v>151</v>
      </c>
      <c r="D1733">
        <v>90</v>
      </c>
      <c r="E1733" t="s">
        <v>157</v>
      </c>
    </row>
    <row r="1734" spans="1:5" x14ac:dyDescent="0.2">
      <c r="A1734">
        <v>1733</v>
      </c>
      <c r="B1734" s="1" t="s">
        <v>107</v>
      </c>
      <c r="C1734" t="s">
        <v>151</v>
      </c>
      <c r="D1734">
        <v>32</v>
      </c>
      <c r="E1734" t="s">
        <v>157</v>
      </c>
    </row>
    <row r="1735" spans="1:5" x14ac:dyDescent="0.2">
      <c r="A1735">
        <v>1734</v>
      </c>
      <c r="B1735" s="1" t="s">
        <v>99</v>
      </c>
      <c r="C1735" t="s">
        <v>151</v>
      </c>
      <c r="D1735">
        <v>62</v>
      </c>
      <c r="E1735" t="s">
        <v>157</v>
      </c>
    </row>
    <row r="1736" spans="1:5" x14ac:dyDescent="0.2">
      <c r="A1736">
        <v>1735</v>
      </c>
      <c r="B1736" s="1" t="s">
        <v>102</v>
      </c>
      <c r="C1736" t="s">
        <v>151</v>
      </c>
      <c r="D1736">
        <v>76</v>
      </c>
      <c r="E1736" t="s">
        <v>157</v>
      </c>
    </row>
    <row r="1737" spans="1:5" x14ac:dyDescent="0.2">
      <c r="A1737">
        <v>1736</v>
      </c>
      <c r="B1737" s="1" t="s">
        <v>99</v>
      </c>
      <c r="C1737" t="s">
        <v>151</v>
      </c>
      <c r="D1737">
        <v>23</v>
      </c>
      <c r="E1737" t="s">
        <v>157</v>
      </c>
    </row>
    <row r="1738" spans="1:5" x14ac:dyDescent="0.2">
      <c r="A1738">
        <v>1737</v>
      </c>
      <c r="B1738" s="1" t="s">
        <v>106</v>
      </c>
      <c r="C1738" t="s">
        <v>151</v>
      </c>
      <c r="D1738">
        <v>60</v>
      </c>
      <c r="E1738" t="s">
        <v>157</v>
      </c>
    </row>
    <row r="1739" spans="1:5" x14ac:dyDescent="0.2">
      <c r="A1739">
        <v>1738</v>
      </c>
      <c r="B1739" s="1" t="s">
        <v>100</v>
      </c>
      <c r="C1739" t="s">
        <v>151</v>
      </c>
      <c r="D1739">
        <v>27</v>
      </c>
      <c r="E1739" t="s">
        <v>157</v>
      </c>
    </row>
    <row r="1740" spans="1:5" x14ac:dyDescent="0.2">
      <c r="A1740">
        <v>1739</v>
      </c>
      <c r="B1740" s="1" t="s">
        <v>105</v>
      </c>
      <c r="C1740" t="s">
        <v>152</v>
      </c>
      <c r="D1740">
        <v>44</v>
      </c>
      <c r="E1740" t="s">
        <v>157</v>
      </c>
    </row>
    <row r="1741" spans="1:5" x14ac:dyDescent="0.2">
      <c r="A1741">
        <v>1740</v>
      </c>
      <c r="B1741" s="1" t="s">
        <v>99</v>
      </c>
      <c r="C1741" t="s">
        <v>152</v>
      </c>
      <c r="D1741">
        <v>25</v>
      </c>
      <c r="E1741" t="s">
        <v>157</v>
      </c>
    </row>
    <row r="1742" spans="1:5" x14ac:dyDescent="0.2">
      <c r="A1742">
        <v>1741</v>
      </c>
      <c r="B1742" s="1" t="s">
        <v>99</v>
      </c>
      <c r="C1742" t="s">
        <v>152</v>
      </c>
      <c r="D1742">
        <v>71</v>
      </c>
      <c r="E1742" t="s">
        <v>157</v>
      </c>
    </row>
    <row r="1743" spans="1:5" x14ac:dyDescent="0.2">
      <c r="A1743">
        <v>1742</v>
      </c>
      <c r="B1743" s="1" t="s">
        <v>99</v>
      </c>
      <c r="C1743" t="s">
        <v>152</v>
      </c>
      <c r="D1743">
        <v>49</v>
      </c>
      <c r="E1743" t="s">
        <v>157</v>
      </c>
    </row>
    <row r="1744" spans="1:5" x14ac:dyDescent="0.2">
      <c r="A1744">
        <v>1743</v>
      </c>
      <c r="B1744" s="1" t="s">
        <v>99</v>
      </c>
      <c r="C1744" t="s">
        <v>152</v>
      </c>
      <c r="D1744">
        <v>30</v>
      </c>
      <c r="E1744" t="s">
        <v>157</v>
      </c>
    </row>
    <row r="1745" spans="1:5" x14ac:dyDescent="0.2">
      <c r="A1745">
        <v>1744</v>
      </c>
      <c r="B1745" s="1" t="s">
        <v>99</v>
      </c>
      <c r="C1745" t="s">
        <v>152</v>
      </c>
      <c r="D1745">
        <v>36</v>
      </c>
      <c r="E1745" t="s">
        <v>157</v>
      </c>
    </row>
    <row r="1746" spans="1:5" x14ac:dyDescent="0.2">
      <c r="A1746">
        <v>1745</v>
      </c>
      <c r="B1746" s="1" t="s">
        <v>99</v>
      </c>
      <c r="C1746" t="s">
        <v>152</v>
      </c>
      <c r="D1746">
        <v>54</v>
      </c>
      <c r="E1746" t="s">
        <v>157</v>
      </c>
    </row>
    <row r="1747" spans="1:5" x14ac:dyDescent="0.2">
      <c r="A1747">
        <v>1746</v>
      </c>
      <c r="B1747" s="1" t="s">
        <v>107</v>
      </c>
      <c r="C1747" t="s">
        <v>151</v>
      </c>
      <c r="D1747">
        <v>66</v>
      </c>
      <c r="E1747" t="s">
        <v>157</v>
      </c>
    </row>
    <row r="1748" spans="1:5" x14ac:dyDescent="0.2">
      <c r="A1748">
        <v>1747</v>
      </c>
      <c r="B1748" s="1" t="s">
        <v>99</v>
      </c>
      <c r="C1748" t="s">
        <v>152</v>
      </c>
      <c r="D1748">
        <v>61</v>
      </c>
      <c r="E1748" t="s">
        <v>157</v>
      </c>
    </row>
    <row r="1749" spans="1:5" x14ac:dyDescent="0.2">
      <c r="A1749">
        <v>1748</v>
      </c>
      <c r="B1749" s="1" t="s">
        <v>100</v>
      </c>
      <c r="C1749" t="s">
        <v>151</v>
      </c>
      <c r="D1749">
        <v>44</v>
      </c>
      <c r="E1749" t="s">
        <v>157</v>
      </c>
    </row>
    <row r="1750" spans="1:5" x14ac:dyDescent="0.2">
      <c r="A1750">
        <v>1749</v>
      </c>
      <c r="B1750" s="1" t="s">
        <v>104</v>
      </c>
      <c r="C1750" t="s">
        <v>151</v>
      </c>
      <c r="D1750">
        <v>30</v>
      </c>
      <c r="E1750" t="s">
        <v>157</v>
      </c>
    </row>
    <row r="1751" spans="1:5" x14ac:dyDescent="0.2">
      <c r="A1751">
        <v>1750</v>
      </c>
      <c r="B1751" s="1" t="s">
        <v>102</v>
      </c>
      <c r="C1751" t="s">
        <v>152</v>
      </c>
      <c r="D1751">
        <v>85</v>
      </c>
      <c r="E1751" t="s">
        <v>157</v>
      </c>
    </row>
    <row r="1752" spans="1:5" x14ac:dyDescent="0.2">
      <c r="A1752">
        <v>1751</v>
      </c>
      <c r="B1752" s="1" t="s">
        <v>99</v>
      </c>
      <c r="C1752" t="s">
        <v>151</v>
      </c>
      <c r="D1752">
        <v>78</v>
      </c>
      <c r="E1752" t="s">
        <v>157</v>
      </c>
    </row>
    <row r="1753" spans="1:5" x14ac:dyDescent="0.2">
      <c r="A1753">
        <v>1752</v>
      </c>
      <c r="B1753" s="1" t="s">
        <v>101</v>
      </c>
      <c r="C1753" t="s">
        <v>152</v>
      </c>
      <c r="D1753">
        <v>50</v>
      </c>
      <c r="E1753" t="s">
        <v>157</v>
      </c>
    </row>
    <row r="1754" spans="1:5" x14ac:dyDescent="0.2">
      <c r="A1754">
        <v>1753</v>
      </c>
      <c r="B1754" s="1" t="s">
        <v>99</v>
      </c>
      <c r="C1754" t="s">
        <v>152</v>
      </c>
      <c r="D1754">
        <v>68</v>
      </c>
      <c r="E1754" t="s">
        <v>157</v>
      </c>
    </row>
    <row r="1755" spans="1:5" x14ac:dyDescent="0.2">
      <c r="A1755">
        <v>1754</v>
      </c>
      <c r="B1755" s="1" t="s">
        <v>99</v>
      </c>
      <c r="C1755" t="s">
        <v>152</v>
      </c>
      <c r="D1755">
        <v>63</v>
      </c>
      <c r="E1755" t="s">
        <v>157</v>
      </c>
    </row>
    <row r="1756" spans="1:5" x14ac:dyDescent="0.2">
      <c r="A1756">
        <v>1755</v>
      </c>
      <c r="B1756" s="1" t="s">
        <v>105</v>
      </c>
      <c r="C1756" t="s">
        <v>151</v>
      </c>
      <c r="D1756">
        <v>66</v>
      </c>
      <c r="E1756" t="s">
        <v>157</v>
      </c>
    </row>
    <row r="1757" spans="1:5" x14ac:dyDescent="0.2">
      <c r="A1757">
        <v>1756</v>
      </c>
      <c r="B1757" s="1" t="s">
        <v>99</v>
      </c>
      <c r="C1757" t="s">
        <v>152</v>
      </c>
      <c r="D1757">
        <v>54</v>
      </c>
      <c r="E1757" t="s">
        <v>157</v>
      </c>
    </row>
    <row r="1758" spans="1:5" x14ac:dyDescent="0.2">
      <c r="A1758">
        <v>1757</v>
      </c>
      <c r="B1758" s="1" t="s">
        <v>105</v>
      </c>
      <c r="C1758" t="s">
        <v>151</v>
      </c>
      <c r="D1758">
        <v>20</v>
      </c>
      <c r="E1758" t="s">
        <v>157</v>
      </c>
    </row>
    <row r="1759" spans="1:5" x14ac:dyDescent="0.2">
      <c r="A1759">
        <v>1758</v>
      </c>
      <c r="B1759" s="1" t="s">
        <v>99</v>
      </c>
      <c r="C1759" t="s">
        <v>152</v>
      </c>
      <c r="D1759">
        <v>81</v>
      </c>
      <c r="E1759" t="s">
        <v>157</v>
      </c>
    </row>
    <row r="1760" spans="1:5" x14ac:dyDescent="0.2">
      <c r="A1760">
        <v>1759</v>
      </c>
      <c r="B1760" s="1" t="s">
        <v>105</v>
      </c>
      <c r="C1760" t="s">
        <v>152</v>
      </c>
      <c r="D1760">
        <v>22</v>
      </c>
      <c r="E1760" t="s">
        <v>157</v>
      </c>
    </row>
    <row r="1761" spans="1:5" x14ac:dyDescent="0.2">
      <c r="A1761">
        <v>1760</v>
      </c>
      <c r="B1761" s="1" t="s">
        <v>100</v>
      </c>
      <c r="C1761" t="s">
        <v>152</v>
      </c>
      <c r="D1761">
        <v>19</v>
      </c>
      <c r="E1761" t="s">
        <v>157</v>
      </c>
    </row>
    <row r="1762" spans="1:5" x14ac:dyDescent="0.2">
      <c r="A1762">
        <v>1761</v>
      </c>
      <c r="B1762" s="1" t="s">
        <v>105</v>
      </c>
      <c r="C1762" t="s">
        <v>152</v>
      </c>
      <c r="D1762">
        <v>30</v>
      </c>
      <c r="E1762" t="s">
        <v>157</v>
      </c>
    </row>
    <row r="1763" spans="1:5" x14ac:dyDescent="0.2">
      <c r="A1763">
        <v>1762</v>
      </c>
      <c r="B1763" s="1" t="s">
        <v>99</v>
      </c>
      <c r="C1763" t="s">
        <v>151</v>
      </c>
      <c r="D1763">
        <v>29</v>
      </c>
      <c r="E1763" t="s">
        <v>157</v>
      </c>
    </row>
    <row r="1764" spans="1:5" x14ac:dyDescent="0.2">
      <c r="A1764">
        <v>1763</v>
      </c>
      <c r="B1764" s="1" t="s">
        <v>99</v>
      </c>
      <c r="C1764" t="s">
        <v>152</v>
      </c>
      <c r="D1764">
        <v>84</v>
      </c>
      <c r="E1764" t="s">
        <v>157</v>
      </c>
    </row>
    <row r="1765" spans="1:5" x14ac:dyDescent="0.2">
      <c r="A1765">
        <v>1764</v>
      </c>
      <c r="B1765" s="1" t="s">
        <v>102</v>
      </c>
      <c r="C1765" t="s">
        <v>152</v>
      </c>
      <c r="D1765">
        <v>37</v>
      </c>
      <c r="E1765" t="s">
        <v>157</v>
      </c>
    </row>
    <row r="1766" spans="1:5" x14ac:dyDescent="0.2">
      <c r="A1766">
        <v>1765</v>
      </c>
      <c r="B1766" s="1" t="s">
        <v>99</v>
      </c>
      <c r="C1766" t="s">
        <v>152</v>
      </c>
      <c r="D1766">
        <v>18</v>
      </c>
      <c r="E1766" t="s">
        <v>157</v>
      </c>
    </row>
    <row r="1767" spans="1:5" x14ac:dyDescent="0.2">
      <c r="A1767">
        <v>1766</v>
      </c>
      <c r="B1767" s="1" t="s">
        <v>105</v>
      </c>
      <c r="C1767" t="s">
        <v>151</v>
      </c>
      <c r="D1767">
        <v>42</v>
      </c>
      <c r="E1767" t="s">
        <v>157</v>
      </c>
    </row>
    <row r="1768" spans="1:5" x14ac:dyDescent="0.2">
      <c r="A1768">
        <v>1767</v>
      </c>
      <c r="B1768" s="1" t="s">
        <v>100</v>
      </c>
      <c r="C1768" t="s">
        <v>152</v>
      </c>
      <c r="D1768">
        <v>52</v>
      </c>
      <c r="E1768" t="s">
        <v>157</v>
      </c>
    </row>
    <row r="1769" spans="1:5" x14ac:dyDescent="0.2">
      <c r="A1769">
        <v>1768</v>
      </c>
      <c r="B1769" s="1" t="s">
        <v>99</v>
      </c>
      <c r="C1769" t="s">
        <v>152</v>
      </c>
      <c r="D1769">
        <v>81</v>
      </c>
      <c r="E1769" t="s">
        <v>157</v>
      </c>
    </row>
    <row r="1770" spans="1:5" x14ac:dyDescent="0.2">
      <c r="A1770">
        <v>1769</v>
      </c>
      <c r="B1770" s="1" t="s">
        <v>105</v>
      </c>
      <c r="C1770" t="s">
        <v>151</v>
      </c>
      <c r="D1770">
        <v>27</v>
      </c>
      <c r="E1770" t="s">
        <v>157</v>
      </c>
    </row>
    <row r="1771" spans="1:5" x14ac:dyDescent="0.2">
      <c r="A1771">
        <v>1770</v>
      </c>
      <c r="B1771" s="1" t="s">
        <v>104</v>
      </c>
      <c r="C1771" t="s">
        <v>151</v>
      </c>
      <c r="D1771">
        <v>88</v>
      </c>
      <c r="E1771" t="s">
        <v>157</v>
      </c>
    </row>
    <row r="1772" spans="1:5" x14ac:dyDescent="0.2">
      <c r="A1772">
        <v>1771</v>
      </c>
      <c r="B1772" s="1" t="s">
        <v>107</v>
      </c>
      <c r="C1772" t="s">
        <v>151</v>
      </c>
      <c r="D1772">
        <v>80</v>
      </c>
      <c r="E1772" t="s">
        <v>157</v>
      </c>
    </row>
    <row r="1773" spans="1:5" x14ac:dyDescent="0.2">
      <c r="A1773">
        <v>1772</v>
      </c>
      <c r="B1773" s="1" t="s">
        <v>99</v>
      </c>
      <c r="C1773" t="s">
        <v>151</v>
      </c>
      <c r="D1773">
        <v>42</v>
      </c>
      <c r="E1773" t="s">
        <v>157</v>
      </c>
    </row>
    <row r="1774" spans="1:5" x14ac:dyDescent="0.2">
      <c r="A1774">
        <v>1773</v>
      </c>
      <c r="B1774" s="1" t="s">
        <v>99</v>
      </c>
      <c r="C1774" t="s">
        <v>152</v>
      </c>
      <c r="D1774">
        <v>22</v>
      </c>
      <c r="E1774" t="s">
        <v>157</v>
      </c>
    </row>
    <row r="1775" spans="1:5" x14ac:dyDescent="0.2">
      <c r="A1775">
        <v>1774</v>
      </c>
      <c r="B1775" s="1" t="s">
        <v>99</v>
      </c>
      <c r="C1775" t="s">
        <v>151</v>
      </c>
      <c r="D1775">
        <v>46</v>
      </c>
      <c r="E1775" t="s">
        <v>157</v>
      </c>
    </row>
    <row r="1776" spans="1:5" x14ac:dyDescent="0.2">
      <c r="A1776">
        <v>1775</v>
      </c>
      <c r="B1776" s="1" t="s">
        <v>99</v>
      </c>
      <c r="C1776" t="s">
        <v>152</v>
      </c>
      <c r="D1776">
        <v>42</v>
      </c>
      <c r="E1776" t="s">
        <v>157</v>
      </c>
    </row>
    <row r="1777" spans="1:5" x14ac:dyDescent="0.2">
      <c r="A1777">
        <v>1776</v>
      </c>
      <c r="B1777" s="1" t="s">
        <v>99</v>
      </c>
      <c r="C1777" t="s">
        <v>152</v>
      </c>
      <c r="D1777">
        <v>77</v>
      </c>
      <c r="E1777" t="s">
        <v>157</v>
      </c>
    </row>
    <row r="1778" spans="1:5" x14ac:dyDescent="0.2">
      <c r="A1778">
        <v>1777</v>
      </c>
      <c r="B1778" s="1" t="s">
        <v>99</v>
      </c>
      <c r="C1778" t="s">
        <v>152</v>
      </c>
      <c r="D1778">
        <v>58</v>
      </c>
      <c r="E1778" t="s">
        <v>157</v>
      </c>
    </row>
    <row r="1779" spans="1:5" x14ac:dyDescent="0.2">
      <c r="A1779">
        <v>1778</v>
      </c>
      <c r="B1779" s="1" t="s">
        <v>99</v>
      </c>
      <c r="C1779" t="s">
        <v>151</v>
      </c>
      <c r="D1779">
        <v>20</v>
      </c>
      <c r="E1779" t="s">
        <v>157</v>
      </c>
    </row>
    <row r="1780" spans="1:5" x14ac:dyDescent="0.2">
      <c r="A1780">
        <v>1779</v>
      </c>
      <c r="B1780" s="1" t="s">
        <v>99</v>
      </c>
      <c r="C1780" t="s">
        <v>152</v>
      </c>
      <c r="D1780">
        <v>88</v>
      </c>
      <c r="E1780" t="s">
        <v>157</v>
      </c>
    </row>
    <row r="1781" spans="1:5" x14ac:dyDescent="0.2">
      <c r="A1781">
        <v>1780</v>
      </c>
      <c r="B1781" s="1" t="s">
        <v>106</v>
      </c>
      <c r="C1781" t="s">
        <v>152</v>
      </c>
      <c r="D1781">
        <v>49</v>
      </c>
      <c r="E1781" t="s">
        <v>157</v>
      </c>
    </row>
    <row r="1782" spans="1:5" x14ac:dyDescent="0.2">
      <c r="A1782">
        <v>1781</v>
      </c>
      <c r="B1782" s="1" t="s">
        <v>108</v>
      </c>
      <c r="C1782" t="s">
        <v>152</v>
      </c>
      <c r="D1782">
        <v>29</v>
      </c>
      <c r="E1782" t="s">
        <v>157</v>
      </c>
    </row>
    <row r="1783" spans="1:5" x14ac:dyDescent="0.2">
      <c r="A1783">
        <v>1782</v>
      </c>
      <c r="B1783" s="1" t="s">
        <v>105</v>
      </c>
      <c r="C1783" t="s">
        <v>151</v>
      </c>
      <c r="D1783">
        <v>50</v>
      </c>
      <c r="E1783" t="s">
        <v>157</v>
      </c>
    </row>
    <row r="1784" spans="1:5" x14ac:dyDescent="0.2">
      <c r="A1784">
        <v>1783</v>
      </c>
      <c r="B1784" s="1" t="s">
        <v>99</v>
      </c>
      <c r="C1784" t="s">
        <v>151</v>
      </c>
      <c r="D1784">
        <v>27</v>
      </c>
      <c r="E1784" t="s">
        <v>157</v>
      </c>
    </row>
    <row r="1785" spans="1:5" x14ac:dyDescent="0.2">
      <c r="A1785">
        <v>1784</v>
      </c>
      <c r="B1785" s="1" t="s">
        <v>99</v>
      </c>
      <c r="C1785" t="s">
        <v>151</v>
      </c>
      <c r="D1785">
        <v>57</v>
      </c>
      <c r="E1785" t="s">
        <v>157</v>
      </c>
    </row>
    <row r="1786" spans="1:5" x14ac:dyDescent="0.2">
      <c r="A1786">
        <v>1785</v>
      </c>
      <c r="B1786" s="1" t="s">
        <v>106</v>
      </c>
      <c r="C1786" t="s">
        <v>152</v>
      </c>
      <c r="D1786">
        <v>42</v>
      </c>
      <c r="E1786" t="s">
        <v>157</v>
      </c>
    </row>
    <row r="1787" spans="1:5" x14ac:dyDescent="0.2">
      <c r="A1787">
        <v>1786</v>
      </c>
      <c r="B1787" s="1" t="s">
        <v>106</v>
      </c>
      <c r="C1787" t="s">
        <v>152</v>
      </c>
      <c r="D1787">
        <v>78</v>
      </c>
      <c r="E1787" t="s">
        <v>157</v>
      </c>
    </row>
    <row r="1788" spans="1:5" x14ac:dyDescent="0.2">
      <c r="A1788">
        <v>1787</v>
      </c>
      <c r="B1788" s="1" t="s">
        <v>100</v>
      </c>
      <c r="C1788" t="s">
        <v>152</v>
      </c>
      <c r="D1788">
        <v>48</v>
      </c>
      <c r="E1788" t="s">
        <v>157</v>
      </c>
    </row>
    <row r="1789" spans="1:5" x14ac:dyDescent="0.2">
      <c r="A1789">
        <v>1788</v>
      </c>
      <c r="B1789" s="1" t="s">
        <v>100</v>
      </c>
      <c r="C1789" t="s">
        <v>152</v>
      </c>
      <c r="D1789">
        <v>82</v>
      </c>
      <c r="E1789" t="s">
        <v>157</v>
      </c>
    </row>
    <row r="1790" spans="1:5" x14ac:dyDescent="0.2">
      <c r="A1790">
        <v>1789</v>
      </c>
      <c r="B1790" s="1" t="s">
        <v>109</v>
      </c>
      <c r="C1790" t="s">
        <v>152</v>
      </c>
      <c r="D1790">
        <v>35</v>
      </c>
      <c r="E1790" t="s">
        <v>157</v>
      </c>
    </row>
    <row r="1791" spans="1:5" x14ac:dyDescent="0.2">
      <c r="A1791">
        <v>1790</v>
      </c>
      <c r="B1791" s="1" t="s">
        <v>99</v>
      </c>
      <c r="C1791" t="s">
        <v>151</v>
      </c>
      <c r="D1791">
        <v>85</v>
      </c>
      <c r="E1791" t="s">
        <v>157</v>
      </c>
    </row>
    <row r="1792" spans="1:5" x14ac:dyDescent="0.2">
      <c r="A1792">
        <v>1791</v>
      </c>
      <c r="B1792" s="1" t="s">
        <v>99</v>
      </c>
      <c r="C1792" t="s">
        <v>151</v>
      </c>
      <c r="D1792">
        <v>33</v>
      </c>
      <c r="E1792" t="s">
        <v>157</v>
      </c>
    </row>
    <row r="1793" spans="1:5" x14ac:dyDescent="0.2">
      <c r="A1793">
        <v>1792</v>
      </c>
      <c r="B1793" s="1" t="s">
        <v>108</v>
      </c>
      <c r="C1793" t="s">
        <v>151</v>
      </c>
      <c r="D1793">
        <v>59</v>
      </c>
      <c r="E1793" t="s">
        <v>157</v>
      </c>
    </row>
    <row r="1794" spans="1:5" x14ac:dyDescent="0.2">
      <c r="A1794">
        <v>1793</v>
      </c>
      <c r="B1794" s="1" t="s">
        <v>100</v>
      </c>
      <c r="C1794" t="s">
        <v>152</v>
      </c>
      <c r="D1794">
        <v>66</v>
      </c>
      <c r="E1794" t="s">
        <v>157</v>
      </c>
    </row>
    <row r="1795" spans="1:5" x14ac:dyDescent="0.2">
      <c r="A1795">
        <v>1794</v>
      </c>
      <c r="B1795" s="1" t="s">
        <v>101</v>
      </c>
      <c r="C1795" t="s">
        <v>151</v>
      </c>
      <c r="D1795">
        <v>41</v>
      </c>
      <c r="E1795" t="s">
        <v>157</v>
      </c>
    </row>
    <row r="1796" spans="1:5" x14ac:dyDescent="0.2">
      <c r="A1796">
        <v>1795</v>
      </c>
      <c r="B1796" s="1" t="s">
        <v>100</v>
      </c>
      <c r="C1796" t="s">
        <v>151</v>
      </c>
      <c r="D1796">
        <v>53</v>
      </c>
      <c r="E1796" t="s">
        <v>157</v>
      </c>
    </row>
    <row r="1797" spans="1:5" x14ac:dyDescent="0.2">
      <c r="A1797">
        <v>1796</v>
      </c>
      <c r="B1797" s="1" t="s">
        <v>108</v>
      </c>
      <c r="C1797" t="s">
        <v>152</v>
      </c>
      <c r="D1797">
        <v>86</v>
      </c>
      <c r="E1797" t="s">
        <v>157</v>
      </c>
    </row>
    <row r="1798" spans="1:5" x14ac:dyDescent="0.2">
      <c r="A1798">
        <v>1797</v>
      </c>
      <c r="B1798" s="1" t="s">
        <v>99</v>
      </c>
      <c r="C1798" t="s">
        <v>151</v>
      </c>
      <c r="D1798">
        <v>45</v>
      </c>
      <c r="E1798" t="s">
        <v>157</v>
      </c>
    </row>
    <row r="1799" spans="1:5" x14ac:dyDescent="0.2">
      <c r="A1799">
        <v>1798</v>
      </c>
      <c r="B1799" s="1" t="s">
        <v>99</v>
      </c>
      <c r="C1799" t="s">
        <v>151</v>
      </c>
      <c r="D1799">
        <v>31</v>
      </c>
      <c r="E1799" t="s">
        <v>157</v>
      </c>
    </row>
    <row r="1800" spans="1:5" x14ac:dyDescent="0.2">
      <c r="A1800">
        <v>1799</v>
      </c>
      <c r="B1800" s="1" t="s">
        <v>100</v>
      </c>
      <c r="C1800" t="s">
        <v>152</v>
      </c>
      <c r="D1800">
        <v>75</v>
      </c>
      <c r="E1800" t="s">
        <v>157</v>
      </c>
    </row>
    <row r="1801" spans="1:5" x14ac:dyDescent="0.2">
      <c r="A1801">
        <v>1800</v>
      </c>
      <c r="B1801" s="1" t="s">
        <v>101</v>
      </c>
      <c r="C1801" t="s">
        <v>151</v>
      </c>
      <c r="D1801">
        <v>63</v>
      </c>
      <c r="E1801" t="s">
        <v>157</v>
      </c>
    </row>
    <row r="1802" spans="1:5" x14ac:dyDescent="0.2">
      <c r="A1802">
        <v>1801</v>
      </c>
      <c r="B1802" s="1" t="s">
        <v>105</v>
      </c>
      <c r="C1802" t="s">
        <v>152</v>
      </c>
      <c r="D1802">
        <v>53</v>
      </c>
      <c r="E1802" t="s">
        <v>157</v>
      </c>
    </row>
    <row r="1803" spans="1:5" x14ac:dyDescent="0.2">
      <c r="A1803">
        <v>1802</v>
      </c>
      <c r="B1803" s="1" t="s">
        <v>100</v>
      </c>
      <c r="C1803" t="s">
        <v>152</v>
      </c>
      <c r="D1803">
        <v>61</v>
      </c>
      <c r="E1803" t="s">
        <v>157</v>
      </c>
    </row>
    <row r="1804" spans="1:5" x14ac:dyDescent="0.2">
      <c r="A1804">
        <v>1803</v>
      </c>
      <c r="B1804" s="1" t="s">
        <v>105</v>
      </c>
      <c r="C1804" t="s">
        <v>152</v>
      </c>
      <c r="D1804">
        <v>57</v>
      </c>
      <c r="E1804" t="s">
        <v>157</v>
      </c>
    </row>
    <row r="1805" spans="1:5" x14ac:dyDescent="0.2">
      <c r="A1805">
        <v>1804</v>
      </c>
      <c r="B1805" s="1" t="s">
        <v>101</v>
      </c>
      <c r="C1805" t="s">
        <v>152</v>
      </c>
      <c r="D1805">
        <v>81</v>
      </c>
      <c r="E1805" t="s">
        <v>157</v>
      </c>
    </row>
    <row r="1806" spans="1:5" x14ac:dyDescent="0.2">
      <c r="A1806">
        <v>1805</v>
      </c>
      <c r="B1806" s="1" t="s">
        <v>100</v>
      </c>
      <c r="C1806" t="s">
        <v>152</v>
      </c>
      <c r="D1806">
        <v>39</v>
      </c>
      <c r="E1806" t="s">
        <v>157</v>
      </c>
    </row>
    <row r="1807" spans="1:5" x14ac:dyDescent="0.2">
      <c r="A1807">
        <v>1806</v>
      </c>
      <c r="B1807" s="1" t="s">
        <v>99</v>
      </c>
      <c r="C1807" t="s">
        <v>151</v>
      </c>
      <c r="D1807">
        <v>35</v>
      </c>
      <c r="E1807" t="s">
        <v>157</v>
      </c>
    </row>
    <row r="1808" spans="1:5" x14ac:dyDescent="0.2">
      <c r="A1808">
        <v>1807</v>
      </c>
      <c r="B1808" s="1" t="s">
        <v>101</v>
      </c>
      <c r="C1808" t="s">
        <v>152</v>
      </c>
      <c r="D1808">
        <v>77</v>
      </c>
      <c r="E1808" t="s">
        <v>157</v>
      </c>
    </row>
    <row r="1809" spans="1:5" x14ac:dyDescent="0.2">
      <c r="A1809">
        <v>1808</v>
      </c>
      <c r="B1809" s="1" t="s">
        <v>107</v>
      </c>
      <c r="C1809" t="s">
        <v>152</v>
      </c>
      <c r="D1809">
        <v>28</v>
      </c>
      <c r="E1809" t="s">
        <v>157</v>
      </c>
    </row>
    <row r="1810" spans="1:5" x14ac:dyDescent="0.2">
      <c r="A1810">
        <v>1809</v>
      </c>
      <c r="B1810" s="1" t="s">
        <v>99</v>
      </c>
      <c r="C1810" t="s">
        <v>152</v>
      </c>
      <c r="D1810">
        <v>57</v>
      </c>
      <c r="E1810" t="s">
        <v>157</v>
      </c>
    </row>
    <row r="1811" spans="1:5" x14ac:dyDescent="0.2">
      <c r="A1811">
        <v>1810</v>
      </c>
      <c r="B1811" s="1" t="s">
        <v>99</v>
      </c>
      <c r="C1811" t="s">
        <v>151</v>
      </c>
      <c r="D1811">
        <v>86</v>
      </c>
      <c r="E1811" t="s">
        <v>157</v>
      </c>
    </row>
    <row r="1812" spans="1:5" x14ac:dyDescent="0.2">
      <c r="A1812">
        <v>1811</v>
      </c>
      <c r="B1812" s="1" t="s">
        <v>99</v>
      </c>
      <c r="C1812" t="s">
        <v>152</v>
      </c>
      <c r="D1812">
        <v>79</v>
      </c>
      <c r="E1812" t="s">
        <v>157</v>
      </c>
    </row>
    <row r="1813" spans="1:5" x14ac:dyDescent="0.2">
      <c r="A1813">
        <v>1812</v>
      </c>
      <c r="B1813" s="1" t="s">
        <v>105</v>
      </c>
      <c r="C1813" t="s">
        <v>151</v>
      </c>
      <c r="D1813">
        <v>49</v>
      </c>
      <c r="E1813" t="s">
        <v>157</v>
      </c>
    </row>
    <row r="1814" spans="1:5" x14ac:dyDescent="0.2">
      <c r="A1814">
        <v>1813</v>
      </c>
      <c r="B1814" s="1" t="s">
        <v>99</v>
      </c>
      <c r="C1814" t="s">
        <v>151</v>
      </c>
      <c r="D1814">
        <v>21</v>
      </c>
      <c r="E1814" t="s">
        <v>157</v>
      </c>
    </row>
    <row r="1815" spans="1:5" x14ac:dyDescent="0.2">
      <c r="A1815">
        <v>1814</v>
      </c>
      <c r="B1815" s="1" t="s">
        <v>99</v>
      </c>
      <c r="C1815" t="s">
        <v>151</v>
      </c>
      <c r="D1815">
        <v>86</v>
      </c>
      <c r="E1815" t="s">
        <v>157</v>
      </c>
    </row>
    <row r="1816" spans="1:5" x14ac:dyDescent="0.2">
      <c r="A1816">
        <v>1815</v>
      </c>
      <c r="B1816" s="1" t="s">
        <v>104</v>
      </c>
      <c r="C1816" t="s">
        <v>151</v>
      </c>
      <c r="D1816">
        <v>43</v>
      </c>
      <c r="E1816" t="s">
        <v>157</v>
      </c>
    </row>
    <row r="1817" spans="1:5" x14ac:dyDescent="0.2">
      <c r="A1817">
        <v>1816</v>
      </c>
      <c r="B1817" s="1" t="s">
        <v>105</v>
      </c>
      <c r="C1817" t="s">
        <v>151</v>
      </c>
      <c r="D1817">
        <v>75</v>
      </c>
      <c r="E1817" t="s">
        <v>157</v>
      </c>
    </row>
    <row r="1818" spans="1:5" x14ac:dyDescent="0.2">
      <c r="A1818">
        <v>1817</v>
      </c>
      <c r="B1818" s="1" t="s">
        <v>99</v>
      </c>
      <c r="C1818" t="s">
        <v>151</v>
      </c>
      <c r="D1818">
        <v>21</v>
      </c>
      <c r="E1818" t="s">
        <v>157</v>
      </c>
    </row>
    <row r="1819" spans="1:5" x14ac:dyDescent="0.2">
      <c r="A1819">
        <v>1818</v>
      </c>
      <c r="B1819" s="1" t="s">
        <v>99</v>
      </c>
      <c r="C1819" t="s">
        <v>151</v>
      </c>
      <c r="D1819">
        <v>20</v>
      </c>
      <c r="E1819" t="s">
        <v>157</v>
      </c>
    </row>
    <row r="1820" spans="1:5" x14ac:dyDescent="0.2">
      <c r="A1820">
        <v>1819</v>
      </c>
      <c r="B1820" s="1" t="s">
        <v>99</v>
      </c>
      <c r="C1820" t="s">
        <v>151</v>
      </c>
      <c r="D1820">
        <v>82</v>
      </c>
      <c r="E1820" t="s">
        <v>157</v>
      </c>
    </row>
    <row r="1821" spans="1:5" x14ac:dyDescent="0.2">
      <c r="A1821">
        <v>1820</v>
      </c>
      <c r="B1821" s="1" t="s">
        <v>99</v>
      </c>
      <c r="C1821" t="s">
        <v>151</v>
      </c>
      <c r="D1821">
        <v>71</v>
      </c>
      <c r="E1821" t="s">
        <v>157</v>
      </c>
    </row>
    <row r="1822" spans="1:5" x14ac:dyDescent="0.2">
      <c r="A1822">
        <v>1821</v>
      </c>
      <c r="B1822" s="1" t="s">
        <v>99</v>
      </c>
      <c r="C1822" t="s">
        <v>152</v>
      </c>
      <c r="D1822">
        <v>32</v>
      </c>
      <c r="E1822" t="s">
        <v>157</v>
      </c>
    </row>
    <row r="1823" spans="1:5" x14ac:dyDescent="0.2">
      <c r="A1823">
        <v>1822</v>
      </c>
      <c r="B1823" s="1" t="s">
        <v>99</v>
      </c>
      <c r="C1823" t="s">
        <v>151</v>
      </c>
      <c r="D1823">
        <v>56</v>
      </c>
      <c r="E1823" t="s">
        <v>157</v>
      </c>
    </row>
    <row r="1824" spans="1:5" x14ac:dyDescent="0.2">
      <c r="A1824">
        <v>1823</v>
      </c>
      <c r="B1824" s="1" t="s">
        <v>105</v>
      </c>
      <c r="C1824" t="s">
        <v>151</v>
      </c>
      <c r="D1824">
        <v>18</v>
      </c>
      <c r="E1824" t="s">
        <v>157</v>
      </c>
    </row>
    <row r="1825" spans="1:5" x14ac:dyDescent="0.2">
      <c r="A1825">
        <v>1824</v>
      </c>
      <c r="B1825" s="1" t="s">
        <v>99</v>
      </c>
      <c r="C1825" t="s">
        <v>152</v>
      </c>
      <c r="D1825">
        <v>35</v>
      </c>
      <c r="E1825" t="s">
        <v>157</v>
      </c>
    </row>
    <row r="1826" spans="1:5" x14ac:dyDescent="0.2">
      <c r="A1826">
        <v>1825</v>
      </c>
      <c r="B1826" s="1" t="s">
        <v>101</v>
      </c>
      <c r="C1826" t="s">
        <v>152</v>
      </c>
      <c r="D1826">
        <v>22</v>
      </c>
      <c r="E1826" t="s">
        <v>157</v>
      </c>
    </row>
    <row r="1827" spans="1:5" x14ac:dyDescent="0.2">
      <c r="A1827">
        <v>1826</v>
      </c>
      <c r="B1827" s="1" t="s">
        <v>107</v>
      </c>
      <c r="C1827" t="s">
        <v>151</v>
      </c>
      <c r="D1827">
        <v>21</v>
      </c>
      <c r="E1827" t="s">
        <v>157</v>
      </c>
    </row>
    <row r="1828" spans="1:5" x14ac:dyDescent="0.2">
      <c r="A1828">
        <v>1827</v>
      </c>
      <c r="B1828" s="1" t="s">
        <v>99</v>
      </c>
      <c r="C1828" t="s">
        <v>151</v>
      </c>
      <c r="D1828">
        <v>61</v>
      </c>
      <c r="E1828" t="s">
        <v>157</v>
      </c>
    </row>
    <row r="1829" spans="1:5" x14ac:dyDescent="0.2">
      <c r="A1829">
        <v>1828</v>
      </c>
      <c r="B1829" s="1" t="s">
        <v>102</v>
      </c>
      <c r="C1829" t="s">
        <v>152</v>
      </c>
      <c r="D1829">
        <v>51</v>
      </c>
      <c r="E1829" t="s">
        <v>157</v>
      </c>
    </row>
    <row r="1830" spans="1:5" x14ac:dyDescent="0.2">
      <c r="A1830">
        <v>1829</v>
      </c>
      <c r="B1830" s="1" t="s">
        <v>101</v>
      </c>
      <c r="C1830" t="s">
        <v>151</v>
      </c>
      <c r="D1830">
        <v>82</v>
      </c>
      <c r="E1830" t="s">
        <v>157</v>
      </c>
    </row>
    <row r="1831" spans="1:5" x14ac:dyDescent="0.2">
      <c r="A1831">
        <v>1830</v>
      </c>
      <c r="B1831" s="1" t="s">
        <v>101</v>
      </c>
      <c r="C1831" t="s">
        <v>152</v>
      </c>
      <c r="D1831">
        <v>44</v>
      </c>
      <c r="E1831" t="s">
        <v>157</v>
      </c>
    </row>
    <row r="1832" spans="1:5" x14ac:dyDescent="0.2">
      <c r="A1832">
        <v>1831</v>
      </c>
      <c r="B1832" s="1" t="s">
        <v>99</v>
      </c>
      <c r="C1832" t="s">
        <v>151</v>
      </c>
      <c r="D1832">
        <v>48</v>
      </c>
      <c r="E1832" t="s">
        <v>157</v>
      </c>
    </row>
    <row r="1833" spans="1:5" x14ac:dyDescent="0.2">
      <c r="A1833">
        <v>1832</v>
      </c>
      <c r="B1833" s="1" t="s">
        <v>99</v>
      </c>
      <c r="C1833" t="s">
        <v>152</v>
      </c>
      <c r="D1833">
        <v>82</v>
      </c>
      <c r="E1833" t="s">
        <v>157</v>
      </c>
    </row>
    <row r="1834" spans="1:5" x14ac:dyDescent="0.2">
      <c r="A1834">
        <v>1833</v>
      </c>
      <c r="B1834" s="1" t="s">
        <v>106</v>
      </c>
      <c r="C1834" t="s">
        <v>152</v>
      </c>
      <c r="D1834">
        <v>29</v>
      </c>
      <c r="E1834" t="s">
        <v>157</v>
      </c>
    </row>
    <row r="1835" spans="1:5" x14ac:dyDescent="0.2">
      <c r="A1835">
        <v>1834</v>
      </c>
      <c r="B1835" s="1" t="s">
        <v>101</v>
      </c>
      <c r="C1835" t="s">
        <v>151</v>
      </c>
      <c r="D1835">
        <v>60</v>
      </c>
      <c r="E1835" t="s">
        <v>157</v>
      </c>
    </row>
    <row r="1836" spans="1:5" x14ac:dyDescent="0.2">
      <c r="A1836">
        <v>1835</v>
      </c>
      <c r="B1836" s="1" t="s">
        <v>102</v>
      </c>
      <c r="C1836" t="s">
        <v>151</v>
      </c>
      <c r="D1836">
        <v>43</v>
      </c>
      <c r="E1836" t="s">
        <v>157</v>
      </c>
    </row>
    <row r="1837" spans="1:5" x14ac:dyDescent="0.2">
      <c r="A1837">
        <v>1836</v>
      </c>
      <c r="B1837" s="1" t="s">
        <v>100</v>
      </c>
      <c r="C1837" t="s">
        <v>151</v>
      </c>
      <c r="D1837">
        <v>36</v>
      </c>
      <c r="E1837" t="s">
        <v>157</v>
      </c>
    </row>
    <row r="1838" spans="1:5" x14ac:dyDescent="0.2">
      <c r="A1838">
        <v>1837</v>
      </c>
      <c r="B1838" s="1" t="s">
        <v>110</v>
      </c>
      <c r="C1838" t="s">
        <v>152</v>
      </c>
      <c r="D1838">
        <v>87</v>
      </c>
      <c r="E1838" t="s">
        <v>157</v>
      </c>
    </row>
    <row r="1839" spans="1:5" x14ac:dyDescent="0.2">
      <c r="A1839">
        <v>1838</v>
      </c>
      <c r="B1839" s="1" t="s">
        <v>99</v>
      </c>
      <c r="C1839" t="s">
        <v>152</v>
      </c>
      <c r="D1839">
        <v>48</v>
      </c>
      <c r="E1839" t="s">
        <v>157</v>
      </c>
    </row>
    <row r="1840" spans="1:5" x14ac:dyDescent="0.2">
      <c r="A1840">
        <v>1839</v>
      </c>
      <c r="B1840" s="1" t="s">
        <v>109</v>
      </c>
      <c r="C1840" t="s">
        <v>152</v>
      </c>
      <c r="D1840">
        <v>33</v>
      </c>
      <c r="E1840" t="s">
        <v>157</v>
      </c>
    </row>
    <row r="1841" spans="1:5" x14ac:dyDescent="0.2">
      <c r="A1841">
        <v>1840</v>
      </c>
      <c r="B1841" s="1" t="s">
        <v>99</v>
      </c>
      <c r="C1841" t="s">
        <v>151</v>
      </c>
      <c r="D1841">
        <v>83</v>
      </c>
      <c r="E1841" t="s">
        <v>157</v>
      </c>
    </row>
    <row r="1842" spans="1:5" x14ac:dyDescent="0.2">
      <c r="A1842">
        <v>1841</v>
      </c>
      <c r="B1842" s="1" t="s">
        <v>106</v>
      </c>
      <c r="C1842" t="s">
        <v>151</v>
      </c>
      <c r="D1842">
        <v>82</v>
      </c>
      <c r="E1842" t="s">
        <v>157</v>
      </c>
    </row>
    <row r="1843" spans="1:5" x14ac:dyDescent="0.2">
      <c r="A1843">
        <v>1842</v>
      </c>
      <c r="B1843" s="1" t="s">
        <v>106</v>
      </c>
      <c r="C1843" t="s">
        <v>151</v>
      </c>
      <c r="D1843">
        <v>61</v>
      </c>
      <c r="E1843" t="s">
        <v>157</v>
      </c>
    </row>
    <row r="1844" spans="1:5" x14ac:dyDescent="0.2">
      <c r="A1844">
        <v>1843</v>
      </c>
      <c r="B1844" s="1" t="s">
        <v>99</v>
      </c>
      <c r="C1844" t="s">
        <v>152</v>
      </c>
      <c r="D1844">
        <v>20</v>
      </c>
      <c r="E1844" t="s">
        <v>157</v>
      </c>
    </row>
    <row r="1845" spans="1:5" x14ac:dyDescent="0.2">
      <c r="A1845">
        <v>1844</v>
      </c>
      <c r="B1845" s="1" t="s">
        <v>106</v>
      </c>
      <c r="C1845" t="s">
        <v>152</v>
      </c>
      <c r="D1845">
        <v>88</v>
      </c>
      <c r="E1845" t="s">
        <v>157</v>
      </c>
    </row>
    <row r="1846" spans="1:5" x14ac:dyDescent="0.2">
      <c r="A1846">
        <v>1845</v>
      </c>
      <c r="B1846" s="1" t="s">
        <v>102</v>
      </c>
      <c r="C1846" t="s">
        <v>152</v>
      </c>
      <c r="D1846">
        <v>83</v>
      </c>
      <c r="E1846" t="s">
        <v>157</v>
      </c>
    </row>
    <row r="1847" spans="1:5" x14ac:dyDescent="0.2">
      <c r="A1847">
        <v>1846</v>
      </c>
      <c r="B1847" s="1" t="s">
        <v>101</v>
      </c>
      <c r="C1847" t="s">
        <v>151</v>
      </c>
      <c r="D1847">
        <v>41</v>
      </c>
      <c r="E1847" t="s">
        <v>157</v>
      </c>
    </row>
    <row r="1848" spans="1:5" x14ac:dyDescent="0.2">
      <c r="A1848">
        <v>1847</v>
      </c>
      <c r="B1848" s="1" t="s">
        <v>100</v>
      </c>
      <c r="C1848" t="s">
        <v>151</v>
      </c>
      <c r="D1848">
        <v>33</v>
      </c>
      <c r="E1848" t="s">
        <v>157</v>
      </c>
    </row>
    <row r="1849" spans="1:5" x14ac:dyDescent="0.2">
      <c r="A1849">
        <v>1848</v>
      </c>
      <c r="B1849" s="1" t="s">
        <v>99</v>
      </c>
      <c r="C1849" t="s">
        <v>151</v>
      </c>
      <c r="D1849">
        <v>63</v>
      </c>
      <c r="E1849" t="s">
        <v>157</v>
      </c>
    </row>
    <row r="1850" spans="1:5" x14ac:dyDescent="0.2">
      <c r="A1850">
        <v>1849</v>
      </c>
      <c r="B1850" s="1" t="s">
        <v>108</v>
      </c>
      <c r="C1850" t="s">
        <v>151</v>
      </c>
      <c r="D1850">
        <v>35</v>
      </c>
      <c r="E1850" t="s">
        <v>157</v>
      </c>
    </row>
    <row r="1851" spans="1:5" x14ac:dyDescent="0.2">
      <c r="A1851">
        <v>1850</v>
      </c>
      <c r="B1851" s="1" t="s">
        <v>109</v>
      </c>
      <c r="C1851" t="s">
        <v>151</v>
      </c>
      <c r="D1851">
        <v>60</v>
      </c>
      <c r="E1851" t="s">
        <v>157</v>
      </c>
    </row>
    <row r="1852" spans="1:5" x14ac:dyDescent="0.2">
      <c r="A1852">
        <v>1851</v>
      </c>
      <c r="B1852" s="1" t="s">
        <v>105</v>
      </c>
      <c r="C1852" t="s">
        <v>152</v>
      </c>
      <c r="D1852">
        <v>76</v>
      </c>
      <c r="E1852" t="s">
        <v>157</v>
      </c>
    </row>
    <row r="1853" spans="1:5" x14ac:dyDescent="0.2">
      <c r="A1853">
        <v>1852</v>
      </c>
      <c r="B1853" s="1" t="s">
        <v>107</v>
      </c>
      <c r="C1853" t="s">
        <v>151</v>
      </c>
      <c r="D1853">
        <v>87</v>
      </c>
      <c r="E1853" t="s">
        <v>157</v>
      </c>
    </row>
    <row r="1854" spans="1:5" x14ac:dyDescent="0.2">
      <c r="A1854">
        <v>1853</v>
      </c>
      <c r="B1854" s="1" t="s">
        <v>100</v>
      </c>
      <c r="C1854" t="s">
        <v>151</v>
      </c>
      <c r="D1854">
        <v>65</v>
      </c>
      <c r="E1854" t="s">
        <v>157</v>
      </c>
    </row>
    <row r="1855" spans="1:5" x14ac:dyDescent="0.2">
      <c r="A1855">
        <v>1854</v>
      </c>
      <c r="B1855" s="1" t="s">
        <v>99</v>
      </c>
      <c r="C1855" t="s">
        <v>152</v>
      </c>
      <c r="D1855">
        <v>87</v>
      </c>
      <c r="E1855" t="s">
        <v>157</v>
      </c>
    </row>
    <row r="1856" spans="1:5" x14ac:dyDescent="0.2">
      <c r="A1856">
        <v>1855</v>
      </c>
      <c r="B1856" s="1" t="s">
        <v>108</v>
      </c>
      <c r="C1856" t="s">
        <v>152</v>
      </c>
      <c r="D1856">
        <v>44</v>
      </c>
      <c r="E1856" t="s">
        <v>157</v>
      </c>
    </row>
    <row r="1857" spans="1:5" x14ac:dyDescent="0.2">
      <c r="A1857">
        <v>1856</v>
      </c>
      <c r="B1857" s="1" t="s">
        <v>99</v>
      </c>
      <c r="C1857" t="s">
        <v>152</v>
      </c>
      <c r="D1857">
        <v>78</v>
      </c>
      <c r="E1857" t="s">
        <v>157</v>
      </c>
    </row>
    <row r="1858" spans="1:5" x14ac:dyDescent="0.2">
      <c r="A1858">
        <v>1857</v>
      </c>
      <c r="B1858" s="1" t="s">
        <v>100</v>
      </c>
      <c r="C1858" t="s">
        <v>152</v>
      </c>
      <c r="D1858">
        <v>75</v>
      </c>
      <c r="E1858" t="s">
        <v>157</v>
      </c>
    </row>
    <row r="1859" spans="1:5" x14ac:dyDescent="0.2">
      <c r="A1859">
        <v>1858</v>
      </c>
      <c r="B1859" s="1" t="s">
        <v>99</v>
      </c>
      <c r="C1859" t="s">
        <v>152</v>
      </c>
      <c r="D1859">
        <v>59</v>
      </c>
      <c r="E1859" t="s">
        <v>157</v>
      </c>
    </row>
    <row r="1860" spans="1:5" x14ac:dyDescent="0.2">
      <c r="A1860">
        <v>1859</v>
      </c>
      <c r="B1860" s="1" t="s">
        <v>105</v>
      </c>
      <c r="C1860" t="s">
        <v>152</v>
      </c>
      <c r="D1860">
        <v>64</v>
      </c>
      <c r="E1860" t="s">
        <v>157</v>
      </c>
    </row>
    <row r="1861" spans="1:5" x14ac:dyDescent="0.2">
      <c r="A1861">
        <v>1860</v>
      </c>
      <c r="B1861" s="1" t="s">
        <v>105</v>
      </c>
      <c r="C1861" t="s">
        <v>152</v>
      </c>
      <c r="D1861">
        <v>61</v>
      </c>
      <c r="E1861" t="s">
        <v>157</v>
      </c>
    </row>
    <row r="1862" spans="1:5" x14ac:dyDescent="0.2">
      <c r="A1862">
        <v>1861</v>
      </c>
      <c r="B1862" s="1" t="s">
        <v>99</v>
      </c>
      <c r="C1862" t="s">
        <v>151</v>
      </c>
      <c r="D1862">
        <v>84</v>
      </c>
      <c r="E1862" t="s">
        <v>157</v>
      </c>
    </row>
    <row r="1863" spans="1:5" x14ac:dyDescent="0.2">
      <c r="A1863">
        <v>1862</v>
      </c>
      <c r="B1863" s="1" t="s">
        <v>101</v>
      </c>
      <c r="C1863" t="s">
        <v>152</v>
      </c>
      <c r="D1863">
        <v>70</v>
      </c>
      <c r="E1863" t="s">
        <v>157</v>
      </c>
    </row>
    <row r="1864" spans="1:5" x14ac:dyDescent="0.2">
      <c r="A1864">
        <v>1863</v>
      </c>
      <c r="B1864" s="1" t="s">
        <v>105</v>
      </c>
      <c r="C1864" t="s">
        <v>152</v>
      </c>
      <c r="D1864">
        <v>21</v>
      </c>
      <c r="E1864" t="s">
        <v>157</v>
      </c>
    </row>
    <row r="1865" spans="1:5" x14ac:dyDescent="0.2">
      <c r="A1865">
        <v>1864</v>
      </c>
      <c r="B1865" s="1" t="s">
        <v>101</v>
      </c>
      <c r="C1865" t="s">
        <v>152</v>
      </c>
      <c r="D1865">
        <v>83</v>
      </c>
      <c r="E1865" t="s">
        <v>157</v>
      </c>
    </row>
    <row r="1866" spans="1:5" x14ac:dyDescent="0.2">
      <c r="A1866">
        <v>1865</v>
      </c>
      <c r="B1866" s="1" t="s">
        <v>100</v>
      </c>
      <c r="C1866" t="s">
        <v>151</v>
      </c>
      <c r="D1866">
        <v>90</v>
      </c>
      <c r="E1866" t="s">
        <v>157</v>
      </c>
    </row>
    <row r="1867" spans="1:5" x14ac:dyDescent="0.2">
      <c r="A1867">
        <v>1866</v>
      </c>
      <c r="B1867" s="1" t="s">
        <v>105</v>
      </c>
      <c r="C1867" t="s">
        <v>151</v>
      </c>
      <c r="D1867">
        <v>53</v>
      </c>
      <c r="E1867" t="s">
        <v>157</v>
      </c>
    </row>
    <row r="1868" spans="1:5" x14ac:dyDescent="0.2">
      <c r="A1868">
        <v>1867</v>
      </c>
      <c r="B1868" s="1" t="s">
        <v>99</v>
      </c>
      <c r="C1868" t="s">
        <v>151</v>
      </c>
      <c r="D1868">
        <v>57</v>
      </c>
      <c r="E1868" t="s">
        <v>157</v>
      </c>
    </row>
    <row r="1869" spans="1:5" x14ac:dyDescent="0.2">
      <c r="A1869">
        <v>1868</v>
      </c>
      <c r="B1869" s="1" t="s">
        <v>100</v>
      </c>
      <c r="C1869" t="s">
        <v>151</v>
      </c>
      <c r="D1869">
        <v>49</v>
      </c>
      <c r="E1869" t="s">
        <v>157</v>
      </c>
    </row>
    <row r="1870" spans="1:5" x14ac:dyDescent="0.2">
      <c r="A1870">
        <v>1869</v>
      </c>
      <c r="B1870" s="1" t="s">
        <v>106</v>
      </c>
      <c r="C1870" t="s">
        <v>152</v>
      </c>
      <c r="D1870">
        <v>60</v>
      </c>
      <c r="E1870" t="s">
        <v>157</v>
      </c>
    </row>
    <row r="1871" spans="1:5" x14ac:dyDescent="0.2">
      <c r="A1871">
        <v>1870</v>
      </c>
      <c r="B1871" s="1" t="s">
        <v>99</v>
      </c>
      <c r="C1871" t="s">
        <v>152</v>
      </c>
      <c r="D1871">
        <v>39</v>
      </c>
      <c r="E1871" t="s">
        <v>157</v>
      </c>
    </row>
    <row r="1872" spans="1:5" x14ac:dyDescent="0.2">
      <c r="A1872">
        <v>1871</v>
      </c>
      <c r="B1872" s="1" t="s">
        <v>107</v>
      </c>
      <c r="C1872" t="s">
        <v>152</v>
      </c>
      <c r="D1872">
        <v>49</v>
      </c>
      <c r="E1872" t="s">
        <v>157</v>
      </c>
    </row>
    <row r="1873" spans="1:5" x14ac:dyDescent="0.2">
      <c r="A1873">
        <v>1872</v>
      </c>
      <c r="B1873" s="1" t="s">
        <v>100</v>
      </c>
      <c r="C1873" t="s">
        <v>152</v>
      </c>
      <c r="D1873">
        <v>34</v>
      </c>
      <c r="E1873" t="s">
        <v>157</v>
      </c>
    </row>
    <row r="1874" spans="1:5" x14ac:dyDescent="0.2">
      <c r="A1874">
        <v>1873</v>
      </c>
      <c r="B1874" s="1" t="s">
        <v>101</v>
      </c>
      <c r="C1874" t="s">
        <v>152</v>
      </c>
      <c r="D1874">
        <v>20</v>
      </c>
      <c r="E1874" t="s">
        <v>157</v>
      </c>
    </row>
    <row r="1875" spans="1:5" x14ac:dyDescent="0.2">
      <c r="A1875">
        <v>1874</v>
      </c>
      <c r="B1875" s="1" t="s">
        <v>99</v>
      </c>
      <c r="C1875" t="s">
        <v>151</v>
      </c>
      <c r="D1875">
        <v>51</v>
      </c>
      <c r="E1875" t="s">
        <v>157</v>
      </c>
    </row>
    <row r="1876" spans="1:5" x14ac:dyDescent="0.2">
      <c r="A1876">
        <v>1875</v>
      </c>
      <c r="B1876" s="1" t="s">
        <v>100</v>
      </c>
      <c r="C1876" t="s">
        <v>152</v>
      </c>
      <c r="D1876">
        <v>62</v>
      </c>
      <c r="E1876" t="s">
        <v>157</v>
      </c>
    </row>
    <row r="1877" spans="1:5" x14ac:dyDescent="0.2">
      <c r="A1877">
        <v>1876</v>
      </c>
      <c r="B1877" s="1" t="s">
        <v>103</v>
      </c>
      <c r="C1877" t="s">
        <v>151</v>
      </c>
      <c r="D1877">
        <v>27</v>
      </c>
      <c r="E1877" t="s">
        <v>157</v>
      </c>
    </row>
    <row r="1878" spans="1:5" x14ac:dyDescent="0.2">
      <c r="A1878">
        <v>1877</v>
      </c>
      <c r="B1878" s="1" t="s">
        <v>105</v>
      </c>
      <c r="C1878" t="s">
        <v>151</v>
      </c>
      <c r="D1878">
        <v>22</v>
      </c>
      <c r="E1878" t="s">
        <v>157</v>
      </c>
    </row>
    <row r="1879" spans="1:5" x14ac:dyDescent="0.2">
      <c r="A1879">
        <v>1878</v>
      </c>
      <c r="B1879" s="1" t="s">
        <v>105</v>
      </c>
      <c r="C1879" t="s">
        <v>151</v>
      </c>
      <c r="D1879">
        <v>24</v>
      </c>
      <c r="E1879" t="s">
        <v>157</v>
      </c>
    </row>
    <row r="1880" spans="1:5" x14ac:dyDescent="0.2">
      <c r="A1880">
        <v>1879</v>
      </c>
      <c r="B1880" s="1" t="s">
        <v>99</v>
      </c>
      <c r="C1880" t="s">
        <v>151</v>
      </c>
      <c r="D1880">
        <v>76</v>
      </c>
      <c r="E1880" t="s">
        <v>157</v>
      </c>
    </row>
    <row r="1881" spans="1:5" x14ac:dyDescent="0.2">
      <c r="A1881">
        <v>1880</v>
      </c>
      <c r="B1881" s="1" t="s">
        <v>105</v>
      </c>
      <c r="C1881" t="s">
        <v>152</v>
      </c>
      <c r="D1881">
        <v>73</v>
      </c>
      <c r="E1881" t="s">
        <v>157</v>
      </c>
    </row>
    <row r="1882" spans="1:5" x14ac:dyDescent="0.2">
      <c r="A1882">
        <v>1881</v>
      </c>
      <c r="B1882" s="1" t="s">
        <v>100</v>
      </c>
      <c r="C1882" t="s">
        <v>152</v>
      </c>
      <c r="D1882">
        <v>83</v>
      </c>
      <c r="E1882" t="s">
        <v>157</v>
      </c>
    </row>
    <row r="1883" spans="1:5" x14ac:dyDescent="0.2">
      <c r="A1883">
        <v>1882</v>
      </c>
      <c r="B1883" s="1" t="s">
        <v>99</v>
      </c>
      <c r="C1883" t="s">
        <v>151</v>
      </c>
      <c r="D1883">
        <v>18</v>
      </c>
      <c r="E1883" t="s">
        <v>157</v>
      </c>
    </row>
    <row r="1884" spans="1:5" x14ac:dyDescent="0.2">
      <c r="A1884">
        <v>1883</v>
      </c>
      <c r="B1884" s="1" t="s">
        <v>99</v>
      </c>
      <c r="C1884" t="s">
        <v>151</v>
      </c>
      <c r="D1884">
        <v>20</v>
      </c>
      <c r="E1884" t="s">
        <v>157</v>
      </c>
    </row>
    <row r="1885" spans="1:5" x14ac:dyDescent="0.2">
      <c r="A1885">
        <v>1884</v>
      </c>
      <c r="B1885" s="1" t="s">
        <v>99</v>
      </c>
      <c r="C1885" t="s">
        <v>152</v>
      </c>
      <c r="D1885">
        <v>31</v>
      </c>
      <c r="E1885" t="s">
        <v>157</v>
      </c>
    </row>
    <row r="1886" spans="1:5" x14ac:dyDescent="0.2">
      <c r="A1886">
        <v>1885</v>
      </c>
      <c r="B1886" s="1" t="s">
        <v>104</v>
      </c>
      <c r="C1886" t="s">
        <v>152</v>
      </c>
      <c r="D1886">
        <v>27</v>
      </c>
      <c r="E1886" t="s">
        <v>157</v>
      </c>
    </row>
    <row r="1887" spans="1:5" x14ac:dyDescent="0.2">
      <c r="A1887">
        <v>1886</v>
      </c>
      <c r="B1887" s="1" t="s">
        <v>101</v>
      </c>
      <c r="C1887" t="s">
        <v>152</v>
      </c>
      <c r="D1887">
        <v>28</v>
      </c>
      <c r="E1887" t="s">
        <v>157</v>
      </c>
    </row>
    <row r="1888" spans="1:5" x14ac:dyDescent="0.2">
      <c r="A1888">
        <v>1887</v>
      </c>
      <c r="B1888" s="1" t="s">
        <v>105</v>
      </c>
      <c r="C1888" t="s">
        <v>151</v>
      </c>
      <c r="D1888">
        <v>89</v>
      </c>
      <c r="E1888" t="s">
        <v>157</v>
      </c>
    </row>
    <row r="1889" spans="1:5" x14ac:dyDescent="0.2">
      <c r="A1889">
        <v>1888</v>
      </c>
      <c r="B1889" s="1" t="s">
        <v>101</v>
      </c>
      <c r="C1889" t="s">
        <v>151</v>
      </c>
      <c r="D1889">
        <v>71</v>
      </c>
      <c r="E1889" t="s">
        <v>157</v>
      </c>
    </row>
    <row r="1890" spans="1:5" x14ac:dyDescent="0.2">
      <c r="A1890">
        <v>1889</v>
      </c>
      <c r="B1890" s="1" t="s">
        <v>106</v>
      </c>
      <c r="C1890" t="s">
        <v>151</v>
      </c>
      <c r="D1890">
        <v>42</v>
      </c>
      <c r="E1890" t="s">
        <v>157</v>
      </c>
    </row>
    <row r="1891" spans="1:5" x14ac:dyDescent="0.2">
      <c r="A1891">
        <v>1890</v>
      </c>
      <c r="B1891" s="1" t="s">
        <v>99</v>
      </c>
      <c r="C1891" t="s">
        <v>151</v>
      </c>
      <c r="D1891">
        <v>87</v>
      </c>
      <c r="E1891" t="s">
        <v>157</v>
      </c>
    </row>
    <row r="1892" spans="1:5" x14ac:dyDescent="0.2">
      <c r="A1892">
        <v>1891</v>
      </c>
      <c r="B1892" s="1" t="s">
        <v>106</v>
      </c>
      <c r="C1892" t="s">
        <v>151</v>
      </c>
      <c r="D1892">
        <v>54</v>
      </c>
      <c r="E1892" t="s">
        <v>157</v>
      </c>
    </row>
    <row r="1893" spans="1:5" x14ac:dyDescent="0.2">
      <c r="A1893">
        <v>1892</v>
      </c>
      <c r="B1893" s="1" t="s">
        <v>99</v>
      </c>
      <c r="C1893" t="s">
        <v>151</v>
      </c>
      <c r="D1893">
        <v>64</v>
      </c>
      <c r="E1893" t="s">
        <v>157</v>
      </c>
    </row>
    <row r="1894" spans="1:5" x14ac:dyDescent="0.2">
      <c r="A1894">
        <v>1893</v>
      </c>
      <c r="B1894" s="1" t="s">
        <v>101</v>
      </c>
      <c r="C1894" t="s">
        <v>151</v>
      </c>
      <c r="D1894">
        <v>47</v>
      </c>
      <c r="E1894" t="s">
        <v>157</v>
      </c>
    </row>
    <row r="1895" spans="1:5" x14ac:dyDescent="0.2">
      <c r="A1895">
        <v>1894</v>
      </c>
      <c r="B1895" s="1" t="s">
        <v>105</v>
      </c>
      <c r="C1895" t="s">
        <v>151</v>
      </c>
      <c r="D1895">
        <v>69</v>
      </c>
      <c r="E1895" t="s">
        <v>157</v>
      </c>
    </row>
    <row r="1896" spans="1:5" x14ac:dyDescent="0.2">
      <c r="A1896">
        <v>1895</v>
      </c>
      <c r="B1896" s="1" t="s">
        <v>100</v>
      </c>
      <c r="C1896" t="s">
        <v>151</v>
      </c>
      <c r="D1896">
        <v>58</v>
      </c>
      <c r="E1896" t="s">
        <v>157</v>
      </c>
    </row>
    <row r="1897" spans="1:5" x14ac:dyDescent="0.2">
      <c r="A1897">
        <v>1896</v>
      </c>
      <c r="B1897" s="1" t="s">
        <v>100</v>
      </c>
      <c r="C1897" t="s">
        <v>152</v>
      </c>
      <c r="D1897">
        <v>22</v>
      </c>
      <c r="E1897" t="s">
        <v>157</v>
      </c>
    </row>
    <row r="1898" spans="1:5" x14ac:dyDescent="0.2">
      <c r="A1898">
        <v>1897</v>
      </c>
      <c r="B1898" s="1" t="s">
        <v>99</v>
      </c>
      <c r="C1898" t="s">
        <v>152</v>
      </c>
      <c r="D1898">
        <v>28</v>
      </c>
      <c r="E1898" t="s">
        <v>157</v>
      </c>
    </row>
    <row r="1899" spans="1:5" x14ac:dyDescent="0.2">
      <c r="A1899">
        <v>1898</v>
      </c>
      <c r="B1899" s="1" t="s">
        <v>101</v>
      </c>
      <c r="C1899" t="s">
        <v>151</v>
      </c>
      <c r="D1899">
        <v>74</v>
      </c>
      <c r="E1899" t="s">
        <v>157</v>
      </c>
    </row>
    <row r="1900" spans="1:5" x14ac:dyDescent="0.2">
      <c r="A1900">
        <v>1899</v>
      </c>
      <c r="B1900" s="1" t="s">
        <v>99</v>
      </c>
      <c r="C1900" t="s">
        <v>152</v>
      </c>
      <c r="D1900">
        <v>63</v>
      </c>
      <c r="E1900" t="s">
        <v>157</v>
      </c>
    </row>
    <row r="1901" spans="1:5" x14ac:dyDescent="0.2">
      <c r="A1901">
        <v>1900</v>
      </c>
      <c r="B1901" s="1" t="s">
        <v>106</v>
      </c>
      <c r="C1901" t="s">
        <v>152</v>
      </c>
      <c r="D1901">
        <v>28</v>
      </c>
      <c r="E1901" t="s">
        <v>157</v>
      </c>
    </row>
    <row r="1902" spans="1:5" x14ac:dyDescent="0.2">
      <c r="A1902">
        <v>1901</v>
      </c>
      <c r="B1902" s="1" t="s">
        <v>99</v>
      </c>
      <c r="C1902" t="s">
        <v>152</v>
      </c>
      <c r="D1902">
        <v>34</v>
      </c>
      <c r="E1902" t="s">
        <v>157</v>
      </c>
    </row>
    <row r="1903" spans="1:5" x14ac:dyDescent="0.2">
      <c r="A1903">
        <v>1902</v>
      </c>
      <c r="B1903" s="1" t="s">
        <v>104</v>
      </c>
      <c r="C1903" t="s">
        <v>152</v>
      </c>
      <c r="D1903">
        <v>46</v>
      </c>
      <c r="E1903" t="s">
        <v>157</v>
      </c>
    </row>
    <row r="1904" spans="1:5" x14ac:dyDescent="0.2">
      <c r="A1904">
        <v>1903</v>
      </c>
      <c r="B1904" s="1" t="s">
        <v>101</v>
      </c>
      <c r="C1904" t="s">
        <v>151</v>
      </c>
      <c r="D1904">
        <v>71</v>
      </c>
      <c r="E1904" t="s">
        <v>157</v>
      </c>
    </row>
    <row r="1905" spans="1:5" x14ac:dyDescent="0.2">
      <c r="A1905">
        <v>1904</v>
      </c>
      <c r="B1905" s="1" t="s">
        <v>108</v>
      </c>
      <c r="C1905" t="s">
        <v>151</v>
      </c>
      <c r="D1905">
        <v>70</v>
      </c>
      <c r="E1905" t="s">
        <v>157</v>
      </c>
    </row>
    <row r="1906" spans="1:5" x14ac:dyDescent="0.2">
      <c r="A1906">
        <v>1905</v>
      </c>
      <c r="B1906" s="1" t="s">
        <v>105</v>
      </c>
      <c r="C1906" t="s">
        <v>151</v>
      </c>
      <c r="D1906">
        <v>48</v>
      </c>
      <c r="E1906" t="s">
        <v>157</v>
      </c>
    </row>
    <row r="1907" spans="1:5" x14ac:dyDescent="0.2">
      <c r="A1907">
        <v>1906</v>
      </c>
      <c r="B1907" s="1" t="s">
        <v>110</v>
      </c>
      <c r="C1907" t="s">
        <v>152</v>
      </c>
      <c r="D1907">
        <v>81</v>
      </c>
      <c r="E1907" t="s">
        <v>157</v>
      </c>
    </row>
    <row r="1908" spans="1:5" x14ac:dyDescent="0.2">
      <c r="A1908">
        <v>1907</v>
      </c>
      <c r="B1908" s="1" t="s">
        <v>101</v>
      </c>
      <c r="C1908" t="s">
        <v>152</v>
      </c>
      <c r="D1908">
        <v>83</v>
      </c>
      <c r="E1908" t="s">
        <v>157</v>
      </c>
    </row>
    <row r="1909" spans="1:5" x14ac:dyDescent="0.2">
      <c r="A1909">
        <v>1908</v>
      </c>
      <c r="B1909" s="1" t="s">
        <v>99</v>
      </c>
      <c r="C1909" t="s">
        <v>151</v>
      </c>
      <c r="D1909">
        <v>20</v>
      </c>
      <c r="E1909" t="s">
        <v>157</v>
      </c>
    </row>
    <row r="1910" spans="1:5" x14ac:dyDescent="0.2">
      <c r="A1910">
        <v>1909</v>
      </c>
      <c r="B1910" s="1" t="s">
        <v>108</v>
      </c>
      <c r="C1910" t="s">
        <v>151</v>
      </c>
      <c r="D1910">
        <v>40</v>
      </c>
      <c r="E1910" t="s">
        <v>157</v>
      </c>
    </row>
    <row r="1911" spans="1:5" x14ac:dyDescent="0.2">
      <c r="A1911">
        <v>1910</v>
      </c>
      <c r="B1911" s="1" t="s">
        <v>100</v>
      </c>
      <c r="C1911" t="s">
        <v>151</v>
      </c>
      <c r="D1911">
        <v>51</v>
      </c>
      <c r="E1911" t="s">
        <v>157</v>
      </c>
    </row>
    <row r="1912" spans="1:5" x14ac:dyDescent="0.2">
      <c r="A1912">
        <v>1911</v>
      </c>
      <c r="B1912" s="1" t="s">
        <v>101</v>
      </c>
      <c r="C1912" t="s">
        <v>152</v>
      </c>
      <c r="D1912">
        <v>78</v>
      </c>
      <c r="E1912" t="s">
        <v>157</v>
      </c>
    </row>
    <row r="1913" spans="1:5" x14ac:dyDescent="0.2">
      <c r="A1913">
        <v>1912</v>
      </c>
      <c r="B1913" s="1" t="s">
        <v>101</v>
      </c>
      <c r="C1913" t="s">
        <v>152</v>
      </c>
      <c r="D1913">
        <v>90</v>
      </c>
      <c r="E1913" t="s">
        <v>157</v>
      </c>
    </row>
    <row r="1914" spans="1:5" x14ac:dyDescent="0.2">
      <c r="A1914">
        <v>1913</v>
      </c>
      <c r="B1914" s="1" t="s">
        <v>107</v>
      </c>
      <c r="C1914" t="s">
        <v>152</v>
      </c>
      <c r="D1914">
        <v>51</v>
      </c>
      <c r="E1914" t="s">
        <v>157</v>
      </c>
    </row>
    <row r="1915" spans="1:5" x14ac:dyDescent="0.2">
      <c r="A1915">
        <v>1914</v>
      </c>
      <c r="B1915" s="1" t="s">
        <v>101</v>
      </c>
      <c r="C1915" t="s">
        <v>151</v>
      </c>
      <c r="D1915">
        <v>34</v>
      </c>
      <c r="E1915" t="s">
        <v>157</v>
      </c>
    </row>
    <row r="1916" spans="1:5" x14ac:dyDescent="0.2">
      <c r="A1916">
        <v>1915</v>
      </c>
      <c r="B1916" s="1" t="s">
        <v>99</v>
      </c>
      <c r="C1916" t="s">
        <v>151</v>
      </c>
      <c r="D1916">
        <v>74</v>
      </c>
      <c r="E1916" t="s">
        <v>157</v>
      </c>
    </row>
    <row r="1917" spans="1:5" x14ac:dyDescent="0.2">
      <c r="A1917">
        <v>1916</v>
      </c>
      <c r="B1917" s="1" t="s">
        <v>110</v>
      </c>
      <c r="C1917" t="s">
        <v>151</v>
      </c>
      <c r="D1917">
        <v>34</v>
      </c>
      <c r="E1917" t="s">
        <v>157</v>
      </c>
    </row>
    <row r="1918" spans="1:5" x14ac:dyDescent="0.2">
      <c r="A1918">
        <v>1917</v>
      </c>
      <c r="B1918" s="1" t="s">
        <v>99</v>
      </c>
      <c r="C1918" t="s">
        <v>152</v>
      </c>
      <c r="D1918">
        <v>63</v>
      </c>
      <c r="E1918" t="s">
        <v>157</v>
      </c>
    </row>
    <row r="1919" spans="1:5" x14ac:dyDescent="0.2">
      <c r="A1919">
        <v>1918</v>
      </c>
      <c r="B1919" s="1" t="s">
        <v>100</v>
      </c>
      <c r="C1919" t="s">
        <v>151</v>
      </c>
      <c r="D1919">
        <v>48.5</v>
      </c>
      <c r="E1919" t="s">
        <v>157</v>
      </c>
    </row>
    <row r="1920" spans="1:5" x14ac:dyDescent="0.2">
      <c r="A1920">
        <v>1919</v>
      </c>
      <c r="B1920" s="1" t="s">
        <v>100</v>
      </c>
      <c r="C1920" t="s">
        <v>151</v>
      </c>
      <c r="D1920">
        <v>86</v>
      </c>
      <c r="E1920" t="s">
        <v>157</v>
      </c>
    </row>
    <row r="1921" spans="1:5" x14ac:dyDescent="0.2">
      <c r="A1921">
        <v>1920</v>
      </c>
      <c r="B1921" s="1" t="s">
        <v>99</v>
      </c>
      <c r="C1921" t="s">
        <v>151</v>
      </c>
      <c r="D1921">
        <v>43</v>
      </c>
      <c r="E1921" t="s">
        <v>157</v>
      </c>
    </row>
    <row r="1922" spans="1:5" x14ac:dyDescent="0.2">
      <c r="A1922">
        <v>1921</v>
      </c>
      <c r="B1922" s="1" t="s">
        <v>99</v>
      </c>
      <c r="C1922" t="s">
        <v>152</v>
      </c>
      <c r="D1922">
        <v>62</v>
      </c>
      <c r="E1922" t="s">
        <v>157</v>
      </c>
    </row>
    <row r="1923" spans="1:5" x14ac:dyDescent="0.2">
      <c r="A1923">
        <v>1922</v>
      </c>
      <c r="B1923" s="1" t="s">
        <v>105</v>
      </c>
      <c r="C1923" t="s">
        <v>152</v>
      </c>
      <c r="D1923">
        <v>59</v>
      </c>
      <c r="E1923" t="s">
        <v>157</v>
      </c>
    </row>
    <row r="1924" spans="1:5" x14ac:dyDescent="0.2">
      <c r="A1924">
        <v>1923</v>
      </c>
      <c r="B1924" s="1" t="s">
        <v>107</v>
      </c>
      <c r="C1924" t="s">
        <v>151</v>
      </c>
      <c r="D1924">
        <v>29</v>
      </c>
      <c r="E1924" t="s">
        <v>157</v>
      </c>
    </row>
    <row r="1925" spans="1:5" x14ac:dyDescent="0.2">
      <c r="A1925">
        <v>1924</v>
      </c>
      <c r="B1925" s="1" t="s">
        <v>107</v>
      </c>
      <c r="C1925" t="s">
        <v>152</v>
      </c>
      <c r="D1925">
        <v>48</v>
      </c>
      <c r="E1925" t="s">
        <v>157</v>
      </c>
    </row>
    <row r="1926" spans="1:5" x14ac:dyDescent="0.2">
      <c r="A1926">
        <v>1925</v>
      </c>
      <c r="B1926" s="1" t="s">
        <v>99</v>
      </c>
      <c r="C1926" t="s">
        <v>151</v>
      </c>
      <c r="D1926">
        <v>65</v>
      </c>
      <c r="E1926" t="s">
        <v>157</v>
      </c>
    </row>
    <row r="1927" spans="1:5" x14ac:dyDescent="0.2">
      <c r="A1927">
        <v>1926</v>
      </c>
      <c r="B1927" s="1" t="s">
        <v>105</v>
      </c>
      <c r="C1927" t="s">
        <v>152</v>
      </c>
      <c r="D1927">
        <v>24</v>
      </c>
      <c r="E1927" t="s">
        <v>157</v>
      </c>
    </row>
    <row r="1928" spans="1:5" x14ac:dyDescent="0.2">
      <c r="A1928">
        <v>1927</v>
      </c>
      <c r="B1928" s="1" t="s">
        <v>105</v>
      </c>
      <c r="C1928" t="s">
        <v>152</v>
      </c>
      <c r="D1928">
        <v>52</v>
      </c>
      <c r="E1928" t="s">
        <v>157</v>
      </c>
    </row>
    <row r="1929" spans="1:5" x14ac:dyDescent="0.2">
      <c r="A1929">
        <v>1928</v>
      </c>
      <c r="B1929" s="1" t="s">
        <v>101</v>
      </c>
      <c r="C1929" t="s">
        <v>151</v>
      </c>
      <c r="D1929">
        <v>62</v>
      </c>
      <c r="E1929" t="s">
        <v>157</v>
      </c>
    </row>
    <row r="1930" spans="1:5" x14ac:dyDescent="0.2">
      <c r="A1930">
        <v>1929</v>
      </c>
      <c r="B1930" s="1" t="s">
        <v>100</v>
      </c>
      <c r="C1930" t="s">
        <v>152</v>
      </c>
      <c r="D1930">
        <v>69</v>
      </c>
      <c r="E1930" t="s">
        <v>157</v>
      </c>
    </row>
    <row r="1931" spans="1:5" x14ac:dyDescent="0.2">
      <c r="A1931">
        <v>1930</v>
      </c>
      <c r="B1931" s="1" t="s">
        <v>99</v>
      </c>
      <c r="C1931" t="s">
        <v>152</v>
      </c>
      <c r="D1931">
        <v>40</v>
      </c>
      <c r="E1931" t="s">
        <v>157</v>
      </c>
    </row>
    <row r="1932" spans="1:5" x14ac:dyDescent="0.2">
      <c r="A1932">
        <v>1931</v>
      </c>
      <c r="B1932" s="1" t="s">
        <v>99</v>
      </c>
      <c r="C1932" t="s">
        <v>152</v>
      </c>
      <c r="D1932">
        <v>76</v>
      </c>
      <c r="E1932" t="s">
        <v>157</v>
      </c>
    </row>
    <row r="1933" spans="1:5" x14ac:dyDescent="0.2">
      <c r="A1933">
        <v>1932</v>
      </c>
      <c r="B1933" s="1" t="s">
        <v>103</v>
      </c>
      <c r="C1933" t="s">
        <v>152</v>
      </c>
      <c r="D1933">
        <v>72</v>
      </c>
      <c r="E1933" t="s">
        <v>157</v>
      </c>
    </row>
    <row r="1934" spans="1:5" x14ac:dyDescent="0.2">
      <c r="A1934">
        <v>1933</v>
      </c>
      <c r="B1934" s="1" t="s">
        <v>105</v>
      </c>
      <c r="C1934" t="s">
        <v>151</v>
      </c>
      <c r="D1934">
        <v>62</v>
      </c>
      <c r="E1934" t="s">
        <v>157</v>
      </c>
    </row>
    <row r="1935" spans="1:5" x14ac:dyDescent="0.2">
      <c r="A1935">
        <v>1934</v>
      </c>
      <c r="B1935" s="1" t="s">
        <v>105</v>
      </c>
      <c r="C1935" t="s">
        <v>151</v>
      </c>
      <c r="D1935">
        <v>25</v>
      </c>
      <c r="E1935" t="s">
        <v>157</v>
      </c>
    </row>
    <row r="1936" spans="1:5" x14ac:dyDescent="0.2">
      <c r="A1936">
        <v>1935</v>
      </c>
      <c r="B1936" s="1" t="s">
        <v>105</v>
      </c>
      <c r="C1936" t="s">
        <v>152</v>
      </c>
      <c r="D1936">
        <v>77</v>
      </c>
      <c r="E1936" t="s">
        <v>157</v>
      </c>
    </row>
    <row r="1937" spans="1:5" x14ac:dyDescent="0.2">
      <c r="A1937">
        <v>1936</v>
      </c>
      <c r="B1937" s="1" t="s">
        <v>101</v>
      </c>
      <c r="C1937" t="s">
        <v>152</v>
      </c>
      <c r="D1937">
        <v>78</v>
      </c>
      <c r="E1937" t="s">
        <v>157</v>
      </c>
    </row>
    <row r="1938" spans="1:5" x14ac:dyDescent="0.2">
      <c r="A1938">
        <v>1937</v>
      </c>
      <c r="B1938" s="1" t="s">
        <v>104</v>
      </c>
      <c r="C1938" t="s">
        <v>152</v>
      </c>
      <c r="D1938">
        <v>27</v>
      </c>
      <c r="E1938" t="s">
        <v>157</v>
      </c>
    </row>
    <row r="1939" spans="1:5" x14ac:dyDescent="0.2">
      <c r="A1939">
        <v>1938</v>
      </c>
      <c r="B1939" s="1" t="s">
        <v>99</v>
      </c>
      <c r="C1939" t="s">
        <v>151</v>
      </c>
      <c r="D1939">
        <v>70</v>
      </c>
      <c r="E1939" t="s">
        <v>157</v>
      </c>
    </row>
    <row r="1940" spans="1:5" x14ac:dyDescent="0.2">
      <c r="A1940">
        <v>1939</v>
      </c>
      <c r="B1940" s="1" t="s">
        <v>99</v>
      </c>
      <c r="C1940" t="s">
        <v>151</v>
      </c>
      <c r="D1940">
        <v>44</v>
      </c>
      <c r="E1940" t="s">
        <v>157</v>
      </c>
    </row>
    <row r="1941" spans="1:5" x14ac:dyDescent="0.2">
      <c r="A1941">
        <v>1940</v>
      </c>
      <c r="B1941" s="1" t="s">
        <v>105</v>
      </c>
      <c r="C1941" t="s">
        <v>151</v>
      </c>
      <c r="D1941">
        <v>46</v>
      </c>
      <c r="E1941" t="s">
        <v>157</v>
      </c>
    </row>
    <row r="1942" spans="1:5" x14ac:dyDescent="0.2">
      <c r="A1942">
        <v>1941</v>
      </c>
      <c r="B1942" s="1" t="s">
        <v>105</v>
      </c>
      <c r="C1942" t="s">
        <v>152</v>
      </c>
      <c r="D1942">
        <v>86</v>
      </c>
      <c r="E1942" t="s">
        <v>157</v>
      </c>
    </row>
    <row r="1943" spans="1:5" x14ac:dyDescent="0.2">
      <c r="A1943">
        <v>1942</v>
      </c>
      <c r="B1943" s="1" t="s">
        <v>99</v>
      </c>
      <c r="C1943" t="s">
        <v>152</v>
      </c>
      <c r="D1943">
        <v>30</v>
      </c>
      <c r="E1943" t="s">
        <v>157</v>
      </c>
    </row>
    <row r="1944" spans="1:5" x14ac:dyDescent="0.2">
      <c r="A1944">
        <v>1943</v>
      </c>
      <c r="B1944" s="1" t="s">
        <v>99</v>
      </c>
      <c r="C1944" t="s">
        <v>152</v>
      </c>
      <c r="D1944">
        <v>72</v>
      </c>
      <c r="E1944" t="s">
        <v>157</v>
      </c>
    </row>
    <row r="1945" spans="1:5" x14ac:dyDescent="0.2">
      <c r="A1945">
        <v>1944</v>
      </c>
      <c r="B1945" s="1" t="s">
        <v>105</v>
      </c>
      <c r="C1945" t="s">
        <v>151</v>
      </c>
      <c r="D1945">
        <v>82</v>
      </c>
      <c r="E1945" t="s">
        <v>157</v>
      </c>
    </row>
    <row r="1946" spans="1:5" x14ac:dyDescent="0.2">
      <c r="A1946">
        <v>1945</v>
      </c>
      <c r="B1946" s="1" t="s">
        <v>99</v>
      </c>
      <c r="C1946" t="s">
        <v>151</v>
      </c>
      <c r="D1946">
        <v>62</v>
      </c>
      <c r="E1946" t="s">
        <v>157</v>
      </c>
    </row>
    <row r="1947" spans="1:5" x14ac:dyDescent="0.2">
      <c r="A1947">
        <v>1946</v>
      </c>
      <c r="B1947" s="1" t="s">
        <v>99</v>
      </c>
      <c r="C1947" t="s">
        <v>151</v>
      </c>
      <c r="D1947">
        <v>75</v>
      </c>
      <c r="E1947" t="s">
        <v>157</v>
      </c>
    </row>
    <row r="1948" spans="1:5" x14ac:dyDescent="0.2">
      <c r="A1948">
        <v>1947</v>
      </c>
      <c r="B1948" s="1" t="s">
        <v>105</v>
      </c>
      <c r="C1948" t="s">
        <v>152</v>
      </c>
      <c r="D1948">
        <v>33</v>
      </c>
      <c r="E1948" t="s">
        <v>157</v>
      </c>
    </row>
    <row r="1949" spans="1:5" x14ac:dyDescent="0.2">
      <c r="A1949">
        <v>1948</v>
      </c>
      <c r="B1949" s="1" t="s">
        <v>99</v>
      </c>
      <c r="C1949" t="s">
        <v>152</v>
      </c>
      <c r="D1949">
        <v>79</v>
      </c>
      <c r="E1949" t="s">
        <v>157</v>
      </c>
    </row>
    <row r="1950" spans="1:5" x14ac:dyDescent="0.2">
      <c r="A1950">
        <v>1949</v>
      </c>
      <c r="B1950" s="1" t="s">
        <v>104</v>
      </c>
      <c r="C1950" t="s">
        <v>151</v>
      </c>
      <c r="D1950">
        <v>57</v>
      </c>
      <c r="E1950" t="s">
        <v>157</v>
      </c>
    </row>
    <row r="1951" spans="1:5" x14ac:dyDescent="0.2">
      <c r="A1951">
        <v>1950</v>
      </c>
      <c r="B1951" s="1" t="s">
        <v>106</v>
      </c>
      <c r="C1951" t="s">
        <v>152</v>
      </c>
      <c r="D1951">
        <v>87</v>
      </c>
      <c r="E1951" t="s">
        <v>157</v>
      </c>
    </row>
    <row r="1952" spans="1:5" x14ac:dyDescent="0.2">
      <c r="A1952">
        <v>1951</v>
      </c>
      <c r="B1952" s="1" t="s">
        <v>108</v>
      </c>
      <c r="C1952" t="s">
        <v>151</v>
      </c>
      <c r="D1952">
        <v>28</v>
      </c>
      <c r="E1952" t="s">
        <v>157</v>
      </c>
    </row>
    <row r="1953" spans="1:5" x14ac:dyDescent="0.2">
      <c r="A1953">
        <v>1952</v>
      </c>
      <c r="B1953" s="1" t="s">
        <v>99</v>
      </c>
      <c r="C1953" t="s">
        <v>151</v>
      </c>
      <c r="D1953">
        <v>49</v>
      </c>
      <c r="E1953" t="s">
        <v>157</v>
      </c>
    </row>
    <row r="1954" spans="1:5" x14ac:dyDescent="0.2">
      <c r="A1954">
        <v>1953</v>
      </c>
      <c r="B1954" s="1" t="s">
        <v>99</v>
      </c>
      <c r="C1954" t="s">
        <v>151</v>
      </c>
      <c r="D1954">
        <v>19</v>
      </c>
      <c r="E1954" t="s">
        <v>157</v>
      </c>
    </row>
    <row r="1955" spans="1:5" x14ac:dyDescent="0.2">
      <c r="A1955">
        <v>1954</v>
      </c>
      <c r="B1955" s="1" t="s">
        <v>102</v>
      </c>
      <c r="C1955" t="s">
        <v>152</v>
      </c>
      <c r="D1955">
        <v>55</v>
      </c>
      <c r="E1955" t="s">
        <v>157</v>
      </c>
    </row>
    <row r="1956" spans="1:5" x14ac:dyDescent="0.2">
      <c r="A1956">
        <v>1955</v>
      </c>
      <c r="B1956" s="1" t="s">
        <v>105</v>
      </c>
      <c r="C1956" t="s">
        <v>152</v>
      </c>
      <c r="D1956">
        <v>68</v>
      </c>
      <c r="E1956" t="s">
        <v>157</v>
      </c>
    </row>
    <row r="1957" spans="1:5" x14ac:dyDescent="0.2">
      <c r="A1957">
        <v>1956</v>
      </c>
      <c r="B1957" s="1" t="s">
        <v>104</v>
      </c>
      <c r="C1957" t="s">
        <v>151</v>
      </c>
      <c r="D1957">
        <v>41</v>
      </c>
      <c r="E1957" t="s">
        <v>157</v>
      </c>
    </row>
    <row r="1958" spans="1:5" x14ac:dyDescent="0.2">
      <c r="A1958">
        <v>1957</v>
      </c>
      <c r="B1958" s="1" t="s">
        <v>99</v>
      </c>
      <c r="C1958" t="s">
        <v>152</v>
      </c>
      <c r="D1958">
        <v>42</v>
      </c>
      <c r="E1958" t="s">
        <v>157</v>
      </c>
    </row>
    <row r="1959" spans="1:5" x14ac:dyDescent="0.2">
      <c r="A1959">
        <v>1958</v>
      </c>
      <c r="B1959" s="1" t="s">
        <v>111</v>
      </c>
      <c r="C1959" t="s">
        <v>152</v>
      </c>
      <c r="D1959">
        <v>23</v>
      </c>
      <c r="E1959" t="s">
        <v>157</v>
      </c>
    </row>
    <row r="1960" spans="1:5" x14ac:dyDescent="0.2">
      <c r="A1960">
        <v>1959</v>
      </c>
      <c r="B1960" s="1" t="s">
        <v>109</v>
      </c>
      <c r="C1960" t="s">
        <v>151</v>
      </c>
      <c r="D1960">
        <v>28</v>
      </c>
      <c r="E1960" t="s">
        <v>157</v>
      </c>
    </row>
    <row r="1961" spans="1:5" x14ac:dyDescent="0.2">
      <c r="A1961">
        <v>1960</v>
      </c>
      <c r="B1961" s="1" t="s">
        <v>111</v>
      </c>
      <c r="C1961" t="s">
        <v>152</v>
      </c>
      <c r="D1961">
        <v>33</v>
      </c>
      <c r="E1961" t="s">
        <v>157</v>
      </c>
    </row>
    <row r="1962" spans="1:5" x14ac:dyDescent="0.2">
      <c r="A1962">
        <v>1961</v>
      </c>
      <c r="B1962" s="1" t="s">
        <v>109</v>
      </c>
      <c r="C1962" t="s">
        <v>151</v>
      </c>
      <c r="D1962">
        <v>87</v>
      </c>
      <c r="E1962" t="s">
        <v>157</v>
      </c>
    </row>
    <row r="1963" spans="1:5" x14ac:dyDescent="0.2">
      <c r="A1963">
        <v>1962</v>
      </c>
      <c r="B1963" s="1" t="s">
        <v>99</v>
      </c>
      <c r="C1963" t="s">
        <v>151</v>
      </c>
      <c r="D1963">
        <v>23</v>
      </c>
      <c r="E1963" t="s">
        <v>157</v>
      </c>
    </row>
    <row r="1964" spans="1:5" x14ac:dyDescent="0.2">
      <c r="A1964">
        <v>1963</v>
      </c>
      <c r="B1964" s="1" t="s">
        <v>101</v>
      </c>
      <c r="C1964" t="s">
        <v>152</v>
      </c>
      <c r="D1964">
        <v>25</v>
      </c>
      <c r="E1964" t="s">
        <v>157</v>
      </c>
    </row>
    <row r="1965" spans="1:5" x14ac:dyDescent="0.2">
      <c r="A1965">
        <v>1964</v>
      </c>
      <c r="B1965" s="1" t="s">
        <v>105</v>
      </c>
      <c r="C1965" t="s">
        <v>152</v>
      </c>
      <c r="D1965">
        <v>32</v>
      </c>
      <c r="E1965" t="s">
        <v>157</v>
      </c>
    </row>
    <row r="1966" spans="1:5" x14ac:dyDescent="0.2">
      <c r="A1966">
        <v>1965</v>
      </c>
      <c r="B1966" s="1" t="s">
        <v>100</v>
      </c>
      <c r="C1966" t="s">
        <v>151</v>
      </c>
      <c r="D1966">
        <v>84</v>
      </c>
      <c r="E1966" t="s">
        <v>157</v>
      </c>
    </row>
    <row r="1967" spans="1:5" x14ac:dyDescent="0.2">
      <c r="A1967">
        <v>1966</v>
      </c>
      <c r="B1967" s="1" t="s">
        <v>107</v>
      </c>
      <c r="C1967" t="s">
        <v>151</v>
      </c>
      <c r="D1967">
        <v>82</v>
      </c>
      <c r="E1967" t="s">
        <v>157</v>
      </c>
    </row>
    <row r="1968" spans="1:5" x14ac:dyDescent="0.2">
      <c r="A1968">
        <v>1967</v>
      </c>
      <c r="B1968" s="1" t="s">
        <v>105</v>
      </c>
      <c r="C1968" t="s">
        <v>151</v>
      </c>
      <c r="D1968">
        <v>89</v>
      </c>
      <c r="E1968" t="s">
        <v>157</v>
      </c>
    </row>
    <row r="1969" spans="1:5" x14ac:dyDescent="0.2">
      <c r="A1969">
        <v>1968</v>
      </c>
      <c r="B1969" s="1" t="s">
        <v>99</v>
      </c>
      <c r="C1969" t="s">
        <v>152</v>
      </c>
      <c r="D1969">
        <v>20</v>
      </c>
      <c r="E1969" t="s">
        <v>157</v>
      </c>
    </row>
    <row r="1970" spans="1:5" x14ac:dyDescent="0.2">
      <c r="A1970">
        <v>1969</v>
      </c>
      <c r="B1970" s="1" t="s">
        <v>105</v>
      </c>
      <c r="C1970" t="s">
        <v>151</v>
      </c>
      <c r="D1970">
        <v>41</v>
      </c>
      <c r="E1970" t="s">
        <v>157</v>
      </c>
    </row>
    <row r="1971" spans="1:5" x14ac:dyDescent="0.2">
      <c r="A1971">
        <v>1970</v>
      </c>
      <c r="B1971" s="1" t="s">
        <v>100</v>
      </c>
      <c r="C1971" t="s">
        <v>151</v>
      </c>
      <c r="D1971">
        <v>79</v>
      </c>
      <c r="E1971" t="s">
        <v>157</v>
      </c>
    </row>
    <row r="1972" spans="1:5" x14ac:dyDescent="0.2">
      <c r="A1972">
        <v>1971</v>
      </c>
      <c r="B1972" s="1" t="s">
        <v>105</v>
      </c>
      <c r="C1972" t="s">
        <v>152</v>
      </c>
      <c r="D1972">
        <v>44</v>
      </c>
      <c r="E1972" t="s">
        <v>157</v>
      </c>
    </row>
    <row r="1973" spans="1:5" x14ac:dyDescent="0.2">
      <c r="A1973">
        <v>1972</v>
      </c>
      <c r="B1973" s="1" t="s">
        <v>99</v>
      </c>
      <c r="C1973" t="s">
        <v>151</v>
      </c>
      <c r="D1973">
        <v>37</v>
      </c>
      <c r="E1973" t="s">
        <v>157</v>
      </c>
    </row>
    <row r="1974" spans="1:5" x14ac:dyDescent="0.2">
      <c r="A1974">
        <v>1973</v>
      </c>
      <c r="B1974" s="1" t="s">
        <v>99</v>
      </c>
      <c r="C1974" t="s">
        <v>151</v>
      </c>
      <c r="D1974">
        <v>64</v>
      </c>
      <c r="E1974" t="s">
        <v>157</v>
      </c>
    </row>
    <row r="1975" spans="1:5" x14ac:dyDescent="0.2">
      <c r="A1975">
        <v>1974</v>
      </c>
      <c r="B1975" s="1" t="s">
        <v>99</v>
      </c>
      <c r="C1975" t="s">
        <v>152</v>
      </c>
      <c r="D1975">
        <v>74</v>
      </c>
      <c r="E1975" t="s">
        <v>157</v>
      </c>
    </row>
    <row r="1976" spans="1:5" x14ac:dyDescent="0.2">
      <c r="A1976">
        <v>1975</v>
      </c>
      <c r="B1976" s="1" t="s">
        <v>99</v>
      </c>
      <c r="C1976" t="s">
        <v>151</v>
      </c>
      <c r="D1976">
        <v>40</v>
      </c>
      <c r="E1976" t="s">
        <v>157</v>
      </c>
    </row>
    <row r="1977" spans="1:5" x14ac:dyDescent="0.2">
      <c r="A1977">
        <v>1976</v>
      </c>
      <c r="B1977" s="1" t="s">
        <v>105</v>
      </c>
      <c r="C1977" t="s">
        <v>152</v>
      </c>
      <c r="D1977">
        <v>73</v>
      </c>
      <c r="E1977" t="s">
        <v>157</v>
      </c>
    </row>
    <row r="1978" spans="1:5" x14ac:dyDescent="0.2">
      <c r="A1978">
        <v>1977</v>
      </c>
      <c r="B1978" s="1" t="s">
        <v>99</v>
      </c>
      <c r="C1978" t="s">
        <v>152</v>
      </c>
      <c r="D1978">
        <v>79</v>
      </c>
      <c r="E1978" t="s">
        <v>157</v>
      </c>
    </row>
    <row r="1979" spans="1:5" x14ac:dyDescent="0.2">
      <c r="A1979">
        <v>1978</v>
      </c>
      <c r="B1979" s="1" t="s">
        <v>105</v>
      </c>
      <c r="C1979" t="s">
        <v>152</v>
      </c>
      <c r="D1979">
        <v>23</v>
      </c>
      <c r="E1979" t="s">
        <v>157</v>
      </c>
    </row>
    <row r="1980" spans="1:5" x14ac:dyDescent="0.2">
      <c r="A1980">
        <v>1979</v>
      </c>
      <c r="B1980" s="1" t="s">
        <v>102</v>
      </c>
      <c r="C1980" t="s">
        <v>152</v>
      </c>
      <c r="D1980">
        <v>21</v>
      </c>
      <c r="E1980" t="s">
        <v>157</v>
      </c>
    </row>
    <row r="1981" spans="1:5" x14ac:dyDescent="0.2">
      <c r="A1981">
        <v>1980</v>
      </c>
      <c r="B1981" s="1" t="s">
        <v>110</v>
      </c>
      <c r="C1981" t="s">
        <v>151</v>
      </c>
      <c r="D1981">
        <v>57</v>
      </c>
      <c r="E1981" t="s">
        <v>157</v>
      </c>
    </row>
    <row r="1982" spans="1:5" x14ac:dyDescent="0.2">
      <c r="A1982">
        <v>1981</v>
      </c>
      <c r="B1982" s="1" t="s">
        <v>99</v>
      </c>
      <c r="C1982" t="s">
        <v>151</v>
      </c>
      <c r="D1982">
        <v>26</v>
      </c>
      <c r="E1982" t="s">
        <v>157</v>
      </c>
    </row>
    <row r="1983" spans="1:5" x14ac:dyDescent="0.2">
      <c r="A1983">
        <v>1982</v>
      </c>
      <c r="B1983" s="1" t="s">
        <v>107</v>
      </c>
      <c r="C1983" t="s">
        <v>152</v>
      </c>
      <c r="D1983">
        <v>74</v>
      </c>
      <c r="E1983" t="s">
        <v>157</v>
      </c>
    </row>
    <row r="1984" spans="1:5" x14ac:dyDescent="0.2">
      <c r="A1984">
        <v>1983</v>
      </c>
      <c r="B1984" s="1" t="s">
        <v>105</v>
      </c>
      <c r="C1984" t="s">
        <v>152</v>
      </c>
      <c r="D1984">
        <v>35</v>
      </c>
      <c r="E1984" t="s">
        <v>157</v>
      </c>
    </row>
    <row r="1985" spans="1:5" x14ac:dyDescent="0.2">
      <c r="A1985">
        <v>1984</v>
      </c>
      <c r="B1985" s="1" t="s">
        <v>101</v>
      </c>
      <c r="C1985" t="s">
        <v>151</v>
      </c>
      <c r="D1985">
        <v>45</v>
      </c>
      <c r="E1985" t="s">
        <v>157</v>
      </c>
    </row>
    <row r="1986" spans="1:5" x14ac:dyDescent="0.2">
      <c r="A1986">
        <v>1985</v>
      </c>
      <c r="B1986" s="1" t="s">
        <v>100</v>
      </c>
      <c r="C1986" t="s">
        <v>151</v>
      </c>
      <c r="D1986">
        <v>49</v>
      </c>
      <c r="E1986" t="s">
        <v>157</v>
      </c>
    </row>
    <row r="1987" spans="1:5" x14ac:dyDescent="0.2">
      <c r="A1987">
        <v>1986</v>
      </c>
      <c r="B1987" s="1" t="s">
        <v>100</v>
      </c>
      <c r="C1987" t="s">
        <v>151</v>
      </c>
      <c r="D1987">
        <v>21</v>
      </c>
      <c r="E1987" t="s">
        <v>157</v>
      </c>
    </row>
    <row r="1988" spans="1:5" x14ac:dyDescent="0.2">
      <c r="A1988">
        <v>1987</v>
      </c>
      <c r="B1988" s="1" t="s">
        <v>100</v>
      </c>
      <c r="C1988" t="s">
        <v>151</v>
      </c>
      <c r="D1988">
        <v>48</v>
      </c>
      <c r="E1988" t="s">
        <v>157</v>
      </c>
    </row>
    <row r="1989" spans="1:5" x14ac:dyDescent="0.2">
      <c r="A1989">
        <v>1988</v>
      </c>
      <c r="B1989" s="1" t="s">
        <v>99</v>
      </c>
      <c r="C1989" t="s">
        <v>151</v>
      </c>
      <c r="D1989">
        <v>66</v>
      </c>
      <c r="E1989" t="s">
        <v>157</v>
      </c>
    </row>
    <row r="1990" spans="1:5" x14ac:dyDescent="0.2">
      <c r="A1990">
        <v>1989</v>
      </c>
      <c r="B1990" s="1" t="s">
        <v>99</v>
      </c>
      <c r="C1990" t="s">
        <v>151</v>
      </c>
      <c r="D1990">
        <v>89</v>
      </c>
      <c r="E1990" t="s">
        <v>157</v>
      </c>
    </row>
    <row r="1991" spans="1:5" x14ac:dyDescent="0.2">
      <c r="A1991">
        <v>1990</v>
      </c>
      <c r="B1991" s="1" t="s">
        <v>99</v>
      </c>
      <c r="C1991" t="s">
        <v>152</v>
      </c>
      <c r="D1991">
        <v>89</v>
      </c>
      <c r="E1991" t="s">
        <v>157</v>
      </c>
    </row>
    <row r="1992" spans="1:5" x14ac:dyDescent="0.2">
      <c r="A1992">
        <v>1991</v>
      </c>
      <c r="B1992" s="1" t="s">
        <v>99</v>
      </c>
      <c r="C1992" t="s">
        <v>152</v>
      </c>
      <c r="D1992">
        <v>49</v>
      </c>
      <c r="E1992" t="s">
        <v>157</v>
      </c>
    </row>
    <row r="1993" spans="1:5" x14ac:dyDescent="0.2">
      <c r="A1993">
        <v>1992</v>
      </c>
      <c r="B1993" s="1" t="s">
        <v>108</v>
      </c>
      <c r="C1993" t="s">
        <v>152</v>
      </c>
      <c r="D1993">
        <v>66</v>
      </c>
      <c r="E1993" t="s">
        <v>157</v>
      </c>
    </row>
    <row r="1994" spans="1:5" x14ac:dyDescent="0.2">
      <c r="A1994">
        <v>1993</v>
      </c>
      <c r="B1994" s="1" t="s">
        <v>99</v>
      </c>
      <c r="C1994" t="s">
        <v>151</v>
      </c>
      <c r="D1994">
        <v>61</v>
      </c>
      <c r="E1994" t="s">
        <v>157</v>
      </c>
    </row>
    <row r="1995" spans="1:5" x14ac:dyDescent="0.2">
      <c r="A1995">
        <v>1994</v>
      </c>
      <c r="B1995" s="1" t="s">
        <v>106</v>
      </c>
      <c r="C1995" t="s">
        <v>151</v>
      </c>
      <c r="D1995">
        <v>43</v>
      </c>
      <c r="E1995" t="s">
        <v>157</v>
      </c>
    </row>
    <row r="1996" spans="1:5" x14ac:dyDescent="0.2">
      <c r="A1996">
        <v>1995</v>
      </c>
      <c r="B1996" s="1" t="s">
        <v>99</v>
      </c>
      <c r="C1996" t="s">
        <v>151</v>
      </c>
      <c r="D1996">
        <v>45</v>
      </c>
      <c r="E1996" t="s">
        <v>157</v>
      </c>
    </row>
    <row r="1997" spans="1:5" x14ac:dyDescent="0.2">
      <c r="A1997">
        <v>1996</v>
      </c>
      <c r="B1997" s="1" t="s">
        <v>99</v>
      </c>
      <c r="C1997" t="s">
        <v>151</v>
      </c>
      <c r="D1997">
        <v>83</v>
      </c>
      <c r="E1997" t="s">
        <v>157</v>
      </c>
    </row>
    <row r="1998" spans="1:5" x14ac:dyDescent="0.2">
      <c r="A1998">
        <v>1997</v>
      </c>
      <c r="B1998" s="1" t="s">
        <v>105</v>
      </c>
      <c r="C1998" t="s">
        <v>152</v>
      </c>
      <c r="D1998">
        <v>79</v>
      </c>
      <c r="E1998" t="s">
        <v>157</v>
      </c>
    </row>
    <row r="1999" spans="1:5" x14ac:dyDescent="0.2">
      <c r="A1999">
        <v>1998</v>
      </c>
      <c r="B1999" s="1" t="s">
        <v>101</v>
      </c>
      <c r="C1999" t="s">
        <v>151</v>
      </c>
      <c r="D1999">
        <v>82</v>
      </c>
      <c r="E1999" t="s">
        <v>157</v>
      </c>
    </row>
    <row r="2000" spans="1:5" x14ac:dyDescent="0.2">
      <c r="A2000">
        <v>1999</v>
      </c>
      <c r="B2000" s="1" t="s">
        <v>107</v>
      </c>
      <c r="C2000" t="s">
        <v>151</v>
      </c>
      <c r="D2000">
        <v>72</v>
      </c>
      <c r="E2000" t="s">
        <v>157</v>
      </c>
    </row>
    <row r="2001" spans="1:5" x14ac:dyDescent="0.2">
      <c r="A2001">
        <v>2000</v>
      </c>
      <c r="B2001" s="1" t="s">
        <v>99</v>
      </c>
      <c r="C2001" t="s">
        <v>152</v>
      </c>
      <c r="D2001">
        <v>39</v>
      </c>
      <c r="E2001" t="s">
        <v>157</v>
      </c>
    </row>
    <row r="2002" spans="1:5" x14ac:dyDescent="0.2">
      <c r="A2002">
        <v>2001</v>
      </c>
      <c r="B2002" s="1" t="s">
        <v>105</v>
      </c>
      <c r="C2002" t="s">
        <v>152</v>
      </c>
      <c r="D2002">
        <v>59</v>
      </c>
      <c r="E2002" t="s">
        <v>158</v>
      </c>
    </row>
    <row r="2003" spans="1:5" x14ac:dyDescent="0.2">
      <c r="A2003">
        <v>2002</v>
      </c>
      <c r="B2003" s="1" t="s">
        <v>99</v>
      </c>
      <c r="C2003" t="s">
        <v>152</v>
      </c>
      <c r="D2003">
        <v>53</v>
      </c>
      <c r="E2003" t="s">
        <v>158</v>
      </c>
    </row>
    <row r="2004" spans="1:5" x14ac:dyDescent="0.2">
      <c r="A2004">
        <v>2003</v>
      </c>
      <c r="B2004" s="1" t="s">
        <v>99</v>
      </c>
      <c r="C2004" t="s">
        <v>151</v>
      </c>
      <c r="D2004">
        <v>23</v>
      </c>
      <c r="E2004" t="s">
        <v>158</v>
      </c>
    </row>
    <row r="2005" spans="1:5" x14ac:dyDescent="0.2">
      <c r="A2005">
        <v>2004</v>
      </c>
      <c r="B2005" s="1" t="s">
        <v>99</v>
      </c>
      <c r="C2005" t="s">
        <v>152</v>
      </c>
      <c r="D2005">
        <v>40</v>
      </c>
      <c r="E2005" t="s">
        <v>158</v>
      </c>
    </row>
    <row r="2006" spans="1:5" x14ac:dyDescent="0.2">
      <c r="A2006">
        <v>2005</v>
      </c>
      <c r="B2006" s="1" t="s">
        <v>105</v>
      </c>
      <c r="C2006" t="s">
        <v>151</v>
      </c>
      <c r="D2006">
        <v>38</v>
      </c>
      <c r="E2006" t="s">
        <v>158</v>
      </c>
    </row>
    <row r="2007" spans="1:5" x14ac:dyDescent="0.2">
      <c r="A2007">
        <v>2006</v>
      </c>
      <c r="B2007" s="1" t="s">
        <v>99</v>
      </c>
      <c r="C2007" t="s">
        <v>151</v>
      </c>
      <c r="D2007">
        <v>21</v>
      </c>
      <c r="E2007" t="s">
        <v>158</v>
      </c>
    </row>
    <row r="2008" spans="1:5" x14ac:dyDescent="0.2">
      <c r="A2008">
        <v>2007</v>
      </c>
      <c r="B2008" s="1" t="s">
        <v>107</v>
      </c>
      <c r="C2008" t="s">
        <v>151</v>
      </c>
      <c r="D2008">
        <v>58</v>
      </c>
      <c r="E2008" t="s">
        <v>158</v>
      </c>
    </row>
    <row r="2009" spans="1:5" x14ac:dyDescent="0.2">
      <c r="A2009">
        <v>2008</v>
      </c>
      <c r="B2009" s="1" t="s">
        <v>101</v>
      </c>
      <c r="C2009" t="s">
        <v>151</v>
      </c>
      <c r="D2009">
        <v>67</v>
      </c>
      <c r="E2009" t="s">
        <v>158</v>
      </c>
    </row>
    <row r="2010" spans="1:5" x14ac:dyDescent="0.2">
      <c r="A2010">
        <v>2009</v>
      </c>
      <c r="B2010" s="1" t="s">
        <v>99</v>
      </c>
      <c r="C2010" t="s">
        <v>152</v>
      </c>
      <c r="D2010">
        <v>42</v>
      </c>
      <c r="E2010" t="s">
        <v>158</v>
      </c>
    </row>
    <row r="2011" spans="1:5" x14ac:dyDescent="0.2">
      <c r="A2011">
        <v>2010</v>
      </c>
      <c r="B2011" s="1" t="s">
        <v>100</v>
      </c>
      <c r="C2011" t="s">
        <v>151</v>
      </c>
      <c r="D2011">
        <v>50</v>
      </c>
      <c r="E2011" t="s">
        <v>158</v>
      </c>
    </row>
    <row r="2012" spans="1:5" x14ac:dyDescent="0.2">
      <c r="A2012">
        <v>2011</v>
      </c>
      <c r="B2012" s="1" t="s">
        <v>99</v>
      </c>
      <c r="C2012" t="s">
        <v>151</v>
      </c>
      <c r="D2012">
        <v>18</v>
      </c>
      <c r="E2012" t="s">
        <v>158</v>
      </c>
    </row>
    <row r="2013" spans="1:5" x14ac:dyDescent="0.2">
      <c r="A2013">
        <v>2012</v>
      </c>
      <c r="B2013" s="1" t="s">
        <v>99</v>
      </c>
      <c r="C2013" t="s">
        <v>151</v>
      </c>
      <c r="D2013">
        <v>42</v>
      </c>
      <c r="E2013" t="s">
        <v>158</v>
      </c>
    </row>
    <row r="2014" spans="1:5" x14ac:dyDescent="0.2">
      <c r="A2014">
        <v>2013</v>
      </c>
      <c r="B2014" s="1" t="s">
        <v>99</v>
      </c>
      <c r="C2014" t="s">
        <v>151</v>
      </c>
      <c r="D2014">
        <v>39</v>
      </c>
      <c r="E2014" t="s">
        <v>158</v>
      </c>
    </row>
    <row r="2015" spans="1:5" x14ac:dyDescent="0.2">
      <c r="A2015">
        <v>2014</v>
      </c>
      <c r="B2015" s="1" t="s">
        <v>100</v>
      </c>
      <c r="C2015" t="s">
        <v>152</v>
      </c>
      <c r="D2015">
        <v>41</v>
      </c>
      <c r="E2015" t="s">
        <v>158</v>
      </c>
    </row>
    <row r="2016" spans="1:5" x14ac:dyDescent="0.2">
      <c r="A2016">
        <v>2015</v>
      </c>
      <c r="B2016" s="1" t="s">
        <v>100</v>
      </c>
      <c r="C2016" t="s">
        <v>151</v>
      </c>
      <c r="D2016">
        <v>55</v>
      </c>
      <c r="E2016" t="s">
        <v>158</v>
      </c>
    </row>
    <row r="2017" spans="1:5" x14ac:dyDescent="0.2">
      <c r="A2017">
        <v>2016</v>
      </c>
      <c r="B2017" s="1" t="s">
        <v>105</v>
      </c>
      <c r="C2017" t="s">
        <v>152</v>
      </c>
      <c r="D2017">
        <v>71</v>
      </c>
      <c r="E2017" t="s">
        <v>158</v>
      </c>
    </row>
    <row r="2018" spans="1:5" x14ac:dyDescent="0.2">
      <c r="A2018">
        <v>2017</v>
      </c>
      <c r="B2018" s="1" t="s">
        <v>99</v>
      </c>
      <c r="C2018" t="s">
        <v>151</v>
      </c>
      <c r="D2018">
        <v>76</v>
      </c>
      <c r="E2018" t="s">
        <v>158</v>
      </c>
    </row>
    <row r="2019" spans="1:5" x14ac:dyDescent="0.2">
      <c r="A2019">
        <v>2018</v>
      </c>
      <c r="B2019" s="1" t="s">
        <v>105</v>
      </c>
      <c r="C2019" t="s">
        <v>151</v>
      </c>
      <c r="D2019">
        <v>44</v>
      </c>
      <c r="E2019" t="s">
        <v>158</v>
      </c>
    </row>
    <row r="2020" spans="1:5" x14ac:dyDescent="0.2">
      <c r="A2020">
        <v>2019</v>
      </c>
      <c r="B2020" s="1" t="s">
        <v>99</v>
      </c>
      <c r="C2020" t="s">
        <v>151</v>
      </c>
      <c r="D2020">
        <v>57</v>
      </c>
      <c r="E2020" t="s">
        <v>158</v>
      </c>
    </row>
    <row r="2021" spans="1:5" x14ac:dyDescent="0.2">
      <c r="A2021">
        <v>2020</v>
      </c>
      <c r="B2021" s="1" t="s">
        <v>100</v>
      </c>
      <c r="C2021" t="s">
        <v>151</v>
      </c>
      <c r="D2021">
        <v>58</v>
      </c>
      <c r="E2021" t="s">
        <v>158</v>
      </c>
    </row>
    <row r="2022" spans="1:5" x14ac:dyDescent="0.2">
      <c r="A2022">
        <v>2021</v>
      </c>
      <c r="B2022" s="1" t="s">
        <v>105</v>
      </c>
      <c r="C2022" t="s">
        <v>152</v>
      </c>
      <c r="D2022">
        <v>26</v>
      </c>
      <c r="E2022" t="s">
        <v>158</v>
      </c>
    </row>
    <row r="2023" spans="1:5" x14ac:dyDescent="0.2">
      <c r="A2023">
        <v>2022</v>
      </c>
      <c r="B2023" s="1" t="s">
        <v>99</v>
      </c>
      <c r="C2023" t="s">
        <v>152</v>
      </c>
      <c r="D2023">
        <v>52</v>
      </c>
      <c r="E2023" t="s">
        <v>158</v>
      </c>
    </row>
    <row r="2024" spans="1:5" x14ac:dyDescent="0.2">
      <c r="A2024">
        <v>2023</v>
      </c>
      <c r="B2024" s="1" t="s">
        <v>99</v>
      </c>
      <c r="C2024" t="s">
        <v>151</v>
      </c>
      <c r="D2024">
        <v>73</v>
      </c>
      <c r="E2024" t="s">
        <v>158</v>
      </c>
    </row>
    <row r="2025" spans="1:5" x14ac:dyDescent="0.2">
      <c r="A2025">
        <v>2024</v>
      </c>
      <c r="B2025" s="1" t="s">
        <v>105</v>
      </c>
      <c r="C2025" t="s">
        <v>152</v>
      </c>
      <c r="D2025">
        <v>78</v>
      </c>
      <c r="E2025" t="s">
        <v>158</v>
      </c>
    </row>
    <row r="2026" spans="1:5" x14ac:dyDescent="0.2">
      <c r="A2026">
        <v>2025</v>
      </c>
      <c r="B2026" s="1" t="s">
        <v>99</v>
      </c>
      <c r="C2026" t="s">
        <v>152</v>
      </c>
      <c r="D2026">
        <v>21</v>
      </c>
      <c r="E2026" t="s">
        <v>158</v>
      </c>
    </row>
    <row r="2027" spans="1:5" x14ac:dyDescent="0.2">
      <c r="A2027">
        <v>2026</v>
      </c>
      <c r="B2027" s="1" t="s">
        <v>100</v>
      </c>
      <c r="C2027" t="s">
        <v>152</v>
      </c>
      <c r="D2027">
        <v>58</v>
      </c>
      <c r="E2027" t="s">
        <v>158</v>
      </c>
    </row>
    <row r="2028" spans="1:5" x14ac:dyDescent="0.2">
      <c r="A2028">
        <v>2027</v>
      </c>
      <c r="B2028" s="1" t="s">
        <v>105</v>
      </c>
      <c r="C2028" t="s">
        <v>152</v>
      </c>
      <c r="D2028">
        <v>89</v>
      </c>
      <c r="E2028" t="s">
        <v>158</v>
      </c>
    </row>
    <row r="2029" spans="1:5" x14ac:dyDescent="0.2">
      <c r="A2029">
        <v>2028</v>
      </c>
      <c r="B2029" s="1" t="s">
        <v>99</v>
      </c>
      <c r="C2029" t="s">
        <v>152</v>
      </c>
      <c r="D2029">
        <v>39</v>
      </c>
      <c r="E2029" t="s">
        <v>158</v>
      </c>
    </row>
    <row r="2030" spans="1:5" x14ac:dyDescent="0.2">
      <c r="A2030">
        <v>2029</v>
      </c>
      <c r="B2030" s="1" t="s">
        <v>99</v>
      </c>
      <c r="C2030" t="s">
        <v>151</v>
      </c>
      <c r="D2030">
        <v>48</v>
      </c>
      <c r="E2030" t="s">
        <v>158</v>
      </c>
    </row>
    <row r="2031" spans="1:5" x14ac:dyDescent="0.2">
      <c r="A2031">
        <v>2030</v>
      </c>
      <c r="B2031" s="1" t="s">
        <v>104</v>
      </c>
      <c r="C2031" t="s">
        <v>151</v>
      </c>
      <c r="D2031">
        <v>72</v>
      </c>
      <c r="E2031" t="s">
        <v>158</v>
      </c>
    </row>
    <row r="2032" spans="1:5" x14ac:dyDescent="0.2">
      <c r="A2032">
        <v>2031</v>
      </c>
      <c r="B2032" s="1" t="s">
        <v>105</v>
      </c>
      <c r="C2032" t="s">
        <v>152</v>
      </c>
      <c r="D2032">
        <v>54</v>
      </c>
      <c r="E2032" t="s">
        <v>158</v>
      </c>
    </row>
    <row r="2033" spans="1:5" x14ac:dyDescent="0.2">
      <c r="A2033">
        <v>2032</v>
      </c>
      <c r="B2033" s="1" t="s">
        <v>106</v>
      </c>
      <c r="C2033" t="s">
        <v>152</v>
      </c>
      <c r="D2033">
        <v>83</v>
      </c>
      <c r="E2033" t="s">
        <v>158</v>
      </c>
    </row>
    <row r="2034" spans="1:5" x14ac:dyDescent="0.2">
      <c r="A2034">
        <v>2033</v>
      </c>
      <c r="B2034" s="1" t="s">
        <v>99</v>
      </c>
      <c r="C2034" t="s">
        <v>151</v>
      </c>
      <c r="D2034">
        <v>21</v>
      </c>
      <c r="E2034" t="s">
        <v>158</v>
      </c>
    </row>
    <row r="2035" spans="1:5" x14ac:dyDescent="0.2">
      <c r="A2035">
        <v>2034</v>
      </c>
      <c r="B2035" s="1" t="s">
        <v>99</v>
      </c>
      <c r="C2035" t="s">
        <v>152</v>
      </c>
      <c r="D2035">
        <v>39</v>
      </c>
      <c r="E2035" t="s">
        <v>158</v>
      </c>
    </row>
    <row r="2036" spans="1:5" x14ac:dyDescent="0.2">
      <c r="A2036">
        <v>2035</v>
      </c>
      <c r="B2036" s="1" t="s">
        <v>100</v>
      </c>
      <c r="C2036" t="s">
        <v>152</v>
      </c>
      <c r="D2036">
        <v>42</v>
      </c>
      <c r="E2036" t="s">
        <v>158</v>
      </c>
    </row>
    <row r="2037" spans="1:5" x14ac:dyDescent="0.2">
      <c r="A2037">
        <v>2036</v>
      </c>
      <c r="B2037" s="1" t="s">
        <v>99</v>
      </c>
      <c r="C2037" t="s">
        <v>151</v>
      </c>
      <c r="D2037">
        <v>83</v>
      </c>
      <c r="E2037" t="s">
        <v>158</v>
      </c>
    </row>
    <row r="2038" spans="1:5" x14ac:dyDescent="0.2">
      <c r="A2038">
        <v>2037</v>
      </c>
      <c r="B2038" s="1" t="s">
        <v>107</v>
      </c>
      <c r="C2038" t="s">
        <v>152</v>
      </c>
      <c r="D2038">
        <v>22</v>
      </c>
      <c r="E2038" t="s">
        <v>158</v>
      </c>
    </row>
    <row r="2039" spans="1:5" x14ac:dyDescent="0.2">
      <c r="A2039">
        <v>2038</v>
      </c>
      <c r="B2039" s="1" t="s">
        <v>102</v>
      </c>
      <c r="C2039" t="s">
        <v>151</v>
      </c>
      <c r="D2039">
        <v>56</v>
      </c>
      <c r="E2039" t="s">
        <v>158</v>
      </c>
    </row>
    <row r="2040" spans="1:5" x14ac:dyDescent="0.2">
      <c r="A2040">
        <v>2039</v>
      </c>
      <c r="B2040" s="1" t="s">
        <v>108</v>
      </c>
      <c r="C2040" t="s">
        <v>152</v>
      </c>
      <c r="D2040">
        <v>55</v>
      </c>
      <c r="E2040" t="s">
        <v>158</v>
      </c>
    </row>
    <row r="2041" spans="1:5" x14ac:dyDescent="0.2">
      <c r="A2041">
        <v>2040</v>
      </c>
      <c r="B2041" s="1" t="s">
        <v>109</v>
      </c>
      <c r="C2041" t="s">
        <v>151</v>
      </c>
      <c r="D2041">
        <v>38</v>
      </c>
      <c r="E2041" t="s">
        <v>158</v>
      </c>
    </row>
    <row r="2042" spans="1:5" x14ac:dyDescent="0.2">
      <c r="A2042">
        <v>2041</v>
      </c>
      <c r="B2042" s="1" t="s">
        <v>101</v>
      </c>
      <c r="C2042" t="s">
        <v>151</v>
      </c>
      <c r="D2042">
        <v>70</v>
      </c>
      <c r="E2042" t="s">
        <v>158</v>
      </c>
    </row>
    <row r="2043" spans="1:5" x14ac:dyDescent="0.2">
      <c r="A2043">
        <v>2042</v>
      </c>
      <c r="B2043" s="1" t="s">
        <v>104</v>
      </c>
      <c r="C2043" t="s">
        <v>152</v>
      </c>
      <c r="D2043">
        <v>57</v>
      </c>
      <c r="E2043" t="s">
        <v>158</v>
      </c>
    </row>
    <row r="2044" spans="1:5" x14ac:dyDescent="0.2">
      <c r="A2044">
        <v>2043</v>
      </c>
      <c r="B2044" s="1" t="s">
        <v>105</v>
      </c>
      <c r="C2044" t="s">
        <v>151</v>
      </c>
      <c r="D2044">
        <v>51</v>
      </c>
      <c r="E2044" t="s">
        <v>158</v>
      </c>
    </row>
    <row r="2045" spans="1:5" x14ac:dyDescent="0.2">
      <c r="A2045">
        <v>2044</v>
      </c>
      <c r="B2045" s="1" t="s">
        <v>99</v>
      </c>
      <c r="C2045" t="s">
        <v>152</v>
      </c>
      <c r="D2045">
        <v>39</v>
      </c>
      <c r="E2045" t="s">
        <v>158</v>
      </c>
    </row>
    <row r="2046" spans="1:5" x14ac:dyDescent="0.2">
      <c r="A2046">
        <v>2045</v>
      </c>
      <c r="B2046" s="1" t="s">
        <v>105</v>
      </c>
      <c r="C2046" t="s">
        <v>151</v>
      </c>
      <c r="D2046">
        <v>56</v>
      </c>
      <c r="E2046" t="s">
        <v>158</v>
      </c>
    </row>
    <row r="2047" spans="1:5" x14ac:dyDescent="0.2">
      <c r="A2047">
        <v>2046</v>
      </c>
      <c r="B2047" s="1" t="s">
        <v>100</v>
      </c>
      <c r="C2047" t="s">
        <v>152</v>
      </c>
      <c r="D2047">
        <v>43</v>
      </c>
      <c r="E2047" t="s">
        <v>158</v>
      </c>
    </row>
    <row r="2048" spans="1:5" x14ac:dyDescent="0.2">
      <c r="A2048">
        <v>2047</v>
      </c>
      <c r="B2048" s="1" t="s">
        <v>99</v>
      </c>
      <c r="C2048" t="s">
        <v>152</v>
      </c>
      <c r="D2048">
        <v>87</v>
      </c>
      <c r="E2048" t="s">
        <v>158</v>
      </c>
    </row>
    <row r="2049" spans="1:5" x14ac:dyDescent="0.2">
      <c r="A2049">
        <v>2048</v>
      </c>
      <c r="B2049" s="1" t="s">
        <v>99</v>
      </c>
      <c r="C2049" t="s">
        <v>151</v>
      </c>
      <c r="D2049">
        <v>63</v>
      </c>
      <c r="E2049" t="s">
        <v>158</v>
      </c>
    </row>
    <row r="2050" spans="1:5" x14ac:dyDescent="0.2">
      <c r="A2050">
        <v>2049</v>
      </c>
      <c r="B2050" s="1" t="s">
        <v>99</v>
      </c>
      <c r="C2050" t="s">
        <v>151</v>
      </c>
      <c r="D2050">
        <v>67</v>
      </c>
      <c r="E2050" t="s">
        <v>158</v>
      </c>
    </row>
    <row r="2051" spans="1:5" x14ac:dyDescent="0.2">
      <c r="A2051">
        <v>2050</v>
      </c>
      <c r="B2051" s="1" t="s">
        <v>102</v>
      </c>
      <c r="C2051" t="s">
        <v>152</v>
      </c>
      <c r="D2051">
        <v>34</v>
      </c>
      <c r="E2051" t="s">
        <v>158</v>
      </c>
    </row>
    <row r="2052" spans="1:5" x14ac:dyDescent="0.2">
      <c r="A2052">
        <v>2051</v>
      </c>
      <c r="B2052" s="1" t="s">
        <v>110</v>
      </c>
      <c r="C2052" t="s">
        <v>152</v>
      </c>
      <c r="D2052">
        <v>90</v>
      </c>
      <c r="E2052" t="s">
        <v>158</v>
      </c>
    </row>
    <row r="2053" spans="1:5" x14ac:dyDescent="0.2">
      <c r="A2053">
        <v>2052</v>
      </c>
      <c r="B2053" s="1" t="s">
        <v>107</v>
      </c>
      <c r="C2053" t="s">
        <v>151</v>
      </c>
      <c r="D2053">
        <v>65</v>
      </c>
      <c r="E2053" t="s">
        <v>158</v>
      </c>
    </row>
    <row r="2054" spans="1:5" x14ac:dyDescent="0.2">
      <c r="A2054">
        <v>2053</v>
      </c>
      <c r="B2054" s="1" t="s">
        <v>99</v>
      </c>
      <c r="C2054" t="s">
        <v>151</v>
      </c>
      <c r="D2054">
        <v>38</v>
      </c>
      <c r="E2054" t="s">
        <v>158</v>
      </c>
    </row>
    <row r="2055" spans="1:5" x14ac:dyDescent="0.2">
      <c r="A2055">
        <v>2054</v>
      </c>
      <c r="B2055" s="1" t="s">
        <v>105</v>
      </c>
      <c r="C2055" t="s">
        <v>152</v>
      </c>
      <c r="D2055">
        <v>28</v>
      </c>
      <c r="E2055" t="s">
        <v>158</v>
      </c>
    </row>
    <row r="2056" spans="1:5" x14ac:dyDescent="0.2">
      <c r="A2056">
        <v>2055</v>
      </c>
      <c r="B2056" s="1" t="s">
        <v>99</v>
      </c>
      <c r="C2056" t="s">
        <v>152</v>
      </c>
      <c r="D2056">
        <v>33</v>
      </c>
      <c r="E2056" t="s">
        <v>158</v>
      </c>
    </row>
    <row r="2057" spans="1:5" x14ac:dyDescent="0.2">
      <c r="A2057">
        <v>2056</v>
      </c>
      <c r="B2057" s="1" t="s">
        <v>99</v>
      </c>
      <c r="C2057" t="s">
        <v>151</v>
      </c>
      <c r="D2057">
        <v>79</v>
      </c>
      <c r="E2057" t="s">
        <v>158</v>
      </c>
    </row>
    <row r="2058" spans="1:5" x14ac:dyDescent="0.2">
      <c r="A2058">
        <v>2057</v>
      </c>
      <c r="B2058" s="1" t="s">
        <v>100</v>
      </c>
      <c r="C2058" t="s">
        <v>151</v>
      </c>
      <c r="D2058">
        <v>41</v>
      </c>
      <c r="E2058" t="s">
        <v>158</v>
      </c>
    </row>
    <row r="2059" spans="1:5" x14ac:dyDescent="0.2">
      <c r="A2059">
        <v>2058</v>
      </c>
      <c r="B2059" s="1" t="s">
        <v>99</v>
      </c>
      <c r="C2059" t="s">
        <v>151</v>
      </c>
      <c r="D2059">
        <v>30</v>
      </c>
      <c r="E2059" t="s">
        <v>158</v>
      </c>
    </row>
    <row r="2060" spans="1:5" x14ac:dyDescent="0.2">
      <c r="A2060">
        <v>2059</v>
      </c>
      <c r="B2060" s="1" t="s">
        <v>108</v>
      </c>
      <c r="C2060" t="s">
        <v>151</v>
      </c>
      <c r="D2060">
        <v>27</v>
      </c>
      <c r="E2060" t="s">
        <v>158</v>
      </c>
    </row>
    <row r="2061" spans="1:5" x14ac:dyDescent="0.2">
      <c r="A2061">
        <v>2060</v>
      </c>
      <c r="B2061" s="1" t="s">
        <v>100</v>
      </c>
      <c r="C2061" t="s">
        <v>152</v>
      </c>
      <c r="D2061">
        <v>42</v>
      </c>
      <c r="E2061" t="s">
        <v>158</v>
      </c>
    </row>
    <row r="2062" spans="1:5" x14ac:dyDescent="0.2">
      <c r="A2062">
        <v>2061</v>
      </c>
      <c r="B2062" s="1" t="s">
        <v>99</v>
      </c>
      <c r="C2062" t="s">
        <v>151</v>
      </c>
      <c r="D2062">
        <v>78</v>
      </c>
      <c r="E2062" t="s">
        <v>158</v>
      </c>
    </row>
    <row r="2063" spans="1:5" x14ac:dyDescent="0.2">
      <c r="A2063">
        <v>2062</v>
      </c>
      <c r="B2063" s="1" t="s">
        <v>101</v>
      </c>
      <c r="C2063" t="s">
        <v>151</v>
      </c>
      <c r="D2063">
        <v>52</v>
      </c>
      <c r="E2063" t="s">
        <v>158</v>
      </c>
    </row>
    <row r="2064" spans="1:5" x14ac:dyDescent="0.2">
      <c r="A2064">
        <v>2063</v>
      </c>
      <c r="B2064" s="1" t="s">
        <v>101</v>
      </c>
      <c r="C2064" t="s">
        <v>151</v>
      </c>
      <c r="D2064">
        <v>23</v>
      </c>
      <c r="E2064" t="s">
        <v>158</v>
      </c>
    </row>
    <row r="2065" spans="1:5" x14ac:dyDescent="0.2">
      <c r="A2065">
        <v>2064</v>
      </c>
      <c r="B2065" s="1" t="s">
        <v>102</v>
      </c>
      <c r="C2065" t="s">
        <v>151</v>
      </c>
      <c r="D2065">
        <v>47</v>
      </c>
      <c r="E2065" t="s">
        <v>158</v>
      </c>
    </row>
    <row r="2066" spans="1:5" x14ac:dyDescent="0.2">
      <c r="A2066">
        <v>2065</v>
      </c>
      <c r="B2066" s="1" t="s">
        <v>101</v>
      </c>
      <c r="C2066" t="s">
        <v>152</v>
      </c>
      <c r="D2066">
        <v>58</v>
      </c>
      <c r="E2066" t="s">
        <v>158</v>
      </c>
    </row>
    <row r="2067" spans="1:5" x14ac:dyDescent="0.2">
      <c r="A2067">
        <v>2066</v>
      </c>
      <c r="B2067" s="1" t="s">
        <v>105</v>
      </c>
      <c r="C2067" t="s">
        <v>151</v>
      </c>
      <c r="D2067">
        <v>69</v>
      </c>
      <c r="E2067" t="s">
        <v>158</v>
      </c>
    </row>
    <row r="2068" spans="1:5" x14ac:dyDescent="0.2">
      <c r="A2068">
        <v>2067</v>
      </c>
      <c r="B2068" s="1" t="s">
        <v>102</v>
      </c>
      <c r="C2068" t="s">
        <v>152</v>
      </c>
      <c r="D2068">
        <v>70</v>
      </c>
      <c r="E2068" t="s">
        <v>158</v>
      </c>
    </row>
    <row r="2069" spans="1:5" x14ac:dyDescent="0.2">
      <c r="A2069">
        <v>2068</v>
      </c>
      <c r="B2069" s="1" t="s">
        <v>99</v>
      </c>
      <c r="C2069" t="s">
        <v>151</v>
      </c>
      <c r="D2069">
        <v>70</v>
      </c>
      <c r="E2069" t="s">
        <v>158</v>
      </c>
    </row>
    <row r="2070" spans="1:5" x14ac:dyDescent="0.2">
      <c r="A2070">
        <v>2069</v>
      </c>
      <c r="B2070" s="1" t="s">
        <v>110</v>
      </c>
      <c r="C2070" t="s">
        <v>152</v>
      </c>
      <c r="D2070">
        <v>61</v>
      </c>
      <c r="E2070" t="s">
        <v>158</v>
      </c>
    </row>
    <row r="2071" spans="1:5" x14ac:dyDescent="0.2">
      <c r="A2071">
        <v>2070</v>
      </c>
      <c r="B2071" s="1" t="s">
        <v>105</v>
      </c>
      <c r="C2071" t="s">
        <v>151</v>
      </c>
      <c r="D2071">
        <v>41</v>
      </c>
      <c r="E2071" t="s">
        <v>158</v>
      </c>
    </row>
    <row r="2072" spans="1:5" x14ac:dyDescent="0.2">
      <c r="A2072">
        <v>2071</v>
      </c>
      <c r="B2072" s="1" t="s">
        <v>105</v>
      </c>
      <c r="C2072" t="s">
        <v>151</v>
      </c>
      <c r="D2072">
        <v>46</v>
      </c>
      <c r="E2072" t="s">
        <v>158</v>
      </c>
    </row>
    <row r="2073" spans="1:5" x14ac:dyDescent="0.2">
      <c r="A2073">
        <v>2072</v>
      </c>
      <c r="B2073" s="1" t="s">
        <v>99</v>
      </c>
      <c r="C2073" t="s">
        <v>151</v>
      </c>
      <c r="D2073">
        <v>80</v>
      </c>
      <c r="E2073" t="s">
        <v>158</v>
      </c>
    </row>
    <row r="2074" spans="1:5" x14ac:dyDescent="0.2">
      <c r="A2074">
        <v>2073</v>
      </c>
      <c r="B2074" s="1" t="s">
        <v>104</v>
      </c>
      <c r="C2074" t="s">
        <v>152</v>
      </c>
      <c r="D2074">
        <v>30</v>
      </c>
      <c r="E2074" t="s">
        <v>158</v>
      </c>
    </row>
    <row r="2075" spans="1:5" x14ac:dyDescent="0.2">
      <c r="A2075">
        <v>2074</v>
      </c>
      <c r="B2075" s="1" t="s">
        <v>99</v>
      </c>
      <c r="C2075" t="s">
        <v>152</v>
      </c>
      <c r="D2075">
        <v>86</v>
      </c>
      <c r="E2075" t="s">
        <v>158</v>
      </c>
    </row>
    <row r="2076" spans="1:5" x14ac:dyDescent="0.2">
      <c r="A2076">
        <v>2075</v>
      </c>
      <c r="B2076" s="1" t="s">
        <v>99</v>
      </c>
      <c r="C2076" t="s">
        <v>151</v>
      </c>
      <c r="D2076">
        <v>81</v>
      </c>
      <c r="E2076" t="s">
        <v>158</v>
      </c>
    </row>
    <row r="2077" spans="1:5" x14ac:dyDescent="0.2">
      <c r="A2077">
        <v>2076</v>
      </c>
      <c r="B2077" s="1" t="s">
        <v>99</v>
      </c>
      <c r="C2077" t="s">
        <v>152</v>
      </c>
      <c r="D2077">
        <v>55</v>
      </c>
      <c r="E2077" t="s">
        <v>158</v>
      </c>
    </row>
    <row r="2078" spans="1:5" x14ac:dyDescent="0.2">
      <c r="A2078">
        <v>2077</v>
      </c>
      <c r="B2078" s="1" t="s">
        <v>105</v>
      </c>
      <c r="C2078" t="s">
        <v>152</v>
      </c>
      <c r="D2078">
        <v>61</v>
      </c>
      <c r="E2078" t="s">
        <v>158</v>
      </c>
    </row>
    <row r="2079" spans="1:5" x14ac:dyDescent="0.2">
      <c r="A2079">
        <v>2078</v>
      </c>
      <c r="B2079" s="1" t="s">
        <v>104</v>
      </c>
      <c r="C2079" t="s">
        <v>151</v>
      </c>
      <c r="D2079">
        <v>63</v>
      </c>
      <c r="E2079" t="s">
        <v>158</v>
      </c>
    </row>
    <row r="2080" spans="1:5" x14ac:dyDescent="0.2">
      <c r="A2080">
        <v>2079</v>
      </c>
      <c r="B2080" s="1" t="s">
        <v>99</v>
      </c>
      <c r="C2080" t="s">
        <v>151</v>
      </c>
      <c r="D2080">
        <v>55</v>
      </c>
      <c r="E2080" t="s">
        <v>158</v>
      </c>
    </row>
    <row r="2081" spans="1:5" x14ac:dyDescent="0.2">
      <c r="A2081">
        <v>2080</v>
      </c>
      <c r="B2081" s="1" t="s">
        <v>99</v>
      </c>
      <c r="C2081" t="s">
        <v>151</v>
      </c>
      <c r="D2081">
        <v>73</v>
      </c>
      <c r="E2081" t="s">
        <v>158</v>
      </c>
    </row>
    <row r="2082" spans="1:5" x14ac:dyDescent="0.2">
      <c r="A2082">
        <v>2081</v>
      </c>
      <c r="B2082" s="1" t="s">
        <v>106</v>
      </c>
      <c r="C2082" t="s">
        <v>152</v>
      </c>
      <c r="D2082">
        <v>82</v>
      </c>
      <c r="E2082" t="s">
        <v>158</v>
      </c>
    </row>
    <row r="2083" spans="1:5" x14ac:dyDescent="0.2">
      <c r="A2083">
        <v>2082</v>
      </c>
      <c r="B2083" s="1" t="s">
        <v>109</v>
      </c>
      <c r="C2083" t="s">
        <v>151</v>
      </c>
      <c r="D2083">
        <v>70</v>
      </c>
      <c r="E2083" t="s">
        <v>158</v>
      </c>
    </row>
    <row r="2084" spans="1:5" x14ac:dyDescent="0.2">
      <c r="A2084">
        <v>2083</v>
      </c>
      <c r="B2084" s="1" t="s">
        <v>99</v>
      </c>
      <c r="C2084" t="s">
        <v>151</v>
      </c>
      <c r="D2084">
        <v>22</v>
      </c>
      <c r="E2084" t="s">
        <v>158</v>
      </c>
    </row>
    <row r="2085" spans="1:5" x14ac:dyDescent="0.2">
      <c r="A2085">
        <v>2084</v>
      </c>
      <c r="B2085" s="1" t="s">
        <v>99</v>
      </c>
      <c r="C2085" t="s">
        <v>152</v>
      </c>
      <c r="D2085">
        <v>75</v>
      </c>
      <c r="E2085" t="s">
        <v>158</v>
      </c>
    </row>
    <row r="2086" spans="1:5" x14ac:dyDescent="0.2">
      <c r="A2086">
        <v>2085</v>
      </c>
      <c r="B2086" s="1" t="s">
        <v>100</v>
      </c>
      <c r="C2086" t="s">
        <v>152</v>
      </c>
      <c r="D2086">
        <v>23</v>
      </c>
      <c r="E2086" t="s">
        <v>158</v>
      </c>
    </row>
    <row r="2087" spans="1:5" x14ac:dyDescent="0.2">
      <c r="A2087">
        <v>2086</v>
      </c>
      <c r="B2087" s="1" t="s">
        <v>99</v>
      </c>
      <c r="C2087" t="s">
        <v>152</v>
      </c>
      <c r="D2087">
        <v>48</v>
      </c>
      <c r="E2087" t="s">
        <v>158</v>
      </c>
    </row>
    <row r="2088" spans="1:5" x14ac:dyDescent="0.2">
      <c r="A2088">
        <v>2087</v>
      </c>
      <c r="B2088" s="1" t="s">
        <v>99</v>
      </c>
      <c r="C2088" t="s">
        <v>152</v>
      </c>
      <c r="D2088">
        <v>49</v>
      </c>
      <c r="E2088" t="s">
        <v>158</v>
      </c>
    </row>
    <row r="2089" spans="1:5" x14ac:dyDescent="0.2">
      <c r="A2089">
        <v>2088</v>
      </c>
      <c r="B2089" s="1" t="s">
        <v>99</v>
      </c>
      <c r="C2089" t="s">
        <v>151</v>
      </c>
      <c r="D2089">
        <v>56</v>
      </c>
      <c r="E2089" t="s">
        <v>158</v>
      </c>
    </row>
    <row r="2090" spans="1:5" x14ac:dyDescent="0.2">
      <c r="A2090">
        <v>2089</v>
      </c>
      <c r="B2090" s="1" t="s">
        <v>99</v>
      </c>
      <c r="C2090" t="s">
        <v>151</v>
      </c>
      <c r="D2090">
        <v>28</v>
      </c>
      <c r="E2090" t="s">
        <v>158</v>
      </c>
    </row>
    <row r="2091" spans="1:5" x14ac:dyDescent="0.2">
      <c r="A2091">
        <v>2090</v>
      </c>
      <c r="B2091" s="1" t="s">
        <v>99</v>
      </c>
      <c r="C2091" t="s">
        <v>152</v>
      </c>
      <c r="D2091">
        <v>74</v>
      </c>
      <c r="E2091" t="s">
        <v>158</v>
      </c>
    </row>
    <row r="2092" spans="1:5" x14ac:dyDescent="0.2">
      <c r="A2092">
        <v>2091</v>
      </c>
      <c r="B2092" s="1" t="s">
        <v>99</v>
      </c>
      <c r="C2092" t="s">
        <v>151</v>
      </c>
      <c r="D2092">
        <v>66</v>
      </c>
      <c r="E2092" t="s">
        <v>158</v>
      </c>
    </row>
    <row r="2093" spans="1:5" x14ac:dyDescent="0.2">
      <c r="A2093">
        <v>2092</v>
      </c>
      <c r="B2093" s="1" t="s">
        <v>99</v>
      </c>
      <c r="C2093" t="s">
        <v>151</v>
      </c>
      <c r="D2093">
        <v>90</v>
      </c>
      <c r="E2093" t="s">
        <v>158</v>
      </c>
    </row>
    <row r="2094" spans="1:5" x14ac:dyDescent="0.2">
      <c r="A2094">
        <v>2093</v>
      </c>
      <c r="B2094" s="1" t="s">
        <v>100</v>
      </c>
      <c r="C2094" t="s">
        <v>152</v>
      </c>
      <c r="D2094">
        <v>41</v>
      </c>
      <c r="E2094" t="s">
        <v>158</v>
      </c>
    </row>
    <row r="2095" spans="1:5" x14ac:dyDescent="0.2">
      <c r="A2095">
        <v>2094</v>
      </c>
      <c r="B2095" s="1" t="s">
        <v>101</v>
      </c>
      <c r="C2095" t="s">
        <v>152</v>
      </c>
      <c r="D2095">
        <v>24</v>
      </c>
      <c r="E2095" t="s">
        <v>158</v>
      </c>
    </row>
    <row r="2096" spans="1:5" x14ac:dyDescent="0.2">
      <c r="A2096">
        <v>2095</v>
      </c>
      <c r="B2096" s="1" t="s">
        <v>99</v>
      </c>
      <c r="C2096" t="s">
        <v>152</v>
      </c>
      <c r="D2096">
        <v>29</v>
      </c>
      <c r="E2096" t="s">
        <v>158</v>
      </c>
    </row>
    <row r="2097" spans="1:5" x14ac:dyDescent="0.2">
      <c r="A2097">
        <v>2096</v>
      </c>
      <c r="B2097" s="1" t="s">
        <v>99</v>
      </c>
      <c r="C2097" t="s">
        <v>151</v>
      </c>
      <c r="D2097">
        <v>36</v>
      </c>
      <c r="E2097" t="s">
        <v>158</v>
      </c>
    </row>
    <row r="2098" spans="1:5" x14ac:dyDescent="0.2">
      <c r="A2098">
        <v>2097</v>
      </c>
      <c r="B2098" s="1" t="s">
        <v>100</v>
      </c>
      <c r="C2098" t="s">
        <v>151</v>
      </c>
      <c r="D2098">
        <v>30</v>
      </c>
      <c r="E2098" t="s">
        <v>158</v>
      </c>
    </row>
    <row r="2099" spans="1:5" x14ac:dyDescent="0.2">
      <c r="A2099">
        <v>2098</v>
      </c>
      <c r="B2099" s="1" t="s">
        <v>107</v>
      </c>
      <c r="C2099" t="s">
        <v>151</v>
      </c>
      <c r="D2099">
        <v>35</v>
      </c>
      <c r="E2099" t="s">
        <v>158</v>
      </c>
    </row>
    <row r="2100" spans="1:5" x14ac:dyDescent="0.2">
      <c r="A2100">
        <v>2099</v>
      </c>
      <c r="B2100" s="1" t="s">
        <v>106</v>
      </c>
      <c r="C2100" t="s">
        <v>152</v>
      </c>
      <c r="D2100">
        <v>76</v>
      </c>
      <c r="E2100" t="s">
        <v>158</v>
      </c>
    </row>
    <row r="2101" spans="1:5" x14ac:dyDescent="0.2">
      <c r="A2101">
        <v>2100</v>
      </c>
      <c r="B2101" s="1" t="s">
        <v>100</v>
      </c>
      <c r="C2101" t="s">
        <v>151</v>
      </c>
      <c r="D2101">
        <v>82</v>
      </c>
      <c r="E2101" t="s">
        <v>158</v>
      </c>
    </row>
    <row r="2102" spans="1:5" x14ac:dyDescent="0.2">
      <c r="A2102">
        <v>2101</v>
      </c>
      <c r="B2102" s="1" t="s">
        <v>107</v>
      </c>
      <c r="C2102" t="s">
        <v>151</v>
      </c>
      <c r="D2102">
        <v>57</v>
      </c>
      <c r="E2102" t="s">
        <v>158</v>
      </c>
    </row>
    <row r="2103" spans="1:5" x14ac:dyDescent="0.2">
      <c r="A2103">
        <v>2102</v>
      </c>
      <c r="B2103" s="1" t="s">
        <v>99</v>
      </c>
      <c r="C2103" t="s">
        <v>152</v>
      </c>
      <c r="D2103">
        <v>57</v>
      </c>
      <c r="E2103" t="s">
        <v>158</v>
      </c>
    </row>
    <row r="2104" spans="1:5" x14ac:dyDescent="0.2">
      <c r="A2104">
        <v>2103</v>
      </c>
      <c r="B2104" s="1" t="s">
        <v>99</v>
      </c>
      <c r="C2104" t="s">
        <v>151</v>
      </c>
      <c r="D2104">
        <v>87</v>
      </c>
      <c r="E2104" t="s">
        <v>158</v>
      </c>
    </row>
    <row r="2105" spans="1:5" x14ac:dyDescent="0.2">
      <c r="A2105">
        <v>2104</v>
      </c>
      <c r="B2105" s="1" t="s">
        <v>99</v>
      </c>
      <c r="C2105" t="s">
        <v>151</v>
      </c>
      <c r="D2105">
        <v>59</v>
      </c>
      <c r="E2105" t="s">
        <v>158</v>
      </c>
    </row>
    <row r="2106" spans="1:5" x14ac:dyDescent="0.2">
      <c r="A2106">
        <v>2105</v>
      </c>
      <c r="B2106" s="1" t="s">
        <v>108</v>
      </c>
      <c r="C2106" t="s">
        <v>151</v>
      </c>
      <c r="D2106">
        <v>33</v>
      </c>
      <c r="E2106" t="s">
        <v>158</v>
      </c>
    </row>
    <row r="2107" spans="1:5" x14ac:dyDescent="0.2">
      <c r="A2107">
        <v>2106</v>
      </c>
      <c r="B2107" s="1" t="s">
        <v>107</v>
      </c>
      <c r="C2107" t="s">
        <v>151</v>
      </c>
      <c r="D2107">
        <v>36</v>
      </c>
      <c r="E2107" t="s">
        <v>158</v>
      </c>
    </row>
    <row r="2108" spans="1:5" x14ac:dyDescent="0.2">
      <c r="A2108">
        <v>2107</v>
      </c>
      <c r="B2108" s="1" t="s">
        <v>105</v>
      </c>
      <c r="C2108" t="s">
        <v>151</v>
      </c>
      <c r="D2108">
        <v>56</v>
      </c>
      <c r="E2108" t="s">
        <v>158</v>
      </c>
    </row>
    <row r="2109" spans="1:5" x14ac:dyDescent="0.2">
      <c r="A2109">
        <v>2108</v>
      </c>
      <c r="B2109" s="1" t="s">
        <v>99</v>
      </c>
      <c r="C2109" t="s">
        <v>151</v>
      </c>
      <c r="D2109">
        <v>37</v>
      </c>
      <c r="E2109" t="s">
        <v>158</v>
      </c>
    </row>
    <row r="2110" spans="1:5" x14ac:dyDescent="0.2">
      <c r="A2110">
        <v>2109</v>
      </c>
      <c r="B2110" s="1" t="s">
        <v>99</v>
      </c>
      <c r="C2110" t="s">
        <v>151</v>
      </c>
      <c r="D2110">
        <v>62</v>
      </c>
      <c r="E2110" t="s">
        <v>158</v>
      </c>
    </row>
    <row r="2111" spans="1:5" x14ac:dyDescent="0.2">
      <c r="A2111">
        <v>2110</v>
      </c>
      <c r="B2111" s="1" t="s">
        <v>100</v>
      </c>
      <c r="C2111" t="s">
        <v>151</v>
      </c>
      <c r="D2111">
        <v>84</v>
      </c>
      <c r="E2111" t="s">
        <v>158</v>
      </c>
    </row>
    <row r="2112" spans="1:5" x14ac:dyDescent="0.2">
      <c r="A2112">
        <v>2111</v>
      </c>
      <c r="B2112" s="1" t="s">
        <v>100</v>
      </c>
      <c r="C2112" t="s">
        <v>152</v>
      </c>
      <c r="D2112">
        <v>42</v>
      </c>
      <c r="E2112" t="s">
        <v>158</v>
      </c>
    </row>
    <row r="2113" spans="1:5" x14ac:dyDescent="0.2">
      <c r="A2113">
        <v>2112</v>
      </c>
      <c r="B2113" s="1" t="s">
        <v>99</v>
      </c>
      <c r="C2113" t="s">
        <v>151</v>
      </c>
      <c r="D2113">
        <v>70</v>
      </c>
      <c r="E2113" t="s">
        <v>158</v>
      </c>
    </row>
    <row r="2114" spans="1:5" x14ac:dyDescent="0.2">
      <c r="A2114">
        <v>2113</v>
      </c>
      <c r="B2114" s="1" t="s">
        <v>99</v>
      </c>
      <c r="C2114" t="s">
        <v>152</v>
      </c>
      <c r="D2114">
        <v>32</v>
      </c>
      <c r="E2114" t="s">
        <v>158</v>
      </c>
    </row>
    <row r="2115" spans="1:5" x14ac:dyDescent="0.2">
      <c r="A2115">
        <v>2114</v>
      </c>
      <c r="B2115" s="1" t="s">
        <v>100</v>
      </c>
      <c r="C2115" t="s">
        <v>151</v>
      </c>
      <c r="D2115">
        <v>62</v>
      </c>
      <c r="E2115" t="s">
        <v>158</v>
      </c>
    </row>
    <row r="2116" spans="1:5" x14ac:dyDescent="0.2">
      <c r="A2116">
        <v>2115</v>
      </c>
      <c r="B2116" s="1" t="s">
        <v>99</v>
      </c>
      <c r="C2116" t="s">
        <v>152</v>
      </c>
      <c r="D2116">
        <v>45</v>
      </c>
      <c r="E2116" t="s">
        <v>158</v>
      </c>
    </row>
    <row r="2117" spans="1:5" x14ac:dyDescent="0.2">
      <c r="A2117">
        <v>2116</v>
      </c>
      <c r="B2117" s="1" t="s">
        <v>110</v>
      </c>
      <c r="C2117" t="s">
        <v>152</v>
      </c>
      <c r="D2117">
        <v>84</v>
      </c>
      <c r="E2117" t="s">
        <v>158</v>
      </c>
    </row>
    <row r="2118" spans="1:5" x14ac:dyDescent="0.2">
      <c r="A2118">
        <v>2117</v>
      </c>
      <c r="B2118" s="1" t="s">
        <v>99</v>
      </c>
      <c r="C2118" t="s">
        <v>152</v>
      </c>
      <c r="D2118">
        <v>21</v>
      </c>
      <c r="E2118" t="s">
        <v>158</v>
      </c>
    </row>
    <row r="2119" spans="1:5" x14ac:dyDescent="0.2">
      <c r="A2119">
        <v>2118</v>
      </c>
      <c r="B2119" s="1" t="s">
        <v>99</v>
      </c>
      <c r="C2119" t="s">
        <v>151</v>
      </c>
      <c r="D2119">
        <v>68</v>
      </c>
      <c r="E2119" t="s">
        <v>158</v>
      </c>
    </row>
    <row r="2120" spans="1:5" x14ac:dyDescent="0.2">
      <c r="A2120">
        <v>2119</v>
      </c>
      <c r="B2120" s="1" t="s">
        <v>99</v>
      </c>
      <c r="C2120" t="s">
        <v>152</v>
      </c>
      <c r="D2120">
        <v>68</v>
      </c>
      <c r="E2120" t="s">
        <v>158</v>
      </c>
    </row>
    <row r="2121" spans="1:5" x14ac:dyDescent="0.2">
      <c r="A2121">
        <v>2120</v>
      </c>
      <c r="B2121" s="1" t="s">
        <v>99</v>
      </c>
      <c r="C2121" t="s">
        <v>152</v>
      </c>
      <c r="D2121">
        <v>26</v>
      </c>
      <c r="E2121" t="s">
        <v>158</v>
      </c>
    </row>
    <row r="2122" spans="1:5" x14ac:dyDescent="0.2">
      <c r="A2122">
        <v>2121</v>
      </c>
      <c r="B2122" s="1" t="s">
        <v>103</v>
      </c>
      <c r="C2122" t="s">
        <v>151</v>
      </c>
      <c r="D2122">
        <v>29</v>
      </c>
      <c r="E2122" t="s">
        <v>158</v>
      </c>
    </row>
    <row r="2123" spans="1:5" x14ac:dyDescent="0.2">
      <c r="A2123">
        <v>2122</v>
      </c>
      <c r="B2123" s="1" t="s">
        <v>100</v>
      </c>
      <c r="C2123" t="s">
        <v>151</v>
      </c>
      <c r="D2123">
        <v>84</v>
      </c>
      <c r="E2123" t="s">
        <v>158</v>
      </c>
    </row>
    <row r="2124" spans="1:5" x14ac:dyDescent="0.2">
      <c r="A2124">
        <v>2123</v>
      </c>
      <c r="B2124" s="1" t="s">
        <v>107</v>
      </c>
      <c r="C2124" t="s">
        <v>152</v>
      </c>
      <c r="D2124">
        <v>54</v>
      </c>
      <c r="E2124" t="s">
        <v>158</v>
      </c>
    </row>
    <row r="2125" spans="1:5" x14ac:dyDescent="0.2">
      <c r="A2125">
        <v>2124</v>
      </c>
      <c r="B2125" s="1" t="s">
        <v>100</v>
      </c>
      <c r="C2125" t="s">
        <v>152</v>
      </c>
      <c r="D2125">
        <v>83</v>
      </c>
      <c r="E2125" t="s">
        <v>158</v>
      </c>
    </row>
    <row r="2126" spans="1:5" x14ac:dyDescent="0.2">
      <c r="A2126">
        <v>2125</v>
      </c>
      <c r="B2126" s="1" t="s">
        <v>99</v>
      </c>
      <c r="C2126" t="s">
        <v>152</v>
      </c>
      <c r="D2126">
        <v>69</v>
      </c>
      <c r="E2126" t="s">
        <v>158</v>
      </c>
    </row>
    <row r="2127" spans="1:5" x14ac:dyDescent="0.2">
      <c r="A2127">
        <v>2126</v>
      </c>
      <c r="B2127" s="1" t="s">
        <v>99</v>
      </c>
      <c r="C2127" t="s">
        <v>152</v>
      </c>
      <c r="D2127">
        <v>76</v>
      </c>
      <c r="E2127" t="s">
        <v>158</v>
      </c>
    </row>
    <row r="2128" spans="1:5" x14ac:dyDescent="0.2">
      <c r="A2128">
        <v>2127</v>
      </c>
      <c r="B2128" s="1" t="s">
        <v>99</v>
      </c>
      <c r="C2128" t="s">
        <v>152</v>
      </c>
      <c r="D2128">
        <v>37</v>
      </c>
      <c r="E2128" t="s">
        <v>158</v>
      </c>
    </row>
    <row r="2129" spans="1:5" x14ac:dyDescent="0.2">
      <c r="A2129">
        <v>2128</v>
      </c>
      <c r="B2129" s="1" t="s">
        <v>100</v>
      </c>
      <c r="C2129" t="s">
        <v>152</v>
      </c>
      <c r="D2129">
        <v>56</v>
      </c>
      <c r="E2129" t="s">
        <v>158</v>
      </c>
    </row>
    <row r="2130" spans="1:5" x14ac:dyDescent="0.2">
      <c r="A2130">
        <v>2129</v>
      </c>
      <c r="B2130" s="1" t="s">
        <v>109</v>
      </c>
      <c r="C2130" t="s">
        <v>152</v>
      </c>
      <c r="D2130">
        <v>67</v>
      </c>
      <c r="E2130" t="s">
        <v>158</v>
      </c>
    </row>
    <row r="2131" spans="1:5" x14ac:dyDescent="0.2">
      <c r="A2131">
        <v>2130</v>
      </c>
      <c r="B2131" s="1" t="s">
        <v>109</v>
      </c>
      <c r="C2131" t="s">
        <v>152</v>
      </c>
      <c r="D2131">
        <v>20</v>
      </c>
      <c r="E2131" t="s">
        <v>158</v>
      </c>
    </row>
    <row r="2132" spans="1:5" x14ac:dyDescent="0.2">
      <c r="A2132">
        <v>2131</v>
      </c>
      <c r="B2132" s="1" t="s">
        <v>100</v>
      </c>
      <c r="C2132" t="s">
        <v>152</v>
      </c>
      <c r="D2132">
        <v>89</v>
      </c>
      <c r="E2132" t="s">
        <v>158</v>
      </c>
    </row>
    <row r="2133" spans="1:5" x14ac:dyDescent="0.2">
      <c r="A2133">
        <v>2132</v>
      </c>
      <c r="B2133" s="1" t="s">
        <v>105</v>
      </c>
      <c r="C2133" t="s">
        <v>152</v>
      </c>
      <c r="D2133">
        <v>55</v>
      </c>
      <c r="E2133" t="s">
        <v>158</v>
      </c>
    </row>
    <row r="2134" spans="1:5" x14ac:dyDescent="0.2">
      <c r="A2134">
        <v>2133</v>
      </c>
      <c r="B2134" s="1" t="s">
        <v>104</v>
      </c>
      <c r="C2134" t="s">
        <v>151</v>
      </c>
      <c r="D2134">
        <v>69</v>
      </c>
      <c r="E2134" t="s">
        <v>158</v>
      </c>
    </row>
    <row r="2135" spans="1:5" x14ac:dyDescent="0.2">
      <c r="A2135">
        <v>2134</v>
      </c>
      <c r="B2135" s="1" t="s">
        <v>106</v>
      </c>
      <c r="C2135" t="s">
        <v>152</v>
      </c>
      <c r="D2135">
        <v>69</v>
      </c>
      <c r="E2135" t="s">
        <v>158</v>
      </c>
    </row>
    <row r="2136" spans="1:5" x14ac:dyDescent="0.2">
      <c r="A2136">
        <v>2135</v>
      </c>
      <c r="B2136" s="1" t="s">
        <v>100</v>
      </c>
      <c r="C2136" t="s">
        <v>151</v>
      </c>
      <c r="D2136">
        <v>61</v>
      </c>
      <c r="E2136" t="s">
        <v>158</v>
      </c>
    </row>
    <row r="2137" spans="1:5" x14ac:dyDescent="0.2">
      <c r="A2137">
        <v>2136</v>
      </c>
      <c r="B2137" s="1" t="s">
        <v>99</v>
      </c>
      <c r="C2137" t="s">
        <v>151</v>
      </c>
      <c r="D2137">
        <v>83</v>
      </c>
      <c r="E2137" t="s">
        <v>158</v>
      </c>
    </row>
    <row r="2138" spans="1:5" x14ac:dyDescent="0.2">
      <c r="A2138">
        <v>2137</v>
      </c>
      <c r="B2138" s="1" t="s">
        <v>107</v>
      </c>
      <c r="C2138" t="s">
        <v>151</v>
      </c>
      <c r="D2138">
        <v>62</v>
      </c>
      <c r="E2138" t="s">
        <v>158</v>
      </c>
    </row>
    <row r="2139" spans="1:5" x14ac:dyDescent="0.2">
      <c r="A2139">
        <v>2138</v>
      </c>
      <c r="B2139" s="1" t="s">
        <v>99</v>
      </c>
      <c r="C2139" t="s">
        <v>151</v>
      </c>
      <c r="D2139">
        <v>87</v>
      </c>
      <c r="E2139" t="s">
        <v>158</v>
      </c>
    </row>
    <row r="2140" spans="1:5" x14ac:dyDescent="0.2">
      <c r="A2140">
        <v>2139</v>
      </c>
      <c r="B2140" s="1" t="s">
        <v>101</v>
      </c>
      <c r="C2140" t="s">
        <v>152</v>
      </c>
      <c r="D2140">
        <v>24</v>
      </c>
      <c r="E2140" t="s">
        <v>158</v>
      </c>
    </row>
    <row r="2141" spans="1:5" x14ac:dyDescent="0.2">
      <c r="A2141">
        <v>2140</v>
      </c>
      <c r="B2141" s="1" t="s">
        <v>99</v>
      </c>
      <c r="C2141" t="s">
        <v>151</v>
      </c>
      <c r="D2141">
        <v>53</v>
      </c>
      <c r="E2141" t="s">
        <v>158</v>
      </c>
    </row>
    <row r="2142" spans="1:5" x14ac:dyDescent="0.2">
      <c r="A2142">
        <v>2141</v>
      </c>
      <c r="B2142" s="1" t="s">
        <v>99</v>
      </c>
      <c r="C2142" t="s">
        <v>151</v>
      </c>
      <c r="D2142">
        <v>53</v>
      </c>
      <c r="E2142" t="s">
        <v>158</v>
      </c>
    </row>
    <row r="2143" spans="1:5" x14ac:dyDescent="0.2">
      <c r="A2143">
        <v>2142</v>
      </c>
      <c r="B2143" s="1" t="s">
        <v>100</v>
      </c>
      <c r="C2143" t="s">
        <v>151</v>
      </c>
      <c r="D2143">
        <v>37</v>
      </c>
      <c r="E2143" t="s">
        <v>158</v>
      </c>
    </row>
    <row r="2144" spans="1:5" x14ac:dyDescent="0.2">
      <c r="A2144">
        <v>2143</v>
      </c>
      <c r="B2144" s="1" t="s">
        <v>99</v>
      </c>
      <c r="C2144" t="s">
        <v>152</v>
      </c>
      <c r="D2144">
        <v>59</v>
      </c>
      <c r="E2144" t="s">
        <v>158</v>
      </c>
    </row>
    <row r="2145" spans="1:5" x14ac:dyDescent="0.2">
      <c r="A2145">
        <v>2144</v>
      </c>
      <c r="B2145" s="1" t="s">
        <v>105</v>
      </c>
      <c r="C2145" t="s">
        <v>151</v>
      </c>
      <c r="D2145">
        <v>59</v>
      </c>
      <c r="E2145" t="s">
        <v>158</v>
      </c>
    </row>
    <row r="2146" spans="1:5" x14ac:dyDescent="0.2">
      <c r="A2146">
        <v>2145</v>
      </c>
      <c r="B2146" s="1" t="s">
        <v>99</v>
      </c>
      <c r="C2146" t="s">
        <v>152</v>
      </c>
      <c r="D2146">
        <v>60</v>
      </c>
      <c r="E2146" t="s">
        <v>158</v>
      </c>
    </row>
    <row r="2147" spans="1:5" x14ac:dyDescent="0.2">
      <c r="A2147">
        <v>2146</v>
      </c>
      <c r="B2147" s="1" t="s">
        <v>99</v>
      </c>
      <c r="C2147" t="s">
        <v>152</v>
      </c>
      <c r="D2147">
        <v>28</v>
      </c>
      <c r="E2147" t="s">
        <v>158</v>
      </c>
    </row>
    <row r="2148" spans="1:5" x14ac:dyDescent="0.2">
      <c r="A2148">
        <v>2147</v>
      </c>
      <c r="B2148" s="1" t="s">
        <v>106</v>
      </c>
      <c r="C2148" t="s">
        <v>151</v>
      </c>
      <c r="D2148">
        <v>52</v>
      </c>
      <c r="E2148" t="s">
        <v>158</v>
      </c>
    </row>
    <row r="2149" spans="1:5" x14ac:dyDescent="0.2">
      <c r="A2149">
        <v>2148</v>
      </c>
      <c r="B2149" s="1" t="s">
        <v>99</v>
      </c>
      <c r="C2149" t="s">
        <v>152</v>
      </c>
      <c r="D2149">
        <v>44</v>
      </c>
      <c r="E2149" t="s">
        <v>158</v>
      </c>
    </row>
    <row r="2150" spans="1:5" x14ac:dyDescent="0.2">
      <c r="A2150">
        <v>2149</v>
      </c>
      <c r="B2150" s="1" t="s">
        <v>100</v>
      </c>
      <c r="C2150" t="s">
        <v>152</v>
      </c>
      <c r="D2150">
        <v>72</v>
      </c>
      <c r="E2150" t="s">
        <v>158</v>
      </c>
    </row>
    <row r="2151" spans="1:5" x14ac:dyDescent="0.2">
      <c r="A2151">
        <v>2150</v>
      </c>
      <c r="B2151" s="1" t="s">
        <v>99</v>
      </c>
      <c r="C2151" t="s">
        <v>152</v>
      </c>
      <c r="D2151">
        <v>18</v>
      </c>
      <c r="E2151" t="s">
        <v>158</v>
      </c>
    </row>
    <row r="2152" spans="1:5" x14ac:dyDescent="0.2">
      <c r="A2152">
        <v>2151</v>
      </c>
      <c r="B2152" s="1" t="s">
        <v>110</v>
      </c>
      <c r="C2152" t="s">
        <v>151</v>
      </c>
      <c r="D2152">
        <v>41</v>
      </c>
      <c r="E2152" t="s">
        <v>158</v>
      </c>
    </row>
    <row r="2153" spans="1:5" x14ac:dyDescent="0.2">
      <c r="A2153">
        <v>2152</v>
      </c>
      <c r="B2153" s="1" t="s">
        <v>99</v>
      </c>
      <c r="C2153" t="s">
        <v>152</v>
      </c>
      <c r="D2153">
        <v>77</v>
      </c>
      <c r="E2153" t="s">
        <v>158</v>
      </c>
    </row>
    <row r="2154" spans="1:5" x14ac:dyDescent="0.2">
      <c r="A2154">
        <v>2153</v>
      </c>
      <c r="B2154" s="1" t="s">
        <v>105</v>
      </c>
      <c r="C2154" t="s">
        <v>151</v>
      </c>
      <c r="D2154">
        <v>87</v>
      </c>
      <c r="E2154" t="s">
        <v>158</v>
      </c>
    </row>
    <row r="2155" spans="1:5" x14ac:dyDescent="0.2">
      <c r="A2155">
        <v>2154</v>
      </c>
      <c r="B2155" s="1" t="s">
        <v>105</v>
      </c>
      <c r="C2155" t="s">
        <v>151</v>
      </c>
      <c r="D2155">
        <v>38</v>
      </c>
      <c r="E2155" t="s">
        <v>158</v>
      </c>
    </row>
    <row r="2156" spans="1:5" x14ac:dyDescent="0.2">
      <c r="A2156">
        <v>2155</v>
      </c>
      <c r="B2156" s="1" t="s">
        <v>100</v>
      </c>
      <c r="C2156" t="s">
        <v>151</v>
      </c>
      <c r="D2156">
        <v>62</v>
      </c>
      <c r="E2156" t="s">
        <v>158</v>
      </c>
    </row>
    <row r="2157" spans="1:5" x14ac:dyDescent="0.2">
      <c r="A2157">
        <v>2156</v>
      </c>
      <c r="B2157" s="1" t="s">
        <v>99</v>
      </c>
      <c r="C2157" t="s">
        <v>152</v>
      </c>
      <c r="D2157">
        <v>74</v>
      </c>
      <c r="E2157" t="s">
        <v>158</v>
      </c>
    </row>
    <row r="2158" spans="1:5" x14ac:dyDescent="0.2">
      <c r="A2158">
        <v>2157</v>
      </c>
      <c r="B2158" s="1" t="s">
        <v>99</v>
      </c>
      <c r="C2158" t="s">
        <v>151</v>
      </c>
      <c r="D2158">
        <v>58</v>
      </c>
      <c r="E2158" t="s">
        <v>158</v>
      </c>
    </row>
    <row r="2159" spans="1:5" x14ac:dyDescent="0.2">
      <c r="A2159">
        <v>2158</v>
      </c>
      <c r="B2159" s="1" t="s">
        <v>99</v>
      </c>
      <c r="C2159" t="s">
        <v>151</v>
      </c>
      <c r="D2159">
        <v>57</v>
      </c>
      <c r="E2159" t="s">
        <v>158</v>
      </c>
    </row>
    <row r="2160" spans="1:5" x14ac:dyDescent="0.2">
      <c r="A2160">
        <v>2159</v>
      </c>
      <c r="B2160" s="1" t="s">
        <v>101</v>
      </c>
      <c r="C2160" t="s">
        <v>152</v>
      </c>
      <c r="D2160">
        <v>58</v>
      </c>
      <c r="E2160" t="s">
        <v>158</v>
      </c>
    </row>
    <row r="2161" spans="1:5" x14ac:dyDescent="0.2">
      <c r="A2161">
        <v>2160</v>
      </c>
      <c r="B2161" s="1" t="s">
        <v>105</v>
      </c>
      <c r="C2161" t="s">
        <v>152</v>
      </c>
      <c r="D2161">
        <v>58</v>
      </c>
      <c r="E2161" t="s">
        <v>158</v>
      </c>
    </row>
    <row r="2162" spans="1:5" x14ac:dyDescent="0.2">
      <c r="A2162">
        <v>2161</v>
      </c>
      <c r="B2162" s="1" t="s">
        <v>105</v>
      </c>
      <c r="C2162" t="s">
        <v>152</v>
      </c>
      <c r="D2162">
        <v>20</v>
      </c>
      <c r="E2162" t="s">
        <v>158</v>
      </c>
    </row>
    <row r="2163" spans="1:5" x14ac:dyDescent="0.2">
      <c r="A2163">
        <v>2162</v>
      </c>
      <c r="B2163" s="1" t="s">
        <v>99</v>
      </c>
      <c r="C2163" t="s">
        <v>151</v>
      </c>
      <c r="D2163">
        <v>42</v>
      </c>
      <c r="E2163" t="s">
        <v>158</v>
      </c>
    </row>
    <row r="2164" spans="1:5" x14ac:dyDescent="0.2">
      <c r="A2164">
        <v>2163</v>
      </c>
      <c r="B2164" s="1" t="s">
        <v>104</v>
      </c>
      <c r="C2164" t="s">
        <v>151</v>
      </c>
      <c r="D2164">
        <v>68</v>
      </c>
      <c r="E2164" t="s">
        <v>158</v>
      </c>
    </row>
    <row r="2165" spans="1:5" x14ac:dyDescent="0.2">
      <c r="A2165">
        <v>2164</v>
      </c>
      <c r="B2165" s="1" t="s">
        <v>100</v>
      </c>
      <c r="C2165" t="s">
        <v>151</v>
      </c>
      <c r="D2165">
        <v>47</v>
      </c>
      <c r="E2165" t="s">
        <v>158</v>
      </c>
    </row>
    <row r="2166" spans="1:5" x14ac:dyDescent="0.2">
      <c r="A2166">
        <v>2165</v>
      </c>
      <c r="B2166" s="1" t="s">
        <v>101</v>
      </c>
      <c r="C2166" t="s">
        <v>151</v>
      </c>
      <c r="D2166">
        <v>23</v>
      </c>
      <c r="E2166" t="s">
        <v>158</v>
      </c>
    </row>
    <row r="2167" spans="1:5" x14ac:dyDescent="0.2">
      <c r="A2167">
        <v>2166</v>
      </c>
      <c r="B2167" s="1" t="s">
        <v>102</v>
      </c>
      <c r="C2167" t="s">
        <v>152</v>
      </c>
      <c r="D2167">
        <v>18</v>
      </c>
      <c r="E2167" t="s">
        <v>158</v>
      </c>
    </row>
    <row r="2168" spans="1:5" x14ac:dyDescent="0.2">
      <c r="A2168">
        <v>2167</v>
      </c>
      <c r="B2168" s="1" t="s">
        <v>99</v>
      </c>
      <c r="C2168" t="s">
        <v>152</v>
      </c>
      <c r="D2168">
        <v>55</v>
      </c>
      <c r="E2168" t="s">
        <v>158</v>
      </c>
    </row>
    <row r="2169" spans="1:5" x14ac:dyDescent="0.2">
      <c r="A2169">
        <v>2168</v>
      </c>
      <c r="B2169" s="1" t="s">
        <v>111</v>
      </c>
      <c r="C2169" t="s">
        <v>151</v>
      </c>
      <c r="D2169">
        <v>73</v>
      </c>
      <c r="E2169" t="s">
        <v>158</v>
      </c>
    </row>
    <row r="2170" spans="1:5" x14ac:dyDescent="0.2">
      <c r="A2170">
        <v>2169</v>
      </c>
      <c r="B2170" s="1" t="s">
        <v>99</v>
      </c>
      <c r="C2170" t="s">
        <v>151</v>
      </c>
      <c r="D2170">
        <v>44</v>
      </c>
      <c r="E2170" t="s">
        <v>158</v>
      </c>
    </row>
    <row r="2171" spans="1:5" x14ac:dyDescent="0.2">
      <c r="A2171">
        <v>2170</v>
      </c>
      <c r="B2171" s="1" t="s">
        <v>99</v>
      </c>
      <c r="C2171" t="s">
        <v>152</v>
      </c>
      <c r="D2171">
        <v>46</v>
      </c>
      <c r="E2171" t="s">
        <v>158</v>
      </c>
    </row>
    <row r="2172" spans="1:5" x14ac:dyDescent="0.2">
      <c r="A2172">
        <v>2171</v>
      </c>
      <c r="B2172" s="1" t="s">
        <v>100</v>
      </c>
      <c r="C2172" t="s">
        <v>151</v>
      </c>
      <c r="D2172">
        <v>57</v>
      </c>
      <c r="E2172" t="s">
        <v>158</v>
      </c>
    </row>
    <row r="2173" spans="1:5" x14ac:dyDescent="0.2">
      <c r="A2173">
        <v>2172</v>
      </c>
      <c r="B2173" s="1" t="s">
        <v>101</v>
      </c>
      <c r="C2173" t="s">
        <v>151</v>
      </c>
      <c r="D2173">
        <v>64</v>
      </c>
      <c r="E2173" t="s">
        <v>158</v>
      </c>
    </row>
    <row r="2174" spans="1:5" x14ac:dyDescent="0.2">
      <c r="A2174">
        <v>2173</v>
      </c>
      <c r="B2174" s="1" t="s">
        <v>99</v>
      </c>
      <c r="C2174" t="s">
        <v>151</v>
      </c>
      <c r="D2174">
        <v>49</v>
      </c>
      <c r="E2174" t="s">
        <v>158</v>
      </c>
    </row>
    <row r="2175" spans="1:5" x14ac:dyDescent="0.2">
      <c r="A2175">
        <v>2174</v>
      </c>
      <c r="B2175" s="1" t="s">
        <v>99</v>
      </c>
      <c r="C2175" t="s">
        <v>152</v>
      </c>
      <c r="D2175">
        <v>38</v>
      </c>
      <c r="E2175" t="s">
        <v>158</v>
      </c>
    </row>
    <row r="2176" spans="1:5" x14ac:dyDescent="0.2">
      <c r="A2176">
        <v>2175</v>
      </c>
      <c r="B2176" s="1" t="s">
        <v>99</v>
      </c>
      <c r="C2176" t="s">
        <v>151</v>
      </c>
      <c r="D2176">
        <v>41</v>
      </c>
      <c r="E2176" t="s">
        <v>158</v>
      </c>
    </row>
    <row r="2177" spans="1:5" x14ac:dyDescent="0.2">
      <c r="A2177">
        <v>2176</v>
      </c>
      <c r="B2177" s="1" t="s">
        <v>99</v>
      </c>
      <c r="C2177" t="s">
        <v>151</v>
      </c>
      <c r="D2177">
        <v>36</v>
      </c>
      <c r="E2177" t="s">
        <v>158</v>
      </c>
    </row>
    <row r="2178" spans="1:5" x14ac:dyDescent="0.2">
      <c r="A2178">
        <v>2177</v>
      </c>
      <c r="B2178" s="1" t="s">
        <v>105</v>
      </c>
      <c r="C2178" t="s">
        <v>152</v>
      </c>
      <c r="D2178">
        <v>68</v>
      </c>
      <c r="E2178" t="s">
        <v>158</v>
      </c>
    </row>
    <row r="2179" spans="1:5" x14ac:dyDescent="0.2">
      <c r="A2179">
        <v>2178</v>
      </c>
      <c r="B2179" s="1" t="s">
        <v>100</v>
      </c>
      <c r="C2179" t="s">
        <v>151</v>
      </c>
      <c r="D2179">
        <v>73</v>
      </c>
      <c r="E2179" t="s">
        <v>158</v>
      </c>
    </row>
    <row r="2180" spans="1:5" x14ac:dyDescent="0.2">
      <c r="A2180">
        <v>2179</v>
      </c>
      <c r="B2180" s="1" t="s">
        <v>109</v>
      </c>
      <c r="C2180" t="s">
        <v>151</v>
      </c>
      <c r="D2180">
        <v>69</v>
      </c>
      <c r="E2180" t="s">
        <v>158</v>
      </c>
    </row>
    <row r="2181" spans="1:5" x14ac:dyDescent="0.2">
      <c r="A2181">
        <v>2180</v>
      </c>
      <c r="B2181" s="1" t="s">
        <v>99</v>
      </c>
      <c r="C2181" t="s">
        <v>152</v>
      </c>
      <c r="D2181">
        <v>28</v>
      </c>
      <c r="E2181" t="s">
        <v>158</v>
      </c>
    </row>
    <row r="2182" spans="1:5" x14ac:dyDescent="0.2">
      <c r="A2182">
        <v>2181</v>
      </c>
      <c r="B2182" s="1" t="s">
        <v>99</v>
      </c>
      <c r="C2182" t="s">
        <v>152</v>
      </c>
      <c r="D2182">
        <v>26</v>
      </c>
      <c r="E2182" t="s">
        <v>158</v>
      </c>
    </row>
    <row r="2183" spans="1:5" x14ac:dyDescent="0.2">
      <c r="A2183">
        <v>2182</v>
      </c>
      <c r="B2183" s="1" t="s">
        <v>99</v>
      </c>
      <c r="C2183" t="s">
        <v>152</v>
      </c>
      <c r="D2183">
        <v>64</v>
      </c>
      <c r="E2183" t="s">
        <v>158</v>
      </c>
    </row>
    <row r="2184" spans="1:5" x14ac:dyDescent="0.2">
      <c r="A2184">
        <v>2183</v>
      </c>
      <c r="B2184" s="1" t="s">
        <v>99</v>
      </c>
      <c r="C2184" t="s">
        <v>152</v>
      </c>
      <c r="D2184">
        <v>53</v>
      </c>
      <c r="E2184" t="s">
        <v>158</v>
      </c>
    </row>
    <row r="2185" spans="1:5" x14ac:dyDescent="0.2">
      <c r="A2185">
        <v>2184</v>
      </c>
      <c r="B2185" s="1" t="s">
        <v>107</v>
      </c>
      <c r="C2185" t="s">
        <v>151</v>
      </c>
      <c r="D2185">
        <v>28</v>
      </c>
      <c r="E2185" t="s">
        <v>158</v>
      </c>
    </row>
    <row r="2186" spans="1:5" x14ac:dyDescent="0.2">
      <c r="A2186">
        <v>2185</v>
      </c>
      <c r="B2186" s="1" t="s">
        <v>101</v>
      </c>
      <c r="C2186" t="s">
        <v>151</v>
      </c>
      <c r="D2186">
        <v>45</v>
      </c>
      <c r="E2186" t="s">
        <v>158</v>
      </c>
    </row>
    <row r="2187" spans="1:5" x14ac:dyDescent="0.2">
      <c r="A2187">
        <v>2186</v>
      </c>
      <c r="B2187" s="1" t="s">
        <v>99</v>
      </c>
      <c r="C2187" t="s">
        <v>151</v>
      </c>
      <c r="D2187">
        <v>39</v>
      </c>
      <c r="E2187" t="s">
        <v>158</v>
      </c>
    </row>
    <row r="2188" spans="1:5" x14ac:dyDescent="0.2">
      <c r="A2188">
        <v>2187</v>
      </c>
      <c r="B2188" s="1" t="s">
        <v>100</v>
      </c>
      <c r="C2188" t="s">
        <v>151</v>
      </c>
      <c r="D2188">
        <v>83</v>
      </c>
      <c r="E2188" t="s">
        <v>158</v>
      </c>
    </row>
    <row r="2189" spans="1:5" x14ac:dyDescent="0.2">
      <c r="A2189">
        <v>2188</v>
      </c>
      <c r="B2189" s="1" t="s">
        <v>105</v>
      </c>
      <c r="C2189" t="s">
        <v>151</v>
      </c>
      <c r="D2189">
        <v>39</v>
      </c>
      <c r="E2189" t="s">
        <v>158</v>
      </c>
    </row>
    <row r="2190" spans="1:5" x14ac:dyDescent="0.2">
      <c r="A2190">
        <v>2189</v>
      </c>
      <c r="B2190" s="1" t="s">
        <v>99</v>
      </c>
      <c r="C2190" t="s">
        <v>151</v>
      </c>
      <c r="D2190">
        <v>62</v>
      </c>
      <c r="E2190" t="s">
        <v>158</v>
      </c>
    </row>
    <row r="2191" spans="1:5" x14ac:dyDescent="0.2">
      <c r="A2191">
        <v>2190</v>
      </c>
      <c r="B2191" s="1" t="s">
        <v>100</v>
      </c>
      <c r="C2191" t="s">
        <v>152</v>
      </c>
      <c r="D2191">
        <v>70</v>
      </c>
      <c r="E2191" t="s">
        <v>158</v>
      </c>
    </row>
    <row r="2192" spans="1:5" x14ac:dyDescent="0.2">
      <c r="A2192">
        <v>2191</v>
      </c>
      <c r="B2192" s="1" t="s">
        <v>110</v>
      </c>
      <c r="C2192" t="s">
        <v>151</v>
      </c>
      <c r="D2192">
        <v>26</v>
      </c>
      <c r="E2192" t="s">
        <v>158</v>
      </c>
    </row>
    <row r="2193" spans="1:5" x14ac:dyDescent="0.2">
      <c r="A2193">
        <v>2192</v>
      </c>
      <c r="B2193" s="1" t="s">
        <v>99</v>
      </c>
      <c r="C2193" t="s">
        <v>151</v>
      </c>
      <c r="D2193">
        <v>28</v>
      </c>
      <c r="E2193" t="s">
        <v>158</v>
      </c>
    </row>
    <row r="2194" spans="1:5" x14ac:dyDescent="0.2">
      <c r="A2194">
        <v>2193</v>
      </c>
      <c r="B2194" s="1" t="s">
        <v>99</v>
      </c>
      <c r="C2194" t="s">
        <v>151</v>
      </c>
      <c r="D2194">
        <v>24</v>
      </c>
      <c r="E2194" t="s">
        <v>158</v>
      </c>
    </row>
    <row r="2195" spans="1:5" x14ac:dyDescent="0.2">
      <c r="A2195">
        <v>2194</v>
      </c>
      <c r="B2195" s="1" t="s">
        <v>99</v>
      </c>
      <c r="C2195" t="s">
        <v>152</v>
      </c>
      <c r="D2195">
        <v>81</v>
      </c>
      <c r="E2195" t="s">
        <v>158</v>
      </c>
    </row>
    <row r="2196" spans="1:5" x14ac:dyDescent="0.2">
      <c r="A2196">
        <v>2195</v>
      </c>
      <c r="B2196" s="1" t="s">
        <v>99</v>
      </c>
      <c r="C2196" t="s">
        <v>152</v>
      </c>
      <c r="D2196">
        <v>49</v>
      </c>
      <c r="E2196" t="s">
        <v>158</v>
      </c>
    </row>
    <row r="2197" spans="1:5" x14ac:dyDescent="0.2">
      <c r="A2197">
        <v>2196</v>
      </c>
      <c r="B2197" s="1" t="s">
        <v>105</v>
      </c>
      <c r="C2197" t="s">
        <v>152</v>
      </c>
      <c r="D2197">
        <v>79</v>
      </c>
      <c r="E2197" t="s">
        <v>158</v>
      </c>
    </row>
    <row r="2198" spans="1:5" x14ac:dyDescent="0.2">
      <c r="A2198">
        <v>2197</v>
      </c>
      <c r="B2198" s="1" t="s">
        <v>100</v>
      </c>
      <c r="C2198" t="s">
        <v>151</v>
      </c>
      <c r="D2198">
        <v>85</v>
      </c>
      <c r="E2198" t="s">
        <v>158</v>
      </c>
    </row>
    <row r="2199" spans="1:5" x14ac:dyDescent="0.2">
      <c r="A2199">
        <v>2198</v>
      </c>
      <c r="B2199" s="1" t="s">
        <v>105</v>
      </c>
      <c r="C2199" t="s">
        <v>152</v>
      </c>
      <c r="D2199">
        <v>30</v>
      </c>
      <c r="E2199" t="s">
        <v>158</v>
      </c>
    </row>
    <row r="2200" spans="1:5" x14ac:dyDescent="0.2">
      <c r="A2200">
        <v>2199</v>
      </c>
      <c r="B2200" s="1" t="s">
        <v>109</v>
      </c>
      <c r="C2200" t="s">
        <v>151</v>
      </c>
      <c r="D2200">
        <v>50</v>
      </c>
      <c r="E2200" t="s">
        <v>158</v>
      </c>
    </row>
    <row r="2201" spans="1:5" x14ac:dyDescent="0.2">
      <c r="A2201">
        <v>2200</v>
      </c>
      <c r="B2201" s="1" t="s">
        <v>100</v>
      </c>
      <c r="C2201" t="s">
        <v>152</v>
      </c>
      <c r="D2201">
        <v>52</v>
      </c>
      <c r="E2201" t="s">
        <v>158</v>
      </c>
    </row>
    <row r="2202" spans="1:5" x14ac:dyDescent="0.2">
      <c r="A2202">
        <v>2201</v>
      </c>
      <c r="B2202" s="1" t="s">
        <v>102</v>
      </c>
      <c r="C2202" t="s">
        <v>152</v>
      </c>
      <c r="D2202">
        <v>80</v>
      </c>
      <c r="E2202" t="s">
        <v>158</v>
      </c>
    </row>
    <row r="2203" spans="1:5" x14ac:dyDescent="0.2">
      <c r="A2203">
        <v>2202</v>
      </c>
      <c r="B2203" s="1" t="s">
        <v>106</v>
      </c>
      <c r="C2203" t="s">
        <v>151</v>
      </c>
      <c r="D2203">
        <v>40</v>
      </c>
      <c r="E2203" t="s">
        <v>158</v>
      </c>
    </row>
    <row r="2204" spans="1:5" x14ac:dyDescent="0.2">
      <c r="A2204">
        <v>2203</v>
      </c>
      <c r="B2204" s="1" t="s">
        <v>100</v>
      </c>
      <c r="C2204" t="s">
        <v>151</v>
      </c>
      <c r="D2204">
        <v>43</v>
      </c>
      <c r="E2204" t="s">
        <v>158</v>
      </c>
    </row>
    <row r="2205" spans="1:5" x14ac:dyDescent="0.2">
      <c r="A2205">
        <v>2204</v>
      </c>
      <c r="B2205" s="1" t="s">
        <v>99</v>
      </c>
      <c r="C2205" t="s">
        <v>152</v>
      </c>
      <c r="D2205">
        <v>67</v>
      </c>
      <c r="E2205" t="s">
        <v>158</v>
      </c>
    </row>
    <row r="2206" spans="1:5" x14ac:dyDescent="0.2">
      <c r="A2206">
        <v>2205</v>
      </c>
      <c r="B2206" s="1" t="s">
        <v>105</v>
      </c>
      <c r="C2206" t="s">
        <v>152</v>
      </c>
      <c r="D2206">
        <v>67</v>
      </c>
      <c r="E2206" t="s">
        <v>158</v>
      </c>
    </row>
    <row r="2207" spans="1:5" x14ac:dyDescent="0.2">
      <c r="A2207">
        <v>2206</v>
      </c>
      <c r="B2207" s="1" t="s">
        <v>107</v>
      </c>
      <c r="C2207" t="s">
        <v>152</v>
      </c>
      <c r="D2207">
        <v>37</v>
      </c>
      <c r="E2207" t="s">
        <v>158</v>
      </c>
    </row>
    <row r="2208" spans="1:5" x14ac:dyDescent="0.2">
      <c r="A2208">
        <v>2207</v>
      </c>
      <c r="B2208" s="1" t="s">
        <v>105</v>
      </c>
      <c r="C2208" t="s">
        <v>152</v>
      </c>
      <c r="D2208">
        <v>57</v>
      </c>
      <c r="E2208" t="s">
        <v>158</v>
      </c>
    </row>
    <row r="2209" spans="1:5" x14ac:dyDescent="0.2">
      <c r="A2209">
        <v>2208</v>
      </c>
      <c r="B2209" s="1" t="s">
        <v>99</v>
      </c>
      <c r="C2209" t="s">
        <v>152</v>
      </c>
      <c r="D2209">
        <v>61</v>
      </c>
      <c r="E2209" t="s">
        <v>158</v>
      </c>
    </row>
    <row r="2210" spans="1:5" x14ac:dyDescent="0.2">
      <c r="A2210">
        <v>2209</v>
      </c>
      <c r="B2210" s="1" t="s">
        <v>108</v>
      </c>
      <c r="C2210" t="s">
        <v>152</v>
      </c>
      <c r="D2210">
        <v>86</v>
      </c>
      <c r="E2210" t="s">
        <v>158</v>
      </c>
    </row>
    <row r="2211" spans="1:5" x14ac:dyDescent="0.2">
      <c r="A2211">
        <v>2210</v>
      </c>
      <c r="B2211" s="1" t="s">
        <v>101</v>
      </c>
      <c r="C2211" t="s">
        <v>151</v>
      </c>
      <c r="D2211">
        <v>67</v>
      </c>
      <c r="E2211" t="s">
        <v>158</v>
      </c>
    </row>
    <row r="2212" spans="1:5" x14ac:dyDescent="0.2">
      <c r="A2212">
        <v>2211</v>
      </c>
      <c r="B2212" s="1" t="s">
        <v>107</v>
      </c>
      <c r="C2212" t="s">
        <v>151</v>
      </c>
      <c r="D2212">
        <v>53</v>
      </c>
      <c r="E2212" t="s">
        <v>158</v>
      </c>
    </row>
    <row r="2213" spans="1:5" x14ac:dyDescent="0.2">
      <c r="A2213">
        <v>2212</v>
      </c>
      <c r="B2213" s="1" t="s">
        <v>100</v>
      </c>
      <c r="C2213" t="s">
        <v>151</v>
      </c>
      <c r="D2213">
        <v>80</v>
      </c>
      <c r="E2213" t="s">
        <v>158</v>
      </c>
    </row>
    <row r="2214" spans="1:5" x14ac:dyDescent="0.2">
      <c r="A2214">
        <v>2213</v>
      </c>
      <c r="B2214" s="1" t="s">
        <v>101</v>
      </c>
      <c r="C2214" t="s">
        <v>152</v>
      </c>
      <c r="D2214">
        <v>79</v>
      </c>
      <c r="E2214" t="s">
        <v>158</v>
      </c>
    </row>
    <row r="2215" spans="1:5" x14ac:dyDescent="0.2">
      <c r="A2215">
        <v>2214</v>
      </c>
      <c r="B2215" s="1" t="s">
        <v>99</v>
      </c>
      <c r="C2215" t="s">
        <v>151</v>
      </c>
      <c r="D2215">
        <v>32</v>
      </c>
      <c r="E2215" t="s">
        <v>158</v>
      </c>
    </row>
    <row r="2216" spans="1:5" x14ac:dyDescent="0.2">
      <c r="A2216">
        <v>2215</v>
      </c>
      <c r="B2216" s="1" t="s">
        <v>105</v>
      </c>
      <c r="C2216" t="s">
        <v>151</v>
      </c>
      <c r="D2216">
        <v>73</v>
      </c>
      <c r="E2216" t="s">
        <v>158</v>
      </c>
    </row>
    <row r="2217" spans="1:5" x14ac:dyDescent="0.2">
      <c r="A2217">
        <v>2216</v>
      </c>
      <c r="B2217" s="1" t="s">
        <v>99</v>
      </c>
      <c r="C2217" t="s">
        <v>152</v>
      </c>
      <c r="D2217">
        <v>36</v>
      </c>
      <c r="E2217" t="s">
        <v>158</v>
      </c>
    </row>
    <row r="2218" spans="1:5" x14ac:dyDescent="0.2">
      <c r="A2218">
        <v>2217</v>
      </c>
      <c r="B2218" s="1" t="s">
        <v>105</v>
      </c>
      <c r="C2218" t="s">
        <v>152</v>
      </c>
      <c r="D2218">
        <v>18</v>
      </c>
      <c r="E2218" t="s">
        <v>158</v>
      </c>
    </row>
    <row r="2219" spans="1:5" x14ac:dyDescent="0.2">
      <c r="A2219">
        <v>2218</v>
      </c>
      <c r="B2219" s="1" t="s">
        <v>99</v>
      </c>
      <c r="C2219" t="s">
        <v>151</v>
      </c>
      <c r="D2219">
        <v>37</v>
      </c>
      <c r="E2219" t="s">
        <v>158</v>
      </c>
    </row>
    <row r="2220" spans="1:5" x14ac:dyDescent="0.2">
      <c r="A2220">
        <v>2219</v>
      </c>
      <c r="B2220" s="1" t="s">
        <v>104</v>
      </c>
      <c r="C2220" t="s">
        <v>151</v>
      </c>
      <c r="D2220">
        <v>19</v>
      </c>
      <c r="E2220" t="s">
        <v>158</v>
      </c>
    </row>
    <row r="2221" spans="1:5" x14ac:dyDescent="0.2">
      <c r="A2221">
        <v>2220</v>
      </c>
      <c r="B2221" s="1" t="s">
        <v>101</v>
      </c>
      <c r="C2221" t="s">
        <v>152</v>
      </c>
      <c r="D2221">
        <v>28</v>
      </c>
      <c r="E2221" t="s">
        <v>158</v>
      </c>
    </row>
    <row r="2222" spans="1:5" x14ac:dyDescent="0.2">
      <c r="A2222">
        <v>2221</v>
      </c>
      <c r="B2222" s="1" t="s">
        <v>101</v>
      </c>
      <c r="C2222" t="s">
        <v>152</v>
      </c>
      <c r="D2222">
        <v>69</v>
      </c>
      <c r="E2222" t="s">
        <v>158</v>
      </c>
    </row>
    <row r="2223" spans="1:5" x14ac:dyDescent="0.2">
      <c r="A2223">
        <v>2222</v>
      </c>
      <c r="B2223" s="1" t="s">
        <v>99</v>
      </c>
      <c r="C2223" t="s">
        <v>152</v>
      </c>
      <c r="D2223">
        <v>23</v>
      </c>
      <c r="E2223" t="s">
        <v>158</v>
      </c>
    </row>
    <row r="2224" spans="1:5" x14ac:dyDescent="0.2">
      <c r="A2224">
        <v>2223</v>
      </c>
      <c r="B2224" s="1" t="s">
        <v>99</v>
      </c>
      <c r="C2224" t="s">
        <v>151</v>
      </c>
      <c r="D2224">
        <v>85</v>
      </c>
      <c r="E2224" t="s">
        <v>158</v>
      </c>
    </row>
    <row r="2225" spans="1:5" x14ac:dyDescent="0.2">
      <c r="A2225">
        <v>2224</v>
      </c>
      <c r="B2225" s="1" t="s">
        <v>99</v>
      </c>
      <c r="C2225" t="s">
        <v>151</v>
      </c>
      <c r="D2225">
        <v>82</v>
      </c>
      <c r="E2225" t="s">
        <v>158</v>
      </c>
    </row>
    <row r="2226" spans="1:5" x14ac:dyDescent="0.2">
      <c r="A2226">
        <v>2225</v>
      </c>
      <c r="B2226" s="1" t="s">
        <v>99</v>
      </c>
      <c r="C2226" t="s">
        <v>152</v>
      </c>
      <c r="D2226">
        <v>89</v>
      </c>
      <c r="E2226" t="s">
        <v>158</v>
      </c>
    </row>
    <row r="2227" spans="1:5" x14ac:dyDescent="0.2">
      <c r="A2227">
        <v>2226</v>
      </c>
      <c r="B2227" s="1" t="s">
        <v>100</v>
      </c>
      <c r="C2227" t="s">
        <v>152</v>
      </c>
      <c r="D2227">
        <v>66</v>
      </c>
      <c r="E2227" t="s">
        <v>158</v>
      </c>
    </row>
    <row r="2228" spans="1:5" x14ac:dyDescent="0.2">
      <c r="A2228">
        <v>2227</v>
      </c>
      <c r="B2228" s="1" t="s">
        <v>99</v>
      </c>
      <c r="C2228" t="s">
        <v>152</v>
      </c>
      <c r="D2228">
        <v>70</v>
      </c>
      <c r="E2228" t="s">
        <v>158</v>
      </c>
    </row>
    <row r="2229" spans="1:5" x14ac:dyDescent="0.2">
      <c r="A2229">
        <v>2228</v>
      </c>
      <c r="B2229" s="1" t="s">
        <v>107</v>
      </c>
      <c r="C2229" t="s">
        <v>152</v>
      </c>
      <c r="D2229">
        <v>46</v>
      </c>
      <c r="E2229" t="s">
        <v>158</v>
      </c>
    </row>
    <row r="2230" spans="1:5" x14ac:dyDescent="0.2">
      <c r="A2230">
        <v>2229</v>
      </c>
      <c r="B2230" s="1" t="s">
        <v>108</v>
      </c>
      <c r="C2230" t="s">
        <v>152</v>
      </c>
      <c r="D2230">
        <v>38</v>
      </c>
      <c r="E2230" t="s">
        <v>158</v>
      </c>
    </row>
    <row r="2231" spans="1:5" x14ac:dyDescent="0.2">
      <c r="A2231">
        <v>2230</v>
      </c>
      <c r="B2231" s="1" t="s">
        <v>101</v>
      </c>
      <c r="C2231" t="s">
        <v>152</v>
      </c>
      <c r="D2231">
        <v>65</v>
      </c>
      <c r="E2231" t="s">
        <v>158</v>
      </c>
    </row>
    <row r="2232" spans="1:5" x14ac:dyDescent="0.2">
      <c r="A2232">
        <v>2231</v>
      </c>
      <c r="B2232" s="1" t="s">
        <v>100</v>
      </c>
      <c r="C2232" t="s">
        <v>151</v>
      </c>
      <c r="D2232">
        <v>76</v>
      </c>
      <c r="E2232" t="s">
        <v>158</v>
      </c>
    </row>
    <row r="2233" spans="1:5" x14ac:dyDescent="0.2">
      <c r="A2233">
        <v>2232</v>
      </c>
      <c r="B2233" s="1" t="s">
        <v>99</v>
      </c>
      <c r="C2233" t="s">
        <v>151</v>
      </c>
      <c r="D2233">
        <v>57</v>
      </c>
      <c r="E2233" t="s">
        <v>158</v>
      </c>
    </row>
    <row r="2234" spans="1:5" x14ac:dyDescent="0.2">
      <c r="A2234">
        <v>2233</v>
      </c>
      <c r="B2234" s="1" t="s">
        <v>109</v>
      </c>
      <c r="C2234" t="s">
        <v>152</v>
      </c>
      <c r="D2234">
        <v>52</v>
      </c>
      <c r="E2234" t="s">
        <v>158</v>
      </c>
    </row>
    <row r="2235" spans="1:5" x14ac:dyDescent="0.2">
      <c r="A2235">
        <v>2234</v>
      </c>
      <c r="B2235" s="1" t="s">
        <v>110</v>
      </c>
      <c r="C2235" t="s">
        <v>151</v>
      </c>
      <c r="D2235">
        <v>47</v>
      </c>
      <c r="E2235" t="s">
        <v>158</v>
      </c>
    </row>
    <row r="2236" spans="1:5" x14ac:dyDescent="0.2">
      <c r="A2236">
        <v>2235</v>
      </c>
      <c r="B2236" s="1" t="s">
        <v>105</v>
      </c>
      <c r="C2236" t="s">
        <v>151</v>
      </c>
      <c r="D2236">
        <v>65</v>
      </c>
      <c r="E2236" t="s">
        <v>158</v>
      </c>
    </row>
    <row r="2237" spans="1:5" x14ac:dyDescent="0.2">
      <c r="A2237">
        <v>2236</v>
      </c>
      <c r="B2237" s="1" t="s">
        <v>99</v>
      </c>
      <c r="C2237" t="s">
        <v>152</v>
      </c>
      <c r="D2237">
        <v>80</v>
      </c>
      <c r="E2237" t="s">
        <v>158</v>
      </c>
    </row>
    <row r="2238" spans="1:5" x14ac:dyDescent="0.2">
      <c r="A2238">
        <v>2237</v>
      </c>
      <c r="B2238" s="1" t="s">
        <v>105</v>
      </c>
      <c r="C2238" t="s">
        <v>152</v>
      </c>
      <c r="D2238">
        <v>65</v>
      </c>
      <c r="E2238" t="s">
        <v>158</v>
      </c>
    </row>
    <row r="2239" spans="1:5" x14ac:dyDescent="0.2">
      <c r="A2239">
        <v>2238</v>
      </c>
      <c r="B2239" s="1" t="s">
        <v>106</v>
      </c>
      <c r="C2239" t="s">
        <v>151</v>
      </c>
      <c r="D2239">
        <v>43</v>
      </c>
      <c r="E2239" t="s">
        <v>158</v>
      </c>
    </row>
    <row r="2240" spans="1:5" x14ac:dyDescent="0.2">
      <c r="A2240">
        <v>2239</v>
      </c>
      <c r="B2240" s="1" t="s">
        <v>99</v>
      </c>
      <c r="C2240" t="s">
        <v>152</v>
      </c>
      <c r="D2240">
        <v>36</v>
      </c>
      <c r="E2240" t="s">
        <v>158</v>
      </c>
    </row>
    <row r="2241" spans="1:5" x14ac:dyDescent="0.2">
      <c r="A2241">
        <v>2240</v>
      </c>
      <c r="B2241" s="1" t="s">
        <v>100</v>
      </c>
      <c r="C2241" t="s">
        <v>152</v>
      </c>
      <c r="D2241">
        <v>83</v>
      </c>
      <c r="E2241" t="s">
        <v>158</v>
      </c>
    </row>
    <row r="2242" spans="1:5" x14ac:dyDescent="0.2">
      <c r="A2242">
        <v>2241</v>
      </c>
      <c r="B2242" s="1" t="s">
        <v>105</v>
      </c>
      <c r="C2242" t="s">
        <v>151</v>
      </c>
      <c r="D2242">
        <v>67</v>
      </c>
      <c r="E2242" t="s">
        <v>158</v>
      </c>
    </row>
    <row r="2243" spans="1:5" x14ac:dyDescent="0.2">
      <c r="A2243">
        <v>2242</v>
      </c>
      <c r="B2243" s="1" t="s">
        <v>100</v>
      </c>
      <c r="C2243" t="s">
        <v>152</v>
      </c>
      <c r="D2243">
        <v>77</v>
      </c>
      <c r="E2243" t="s">
        <v>158</v>
      </c>
    </row>
    <row r="2244" spans="1:5" x14ac:dyDescent="0.2">
      <c r="A2244">
        <v>2243</v>
      </c>
      <c r="B2244" s="1" t="s">
        <v>105</v>
      </c>
      <c r="C2244" t="s">
        <v>151</v>
      </c>
      <c r="D2244">
        <v>79</v>
      </c>
      <c r="E2244" t="s">
        <v>158</v>
      </c>
    </row>
    <row r="2245" spans="1:5" x14ac:dyDescent="0.2">
      <c r="A2245">
        <v>2244</v>
      </c>
      <c r="B2245" s="1" t="s">
        <v>99</v>
      </c>
      <c r="C2245" t="s">
        <v>152</v>
      </c>
      <c r="D2245">
        <v>51</v>
      </c>
      <c r="E2245" t="s">
        <v>158</v>
      </c>
    </row>
    <row r="2246" spans="1:5" x14ac:dyDescent="0.2">
      <c r="A2246">
        <v>2245</v>
      </c>
      <c r="B2246" s="1" t="s">
        <v>105</v>
      </c>
      <c r="C2246" t="s">
        <v>151</v>
      </c>
      <c r="D2246">
        <v>61</v>
      </c>
      <c r="E2246" t="s">
        <v>158</v>
      </c>
    </row>
    <row r="2247" spans="1:5" x14ac:dyDescent="0.2">
      <c r="A2247">
        <v>2246</v>
      </c>
      <c r="B2247" s="1" t="s">
        <v>101</v>
      </c>
      <c r="C2247" t="s">
        <v>151</v>
      </c>
      <c r="D2247">
        <v>76</v>
      </c>
      <c r="E2247" t="s">
        <v>158</v>
      </c>
    </row>
    <row r="2248" spans="1:5" x14ac:dyDescent="0.2">
      <c r="A2248">
        <v>2247</v>
      </c>
      <c r="B2248" s="1" t="s">
        <v>108</v>
      </c>
      <c r="C2248" t="s">
        <v>152</v>
      </c>
      <c r="D2248">
        <v>71</v>
      </c>
      <c r="E2248" t="s">
        <v>158</v>
      </c>
    </row>
    <row r="2249" spans="1:5" x14ac:dyDescent="0.2">
      <c r="A2249">
        <v>2248</v>
      </c>
      <c r="B2249" s="1" t="s">
        <v>99</v>
      </c>
      <c r="C2249" t="s">
        <v>152</v>
      </c>
      <c r="D2249">
        <v>68</v>
      </c>
      <c r="E2249" t="s">
        <v>158</v>
      </c>
    </row>
    <row r="2250" spans="1:5" x14ac:dyDescent="0.2">
      <c r="A2250">
        <v>2249</v>
      </c>
      <c r="B2250" s="1" t="s">
        <v>109</v>
      </c>
      <c r="C2250" t="s">
        <v>151</v>
      </c>
      <c r="D2250">
        <v>35</v>
      </c>
      <c r="E2250" t="s">
        <v>158</v>
      </c>
    </row>
    <row r="2251" spans="1:5" x14ac:dyDescent="0.2">
      <c r="A2251">
        <v>2250</v>
      </c>
      <c r="B2251" s="1" t="s">
        <v>99</v>
      </c>
      <c r="C2251" t="s">
        <v>151</v>
      </c>
      <c r="D2251">
        <v>79</v>
      </c>
      <c r="E2251" t="s">
        <v>158</v>
      </c>
    </row>
    <row r="2252" spans="1:5" x14ac:dyDescent="0.2">
      <c r="A2252">
        <v>2251</v>
      </c>
      <c r="B2252" s="1" t="s">
        <v>100</v>
      </c>
      <c r="C2252" t="s">
        <v>151</v>
      </c>
      <c r="D2252">
        <v>75</v>
      </c>
      <c r="E2252" t="s">
        <v>158</v>
      </c>
    </row>
    <row r="2253" spans="1:5" x14ac:dyDescent="0.2">
      <c r="A2253">
        <v>2252</v>
      </c>
      <c r="B2253" s="1" t="s">
        <v>104</v>
      </c>
      <c r="C2253" t="s">
        <v>151</v>
      </c>
      <c r="D2253">
        <v>21</v>
      </c>
      <c r="E2253" t="s">
        <v>158</v>
      </c>
    </row>
    <row r="2254" spans="1:5" x14ac:dyDescent="0.2">
      <c r="A2254">
        <v>2253</v>
      </c>
      <c r="B2254" s="1" t="s">
        <v>99</v>
      </c>
      <c r="C2254" t="s">
        <v>151</v>
      </c>
      <c r="D2254">
        <v>26</v>
      </c>
      <c r="E2254" t="s">
        <v>158</v>
      </c>
    </row>
    <row r="2255" spans="1:5" x14ac:dyDescent="0.2">
      <c r="A2255">
        <v>2254</v>
      </c>
      <c r="B2255" s="1" t="s">
        <v>99</v>
      </c>
      <c r="C2255" t="s">
        <v>152</v>
      </c>
      <c r="D2255">
        <v>38</v>
      </c>
      <c r="E2255" t="s">
        <v>158</v>
      </c>
    </row>
    <row r="2256" spans="1:5" x14ac:dyDescent="0.2">
      <c r="A2256">
        <v>2255</v>
      </c>
      <c r="B2256" s="1" t="s">
        <v>107</v>
      </c>
      <c r="C2256" t="s">
        <v>152</v>
      </c>
      <c r="D2256">
        <v>45</v>
      </c>
      <c r="E2256" t="s">
        <v>158</v>
      </c>
    </row>
    <row r="2257" spans="1:5" x14ac:dyDescent="0.2">
      <c r="A2257">
        <v>2256</v>
      </c>
      <c r="B2257" s="1" t="s">
        <v>99</v>
      </c>
      <c r="C2257" t="s">
        <v>151</v>
      </c>
      <c r="D2257">
        <v>43</v>
      </c>
      <c r="E2257" t="s">
        <v>158</v>
      </c>
    </row>
    <row r="2258" spans="1:5" x14ac:dyDescent="0.2">
      <c r="A2258">
        <v>2257</v>
      </c>
      <c r="B2258" s="1" t="s">
        <v>99</v>
      </c>
      <c r="C2258" t="s">
        <v>152</v>
      </c>
      <c r="D2258">
        <v>59</v>
      </c>
      <c r="E2258" t="s">
        <v>158</v>
      </c>
    </row>
    <row r="2259" spans="1:5" x14ac:dyDescent="0.2">
      <c r="A2259">
        <v>2258</v>
      </c>
      <c r="B2259" s="1" t="s">
        <v>106</v>
      </c>
      <c r="C2259" t="s">
        <v>151</v>
      </c>
      <c r="D2259">
        <v>77</v>
      </c>
      <c r="E2259" t="s">
        <v>158</v>
      </c>
    </row>
    <row r="2260" spans="1:5" x14ac:dyDescent="0.2">
      <c r="A2260">
        <v>2259</v>
      </c>
      <c r="B2260" s="1" t="s">
        <v>101</v>
      </c>
      <c r="C2260" t="s">
        <v>152</v>
      </c>
      <c r="D2260">
        <v>41</v>
      </c>
      <c r="E2260" t="s">
        <v>158</v>
      </c>
    </row>
    <row r="2261" spans="1:5" x14ac:dyDescent="0.2">
      <c r="A2261">
        <v>2260</v>
      </c>
      <c r="B2261" s="1" t="s">
        <v>99</v>
      </c>
      <c r="C2261" t="s">
        <v>151</v>
      </c>
      <c r="D2261">
        <v>60</v>
      </c>
      <c r="E2261" t="s">
        <v>158</v>
      </c>
    </row>
    <row r="2262" spans="1:5" x14ac:dyDescent="0.2">
      <c r="A2262">
        <v>2261</v>
      </c>
      <c r="B2262" s="1" t="s">
        <v>99</v>
      </c>
      <c r="C2262" t="s">
        <v>151</v>
      </c>
      <c r="D2262">
        <v>90</v>
      </c>
      <c r="E2262" t="s">
        <v>158</v>
      </c>
    </row>
    <row r="2263" spans="1:5" x14ac:dyDescent="0.2">
      <c r="A2263">
        <v>2262</v>
      </c>
      <c r="B2263" s="1" t="s">
        <v>99</v>
      </c>
      <c r="C2263" t="s">
        <v>152</v>
      </c>
      <c r="D2263">
        <v>27</v>
      </c>
      <c r="E2263" t="s">
        <v>158</v>
      </c>
    </row>
    <row r="2264" spans="1:5" x14ac:dyDescent="0.2">
      <c r="A2264">
        <v>2263</v>
      </c>
      <c r="B2264" s="1" t="s">
        <v>105</v>
      </c>
      <c r="C2264" t="s">
        <v>152</v>
      </c>
      <c r="D2264">
        <v>48</v>
      </c>
      <c r="E2264" t="s">
        <v>158</v>
      </c>
    </row>
    <row r="2265" spans="1:5" x14ac:dyDescent="0.2">
      <c r="A2265">
        <v>2264</v>
      </c>
      <c r="B2265" s="1" t="s">
        <v>99</v>
      </c>
      <c r="C2265" t="s">
        <v>152</v>
      </c>
      <c r="D2265">
        <v>31</v>
      </c>
      <c r="E2265" t="s">
        <v>158</v>
      </c>
    </row>
    <row r="2266" spans="1:5" x14ac:dyDescent="0.2">
      <c r="A2266">
        <v>2265</v>
      </c>
      <c r="B2266" s="1" t="s">
        <v>100</v>
      </c>
      <c r="C2266" t="s">
        <v>152</v>
      </c>
      <c r="D2266">
        <v>65</v>
      </c>
      <c r="E2266" t="s">
        <v>158</v>
      </c>
    </row>
    <row r="2267" spans="1:5" x14ac:dyDescent="0.2">
      <c r="A2267">
        <v>2266</v>
      </c>
      <c r="B2267" s="1" t="s">
        <v>100</v>
      </c>
      <c r="C2267" t="s">
        <v>151</v>
      </c>
      <c r="D2267">
        <v>90</v>
      </c>
      <c r="E2267" t="s">
        <v>158</v>
      </c>
    </row>
    <row r="2268" spans="1:5" x14ac:dyDescent="0.2">
      <c r="A2268">
        <v>2267</v>
      </c>
      <c r="B2268" s="1" t="s">
        <v>101</v>
      </c>
      <c r="C2268" t="s">
        <v>151</v>
      </c>
      <c r="D2268">
        <v>20</v>
      </c>
      <c r="E2268" t="s">
        <v>158</v>
      </c>
    </row>
    <row r="2269" spans="1:5" x14ac:dyDescent="0.2">
      <c r="A2269">
        <v>2268</v>
      </c>
      <c r="B2269" s="1" t="s">
        <v>104</v>
      </c>
      <c r="C2269" t="s">
        <v>151</v>
      </c>
      <c r="D2269">
        <v>60</v>
      </c>
      <c r="E2269" t="s">
        <v>158</v>
      </c>
    </row>
    <row r="2270" spans="1:5" x14ac:dyDescent="0.2">
      <c r="A2270">
        <v>2269</v>
      </c>
      <c r="B2270" s="1" t="s">
        <v>99</v>
      </c>
      <c r="C2270" t="s">
        <v>152</v>
      </c>
      <c r="D2270">
        <v>48</v>
      </c>
      <c r="E2270" t="s">
        <v>158</v>
      </c>
    </row>
    <row r="2271" spans="1:5" x14ac:dyDescent="0.2">
      <c r="A2271">
        <v>2270</v>
      </c>
      <c r="B2271" s="1" t="s">
        <v>100</v>
      </c>
      <c r="C2271" t="s">
        <v>151</v>
      </c>
      <c r="D2271">
        <v>64</v>
      </c>
      <c r="E2271" t="s">
        <v>158</v>
      </c>
    </row>
    <row r="2272" spans="1:5" x14ac:dyDescent="0.2">
      <c r="A2272">
        <v>2271</v>
      </c>
      <c r="B2272" s="1" t="s">
        <v>99</v>
      </c>
      <c r="C2272" t="s">
        <v>152</v>
      </c>
      <c r="D2272">
        <v>57</v>
      </c>
      <c r="E2272" t="s">
        <v>158</v>
      </c>
    </row>
    <row r="2273" spans="1:5" x14ac:dyDescent="0.2">
      <c r="A2273">
        <v>2272</v>
      </c>
      <c r="B2273" s="1" t="s">
        <v>105</v>
      </c>
      <c r="C2273" t="s">
        <v>152</v>
      </c>
      <c r="D2273">
        <v>40</v>
      </c>
      <c r="E2273" t="s">
        <v>158</v>
      </c>
    </row>
    <row r="2274" spans="1:5" x14ac:dyDescent="0.2">
      <c r="A2274">
        <v>2273</v>
      </c>
      <c r="B2274" s="1" t="s">
        <v>110</v>
      </c>
      <c r="C2274" t="s">
        <v>151</v>
      </c>
      <c r="D2274">
        <v>52</v>
      </c>
      <c r="E2274" t="s">
        <v>158</v>
      </c>
    </row>
    <row r="2275" spans="1:5" x14ac:dyDescent="0.2">
      <c r="A2275">
        <v>2274</v>
      </c>
      <c r="B2275" s="1" t="s">
        <v>99</v>
      </c>
      <c r="C2275" t="s">
        <v>151</v>
      </c>
      <c r="D2275">
        <v>64</v>
      </c>
      <c r="E2275" t="s">
        <v>158</v>
      </c>
    </row>
    <row r="2276" spans="1:5" x14ac:dyDescent="0.2">
      <c r="A2276">
        <v>2275</v>
      </c>
      <c r="B2276" s="1" t="s">
        <v>99</v>
      </c>
      <c r="C2276" t="s">
        <v>152</v>
      </c>
      <c r="D2276">
        <v>74</v>
      </c>
      <c r="E2276" t="s">
        <v>158</v>
      </c>
    </row>
    <row r="2277" spans="1:5" x14ac:dyDescent="0.2">
      <c r="A2277">
        <v>2276</v>
      </c>
      <c r="B2277" s="1" t="s">
        <v>105</v>
      </c>
      <c r="C2277" t="s">
        <v>152</v>
      </c>
      <c r="D2277">
        <v>18</v>
      </c>
      <c r="E2277" t="s">
        <v>158</v>
      </c>
    </row>
    <row r="2278" spans="1:5" x14ac:dyDescent="0.2">
      <c r="A2278">
        <v>2277</v>
      </c>
      <c r="B2278" s="1" t="s">
        <v>105</v>
      </c>
      <c r="C2278" t="s">
        <v>151</v>
      </c>
      <c r="D2278">
        <v>65</v>
      </c>
      <c r="E2278" t="s">
        <v>158</v>
      </c>
    </row>
    <row r="2279" spans="1:5" x14ac:dyDescent="0.2">
      <c r="A2279">
        <v>2278</v>
      </c>
      <c r="B2279" s="1" t="s">
        <v>101</v>
      </c>
      <c r="C2279" t="s">
        <v>151</v>
      </c>
      <c r="D2279">
        <v>78</v>
      </c>
      <c r="E2279" t="s">
        <v>158</v>
      </c>
    </row>
    <row r="2280" spans="1:5" x14ac:dyDescent="0.2">
      <c r="A2280">
        <v>2279</v>
      </c>
      <c r="B2280" s="1" t="s">
        <v>106</v>
      </c>
      <c r="C2280" t="s">
        <v>151</v>
      </c>
      <c r="D2280">
        <v>33</v>
      </c>
      <c r="E2280" t="s">
        <v>158</v>
      </c>
    </row>
    <row r="2281" spans="1:5" x14ac:dyDescent="0.2">
      <c r="A2281">
        <v>2280</v>
      </c>
      <c r="B2281" s="1" t="s">
        <v>99</v>
      </c>
      <c r="C2281" t="s">
        <v>151</v>
      </c>
      <c r="D2281">
        <v>53</v>
      </c>
      <c r="E2281" t="s">
        <v>158</v>
      </c>
    </row>
    <row r="2282" spans="1:5" x14ac:dyDescent="0.2">
      <c r="A2282">
        <v>2281</v>
      </c>
      <c r="B2282" s="1" t="s">
        <v>99</v>
      </c>
      <c r="C2282" t="s">
        <v>152</v>
      </c>
      <c r="D2282">
        <v>31</v>
      </c>
      <c r="E2282" t="s">
        <v>158</v>
      </c>
    </row>
    <row r="2283" spans="1:5" x14ac:dyDescent="0.2">
      <c r="A2283">
        <v>2282</v>
      </c>
      <c r="B2283" s="1" t="s">
        <v>99</v>
      </c>
      <c r="C2283" t="s">
        <v>152</v>
      </c>
      <c r="D2283">
        <v>22</v>
      </c>
      <c r="E2283" t="s">
        <v>158</v>
      </c>
    </row>
    <row r="2284" spans="1:5" x14ac:dyDescent="0.2">
      <c r="A2284">
        <v>2283</v>
      </c>
      <c r="B2284" s="1" t="s">
        <v>99</v>
      </c>
      <c r="C2284" t="s">
        <v>152</v>
      </c>
      <c r="D2284">
        <v>24</v>
      </c>
      <c r="E2284" t="s">
        <v>158</v>
      </c>
    </row>
    <row r="2285" spans="1:5" x14ac:dyDescent="0.2">
      <c r="A2285">
        <v>2284</v>
      </c>
      <c r="B2285" s="1" t="s">
        <v>100</v>
      </c>
      <c r="C2285" t="s">
        <v>151</v>
      </c>
      <c r="D2285">
        <v>61</v>
      </c>
      <c r="E2285" t="s">
        <v>158</v>
      </c>
    </row>
    <row r="2286" spans="1:5" x14ac:dyDescent="0.2">
      <c r="A2286">
        <v>2285</v>
      </c>
      <c r="B2286" s="1" t="s">
        <v>110</v>
      </c>
      <c r="C2286" t="s">
        <v>151</v>
      </c>
      <c r="D2286">
        <v>90</v>
      </c>
      <c r="E2286" t="s">
        <v>158</v>
      </c>
    </row>
    <row r="2287" spans="1:5" x14ac:dyDescent="0.2">
      <c r="A2287">
        <v>2286</v>
      </c>
      <c r="B2287" s="1" t="s">
        <v>100</v>
      </c>
      <c r="C2287" t="s">
        <v>151</v>
      </c>
      <c r="D2287">
        <v>75</v>
      </c>
      <c r="E2287" t="s">
        <v>158</v>
      </c>
    </row>
    <row r="2288" spans="1:5" x14ac:dyDescent="0.2">
      <c r="A2288">
        <v>2287</v>
      </c>
      <c r="B2288" s="1" t="s">
        <v>107</v>
      </c>
      <c r="C2288" t="s">
        <v>151</v>
      </c>
      <c r="D2288">
        <v>72</v>
      </c>
      <c r="E2288" t="s">
        <v>158</v>
      </c>
    </row>
    <row r="2289" spans="1:5" x14ac:dyDescent="0.2">
      <c r="A2289">
        <v>2288</v>
      </c>
      <c r="B2289" s="1" t="s">
        <v>99</v>
      </c>
      <c r="C2289" t="s">
        <v>151</v>
      </c>
      <c r="D2289">
        <v>40</v>
      </c>
      <c r="E2289" t="s">
        <v>158</v>
      </c>
    </row>
    <row r="2290" spans="1:5" x14ac:dyDescent="0.2">
      <c r="A2290">
        <v>2289</v>
      </c>
      <c r="B2290" s="1" t="s">
        <v>100</v>
      </c>
      <c r="C2290" t="s">
        <v>152</v>
      </c>
      <c r="D2290">
        <v>44</v>
      </c>
      <c r="E2290" t="s">
        <v>158</v>
      </c>
    </row>
    <row r="2291" spans="1:5" x14ac:dyDescent="0.2">
      <c r="A2291">
        <v>2290</v>
      </c>
      <c r="B2291" s="1" t="s">
        <v>103</v>
      </c>
      <c r="C2291" t="s">
        <v>152</v>
      </c>
      <c r="D2291">
        <v>88</v>
      </c>
      <c r="E2291" t="s">
        <v>158</v>
      </c>
    </row>
    <row r="2292" spans="1:5" x14ac:dyDescent="0.2">
      <c r="A2292">
        <v>2291</v>
      </c>
      <c r="B2292" s="1" t="s">
        <v>101</v>
      </c>
      <c r="C2292" t="s">
        <v>152</v>
      </c>
      <c r="D2292">
        <v>84</v>
      </c>
      <c r="E2292" t="s">
        <v>158</v>
      </c>
    </row>
    <row r="2293" spans="1:5" x14ac:dyDescent="0.2">
      <c r="A2293">
        <v>2292</v>
      </c>
      <c r="B2293" s="1" t="s">
        <v>99</v>
      </c>
      <c r="C2293" t="s">
        <v>152</v>
      </c>
      <c r="D2293">
        <v>66</v>
      </c>
      <c r="E2293" t="s">
        <v>158</v>
      </c>
    </row>
    <row r="2294" spans="1:5" x14ac:dyDescent="0.2">
      <c r="A2294">
        <v>2293</v>
      </c>
      <c r="B2294" s="1" t="s">
        <v>106</v>
      </c>
      <c r="C2294" t="s">
        <v>152</v>
      </c>
      <c r="D2294">
        <v>70</v>
      </c>
      <c r="E2294" t="s">
        <v>158</v>
      </c>
    </row>
    <row r="2295" spans="1:5" x14ac:dyDescent="0.2">
      <c r="A2295">
        <v>2294</v>
      </c>
      <c r="B2295" s="1" t="s">
        <v>100</v>
      </c>
      <c r="C2295" t="s">
        <v>151</v>
      </c>
      <c r="D2295">
        <v>32</v>
      </c>
      <c r="E2295" t="s">
        <v>158</v>
      </c>
    </row>
    <row r="2296" spans="1:5" x14ac:dyDescent="0.2">
      <c r="A2296">
        <v>2295</v>
      </c>
      <c r="B2296" s="1" t="s">
        <v>99</v>
      </c>
      <c r="C2296" t="s">
        <v>152</v>
      </c>
      <c r="D2296">
        <v>33</v>
      </c>
      <c r="E2296" t="s">
        <v>158</v>
      </c>
    </row>
    <row r="2297" spans="1:5" x14ac:dyDescent="0.2">
      <c r="A2297">
        <v>2296</v>
      </c>
      <c r="B2297" s="1" t="s">
        <v>100</v>
      </c>
      <c r="C2297" t="s">
        <v>152</v>
      </c>
      <c r="D2297">
        <v>28</v>
      </c>
      <c r="E2297" t="s">
        <v>158</v>
      </c>
    </row>
    <row r="2298" spans="1:5" x14ac:dyDescent="0.2">
      <c r="A2298">
        <v>2297</v>
      </c>
      <c r="B2298" s="1" t="s">
        <v>106</v>
      </c>
      <c r="C2298" t="s">
        <v>151</v>
      </c>
      <c r="D2298">
        <v>50</v>
      </c>
      <c r="E2298" t="s">
        <v>158</v>
      </c>
    </row>
    <row r="2299" spans="1:5" x14ac:dyDescent="0.2">
      <c r="A2299">
        <v>2298</v>
      </c>
      <c r="B2299" s="1" t="s">
        <v>99</v>
      </c>
      <c r="C2299" t="s">
        <v>152</v>
      </c>
      <c r="D2299">
        <v>40</v>
      </c>
      <c r="E2299" t="s">
        <v>158</v>
      </c>
    </row>
    <row r="2300" spans="1:5" x14ac:dyDescent="0.2">
      <c r="A2300">
        <v>2299</v>
      </c>
      <c r="B2300" s="1" t="s">
        <v>99</v>
      </c>
      <c r="C2300" t="s">
        <v>152</v>
      </c>
      <c r="D2300">
        <v>58</v>
      </c>
      <c r="E2300" t="s">
        <v>158</v>
      </c>
    </row>
    <row r="2301" spans="1:5" x14ac:dyDescent="0.2">
      <c r="A2301">
        <v>2300</v>
      </c>
      <c r="B2301" s="1" t="s">
        <v>99</v>
      </c>
      <c r="C2301" t="s">
        <v>151</v>
      </c>
      <c r="D2301">
        <v>61</v>
      </c>
      <c r="E2301" t="s">
        <v>158</v>
      </c>
    </row>
    <row r="2302" spans="1:5" x14ac:dyDescent="0.2">
      <c r="A2302">
        <v>2301</v>
      </c>
      <c r="B2302" s="1" t="s">
        <v>108</v>
      </c>
      <c r="C2302" t="s">
        <v>152</v>
      </c>
      <c r="D2302">
        <v>38</v>
      </c>
      <c r="E2302" t="s">
        <v>158</v>
      </c>
    </row>
    <row r="2303" spans="1:5" x14ac:dyDescent="0.2">
      <c r="A2303">
        <v>2302</v>
      </c>
      <c r="B2303" s="1" t="s">
        <v>105</v>
      </c>
      <c r="C2303" t="s">
        <v>151</v>
      </c>
      <c r="D2303">
        <v>70</v>
      </c>
      <c r="E2303" t="s">
        <v>158</v>
      </c>
    </row>
    <row r="2304" spans="1:5" x14ac:dyDescent="0.2">
      <c r="A2304">
        <v>2303</v>
      </c>
      <c r="B2304" s="1" t="s">
        <v>104</v>
      </c>
      <c r="C2304" t="s">
        <v>152</v>
      </c>
      <c r="D2304">
        <v>55</v>
      </c>
      <c r="E2304" t="s">
        <v>158</v>
      </c>
    </row>
    <row r="2305" spans="1:5" x14ac:dyDescent="0.2">
      <c r="A2305">
        <v>2304</v>
      </c>
      <c r="B2305" s="1" t="s">
        <v>99</v>
      </c>
      <c r="C2305" t="s">
        <v>152</v>
      </c>
      <c r="D2305">
        <v>86</v>
      </c>
      <c r="E2305" t="s">
        <v>158</v>
      </c>
    </row>
    <row r="2306" spans="1:5" x14ac:dyDescent="0.2">
      <c r="A2306">
        <v>2305</v>
      </c>
      <c r="B2306" s="1" t="s">
        <v>99</v>
      </c>
      <c r="C2306" t="s">
        <v>151</v>
      </c>
      <c r="D2306">
        <v>18</v>
      </c>
      <c r="E2306" t="s">
        <v>158</v>
      </c>
    </row>
    <row r="2307" spans="1:5" x14ac:dyDescent="0.2">
      <c r="A2307">
        <v>2306</v>
      </c>
      <c r="B2307" s="1" t="s">
        <v>105</v>
      </c>
      <c r="C2307" t="s">
        <v>151</v>
      </c>
      <c r="D2307">
        <v>44</v>
      </c>
      <c r="E2307" t="s">
        <v>158</v>
      </c>
    </row>
    <row r="2308" spans="1:5" x14ac:dyDescent="0.2">
      <c r="A2308">
        <v>2307</v>
      </c>
      <c r="B2308" s="1" t="s">
        <v>99</v>
      </c>
      <c r="C2308" t="s">
        <v>151</v>
      </c>
      <c r="D2308">
        <v>66</v>
      </c>
      <c r="E2308" t="s">
        <v>158</v>
      </c>
    </row>
    <row r="2309" spans="1:5" x14ac:dyDescent="0.2">
      <c r="A2309">
        <v>2308</v>
      </c>
      <c r="B2309" s="1" t="s">
        <v>103</v>
      </c>
      <c r="C2309" t="s">
        <v>152</v>
      </c>
      <c r="D2309">
        <v>32</v>
      </c>
      <c r="E2309" t="s">
        <v>158</v>
      </c>
    </row>
    <row r="2310" spans="1:5" x14ac:dyDescent="0.2">
      <c r="A2310">
        <v>2309</v>
      </c>
      <c r="B2310" s="1" t="s">
        <v>107</v>
      </c>
      <c r="C2310" t="s">
        <v>152</v>
      </c>
      <c r="D2310">
        <v>25</v>
      </c>
      <c r="E2310" t="s">
        <v>158</v>
      </c>
    </row>
    <row r="2311" spans="1:5" x14ac:dyDescent="0.2">
      <c r="A2311">
        <v>2310</v>
      </c>
      <c r="B2311" s="1" t="s">
        <v>100</v>
      </c>
      <c r="C2311" t="s">
        <v>152</v>
      </c>
      <c r="D2311">
        <v>38</v>
      </c>
      <c r="E2311" t="s">
        <v>158</v>
      </c>
    </row>
    <row r="2312" spans="1:5" x14ac:dyDescent="0.2">
      <c r="A2312">
        <v>2311</v>
      </c>
      <c r="B2312" s="1" t="s">
        <v>105</v>
      </c>
      <c r="C2312" t="s">
        <v>151</v>
      </c>
      <c r="D2312">
        <v>36</v>
      </c>
      <c r="E2312" t="s">
        <v>158</v>
      </c>
    </row>
    <row r="2313" spans="1:5" x14ac:dyDescent="0.2">
      <c r="A2313">
        <v>2312</v>
      </c>
      <c r="B2313" s="1" t="s">
        <v>99</v>
      </c>
      <c r="C2313" t="s">
        <v>151</v>
      </c>
      <c r="D2313">
        <v>56</v>
      </c>
      <c r="E2313" t="s">
        <v>158</v>
      </c>
    </row>
    <row r="2314" spans="1:5" x14ac:dyDescent="0.2">
      <c r="A2314">
        <v>2313</v>
      </c>
      <c r="B2314" s="1" t="s">
        <v>104</v>
      </c>
      <c r="C2314" t="s">
        <v>152</v>
      </c>
      <c r="D2314">
        <v>31</v>
      </c>
      <c r="E2314" t="s">
        <v>158</v>
      </c>
    </row>
    <row r="2315" spans="1:5" x14ac:dyDescent="0.2">
      <c r="A2315">
        <v>2314</v>
      </c>
      <c r="B2315" s="1" t="s">
        <v>99</v>
      </c>
      <c r="C2315" t="s">
        <v>152</v>
      </c>
      <c r="D2315">
        <v>18</v>
      </c>
      <c r="E2315" t="s">
        <v>158</v>
      </c>
    </row>
    <row r="2316" spans="1:5" x14ac:dyDescent="0.2">
      <c r="A2316">
        <v>2315</v>
      </c>
      <c r="B2316" s="1" t="s">
        <v>99</v>
      </c>
      <c r="C2316" t="s">
        <v>152</v>
      </c>
      <c r="D2316">
        <v>60</v>
      </c>
      <c r="E2316" t="s">
        <v>158</v>
      </c>
    </row>
    <row r="2317" spans="1:5" x14ac:dyDescent="0.2">
      <c r="A2317">
        <v>2316</v>
      </c>
      <c r="B2317" s="1" t="s">
        <v>100</v>
      </c>
      <c r="C2317" t="s">
        <v>151</v>
      </c>
      <c r="D2317">
        <v>33</v>
      </c>
      <c r="E2317" t="s">
        <v>158</v>
      </c>
    </row>
    <row r="2318" spans="1:5" x14ac:dyDescent="0.2">
      <c r="A2318">
        <v>2317</v>
      </c>
      <c r="B2318" s="1" t="s">
        <v>99</v>
      </c>
      <c r="C2318" t="s">
        <v>151</v>
      </c>
      <c r="D2318">
        <v>86</v>
      </c>
      <c r="E2318" t="s">
        <v>158</v>
      </c>
    </row>
    <row r="2319" spans="1:5" x14ac:dyDescent="0.2">
      <c r="A2319">
        <v>2318</v>
      </c>
      <c r="B2319" s="1" t="s">
        <v>100</v>
      </c>
      <c r="C2319" t="s">
        <v>152</v>
      </c>
      <c r="D2319">
        <v>59</v>
      </c>
      <c r="E2319" t="s">
        <v>158</v>
      </c>
    </row>
    <row r="2320" spans="1:5" x14ac:dyDescent="0.2">
      <c r="A2320">
        <v>2319</v>
      </c>
      <c r="B2320" s="1" t="s">
        <v>100</v>
      </c>
      <c r="C2320" t="s">
        <v>151</v>
      </c>
      <c r="D2320">
        <v>72</v>
      </c>
      <c r="E2320" t="s">
        <v>158</v>
      </c>
    </row>
    <row r="2321" spans="1:5" x14ac:dyDescent="0.2">
      <c r="A2321">
        <v>2320</v>
      </c>
      <c r="B2321" s="1" t="s">
        <v>104</v>
      </c>
      <c r="C2321" t="s">
        <v>151</v>
      </c>
      <c r="D2321">
        <v>88</v>
      </c>
      <c r="E2321" t="s">
        <v>158</v>
      </c>
    </row>
    <row r="2322" spans="1:5" x14ac:dyDescent="0.2">
      <c r="A2322">
        <v>2321</v>
      </c>
      <c r="B2322" s="1" t="s">
        <v>109</v>
      </c>
      <c r="C2322" t="s">
        <v>152</v>
      </c>
      <c r="D2322">
        <v>39</v>
      </c>
      <c r="E2322" t="s">
        <v>158</v>
      </c>
    </row>
    <row r="2323" spans="1:5" x14ac:dyDescent="0.2">
      <c r="A2323">
        <v>2322</v>
      </c>
      <c r="B2323" s="1" t="s">
        <v>99</v>
      </c>
      <c r="C2323" t="s">
        <v>152</v>
      </c>
      <c r="D2323">
        <v>54</v>
      </c>
      <c r="E2323" t="s">
        <v>158</v>
      </c>
    </row>
    <row r="2324" spans="1:5" x14ac:dyDescent="0.2">
      <c r="A2324">
        <v>2323</v>
      </c>
      <c r="B2324" s="1" t="s">
        <v>107</v>
      </c>
      <c r="C2324" t="s">
        <v>152</v>
      </c>
      <c r="D2324">
        <v>58</v>
      </c>
      <c r="E2324" t="s">
        <v>158</v>
      </c>
    </row>
    <row r="2325" spans="1:5" x14ac:dyDescent="0.2">
      <c r="A2325">
        <v>2324</v>
      </c>
      <c r="B2325" s="1" t="s">
        <v>100</v>
      </c>
      <c r="C2325" t="s">
        <v>151</v>
      </c>
      <c r="D2325">
        <v>29</v>
      </c>
      <c r="E2325" t="s">
        <v>158</v>
      </c>
    </row>
    <row r="2326" spans="1:5" x14ac:dyDescent="0.2">
      <c r="A2326">
        <v>2325</v>
      </c>
      <c r="B2326" s="1" t="s">
        <v>101</v>
      </c>
      <c r="C2326" t="s">
        <v>151</v>
      </c>
      <c r="D2326">
        <v>36</v>
      </c>
      <c r="E2326" t="s">
        <v>158</v>
      </c>
    </row>
    <row r="2327" spans="1:5" x14ac:dyDescent="0.2">
      <c r="A2327">
        <v>2326</v>
      </c>
      <c r="B2327" s="1" t="s">
        <v>107</v>
      </c>
      <c r="C2327" t="s">
        <v>151</v>
      </c>
      <c r="D2327">
        <v>38</v>
      </c>
      <c r="E2327" t="s">
        <v>158</v>
      </c>
    </row>
    <row r="2328" spans="1:5" x14ac:dyDescent="0.2">
      <c r="A2328">
        <v>2327</v>
      </c>
      <c r="B2328" s="1" t="s">
        <v>99</v>
      </c>
      <c r="C2328" t="s">
        <v>151</v>
      </c>
      <c r="D2328">
        <v>53</v>
      </c>
      <c r="E2328" t="s">
        <v>158</v>
      </c>
    </row>
    <row r="2329" spans="1:5" x14ac:dyDescent="0.2">
      <c r="A2329">
        <v>2328</v>
      </c>
      <c r="B2329" s="1" t="s">
        <v>99</v>
      </c>
      <c r="C2329" t="s">
        <v>151</v>
      </c>
      <c r="D2329">
        <v>18</v>
      </c>
      <c r="E2329" t="s">
        <v>158</v>
      </c>
    </row>
    <row r="2330" spans="1:5" x14ac:dyDescent="0.2">
      <c r="A2330">
        <v>2329</v>
      </c>
      <c r="B2330" s="1" t="s">
        <v>100</v>
      </c>
      <c r="C2330" t="s">
        <v>151</v>
      </c>
      <c r="D2330">
        <v>39</v>
      </c>
      <c r="E2330" t="s">
        <v>158</v>
      </c>
    </row>
    <row r="2331" spans="1:5" x14ac:dyDescent="0.2">
      <c r="A2331">
        <v>2330</v>
      </c>
      <c r="B2331" s="1" t="s">
        <v>99</v>
      </c>
      <c r="C2331" t="s">
        <v>152</v>
      </c>
      <c r="D2331">
        <v>23</v>
      </c>
      <c r="E2331" t="s">
        <v>158</v>
      </c>
    </row>
    <row r="2332" spans="1:5" x14ac:dyDescent="0.2">
      <c r="A2332">
        <v>2331</v>
      </c>
      <c r="B2332" s="1" t="s">
        <v>99</v>
      </c>
      <c r="C2332" t="s">
        <v>151</v>
      </c>
      <c r="D2332">
        <v>73</v>
      </c>
      <c r="E2332" t="s">
        <v>158</v>
      </c>
    </row>
    <row r="2333" spans="1:5" x14ac:dyDescent="0.2">
      <c r="A2333">
        <v>2332</v>
      </c>
      <c r="B2333" s="1" t="s">
        <v>105</v>
      </c>
      <c r="C2333" t="s">
        <v>151</v>
      </c>
      <c r="D2333">
        <v>62</v>
      </c>
      <c r="E2333" t="s">
        <v>158</v>
      </c>
    </row>
    <row r="2334" spans="1:5" x14ac:dyDescent="0.2">
      <c r="A2334">
        <v>2333</v>
      </c>
      <c r="B2334" s="1" t="s">
        <v>100</v>
      </c>
      <c r="C2334" t="s">
        <v>151</v>
      </c>
      <c r="D2334">
        <v>34</v>
      </c>
      <c r="E2334" t="s">
        <v>158</v>
      </c>
    </row>
    <row r="2335" spans="1:5" x14ac:dyDescent="0.2">
      <c r="A2335">
        <v>2334</v>
      </c>
      <c r="B2335" s="1" t="s">
        <v>100</v>
      </c>
      <c r="C2335" t="s">
        <v>151</v>
      </c>
      <c r="D2335">
        <v>77</v>
      </c>
      <c r="E2335" t="s">
        <v>158</v>
      </c>
    </row>
    <row r="2336" spans="1:5" x14ac:dyDescent="0.2">
      <c r="A2336">
        <v>2335</v>
      </c>
      <c r="B2336" s="1" t="s">
        <v>102</v>
      </c>
      <c r="C2336" t="s">
        <v>152</v>
      </c>
      <c r="D2336">
        <v>65</v>
      </c>
      <c r="E2336" t="s">
        <v>158</v>
      </c>
    </row>
    <row r="2337" spans="1:5" x14ac:dyDescent="0.2">
      <c r="A2337">
        <v>2336</v>
      </c>
      <c r="B2337" s="1" t="s">
        <v>102</v>
      </c>
      <c r="C2337" t="s">
        <v>152</v>
      </c>
      <c r="D2337">
        <v>43</v>
      </c>
      <c r="E2337" t="s">
        <v>158</v>
      </c>
    </row>
    <row r="2338" spans="1:5" x14ac:dyDescent="0.2">
      <c r="A2338">
        <v>2337</v>
      </c>
      <c r="B2338" s="1" t="s">
        <v>105</v>
      </c>
      <c r="C2338" t="s">
        <v>151</v>
      </c>
      <c r="D2338">
        <v>85</v>
      </c>
      <c r="E2338" t="s">
        <v>158</v>
      </c>
    </row>
    <row r="2339" spans="1:5" x14ac:dyDescent="0.2">
      <c r="A2339">
        <v>2338</v>
      </c>
      <c r="B2339" s="1" t="s">
        <v>99</v>
      </c>
      <c r="C2339" t="s">
        <v>152</v>
      </c>
      <c r="D2339">
        <v>90</v>
      </c>
      <c r="E2339" t="s">
        <v>158</v>
      </c>
    </row>
    <row r="2340" spans="1:5" x14ac:dyDescent="0.2">
      <c r="A2340">
        <v>2339</v>
      </c>
      <c r="B2340" s="1" t="s">
        <v>105</v>
      </c>
      <c r="C2340" t="s">
        <v>152</v>
      </c>
      <c r="D2340">
        <v>32</v>
      </c>
      <c r="E2340" t="s">
        <v>158</v>
      </c>
    </row>
    <row r="2341" spans="1:5" x14ac:dyDescent="0.2">
      <c r="A2341">
        <v>2340</v>
      </c>
      <c r="B2341" s="1" t="s">
        <v>99</v>
      </c>
      <c r="C2341" t="s">
        <v>152</v>
      </c>
      <c r="D2341">
        <v>35</v>
      </c>
      <c r="E2341" t="s">
        <v>158</v>
      </c>
    </row>
    <row r="2342" spans="1:5" x14ac:dyDescent="0.2">
      <c r="A2342">
        <v>2341</v>
      </c>
      <c r="B2342" s="1" t="s">
        <v>104</v>
      </c>
      <c r="C2342" t="s">
        <v>151</v>
      </c>
      <c r="D2342">
        <v>48</v>
      </c>
      <c r="E2342" t="s">
        <v>158</v>
      </c>
    </row>
    <row r="2343" spans="1:5" x14ac:dyDescent="0.2">
      <c r="A2343">
        <v>2342</v>
      </c>
      <c r="B2343" s="1" t="s">
        <v>100</v>
      </c>
      <c r="C2343" t="s">
        <v>152</v>
      </c>
      <c r="D2343">
        <v>46</v>
      </c>
      <c r="E2343" t="s">
        <v>158</v>
      </c>
    </row>
    <row r="2344" spans="1:5" x14ac:dyDescent="0.2">
      <c r="A2344">
        <v>2343</v>
      </c>
      <c r="B2344" s="1" t="s">
        <v>105</v>
      </c>
      <c r="C2344" t="s">
        <v>152</v>
      </c>
      <c r="D2344">
        <v>33</v>
      </c>
      <c r="E2344" t="s">
        <v>158</v>
      </c>
    </row>
    <row r="2345" spans="1:5" x14ac:dyDescent="0.2">
      <c r="A2345">
        <v>2344</v>
      </c>
      <c r="B2345" s="1" t="s">
        <v>99</v>
      </c>
      <c r="C2345" t="s">
        <v>152</v>
      </c>
      <c r="D2345">
        <v>55</v>
      </c>
      <c r="E2345" t="s">
        <v>158</v>
      </c>
    </row>
    <row r="2346" spans="1:5" x14ac:dyDescent="0.2">
      <c r="A2346">
        <v>2345</v>
      </c>
      <c r="B2346" s="1" t="s">
        <v>106</v>
      </c>
      <c r="C2346" t="s">
        <v>151</v>
      </c>
      <c r="D2346">
        <v>59</v>
      </c>
      <c r="E2346" t="s">
        <v>158</v>
      </c>
    </row>
    <row r="2347" spans="1:5" x14ac:dyDescent="0.2">
      <c r="A2347">
        <v>2346</v>
      </c>
      <c r="B2347" s="1" t="s">
        <v>107</v>
      </c>
      <c r="C2347" t="s">
        <v>151</v>
      </c>
      <c r="D2347">
        <v>29</v>
      </c>
      <c r="E2347" t="s">
        <v>158</v>
      </c>
    </row>
    <row r="2348" spans="1:5" x14ac:dyDescent="0.2">
      <c r="A2348">
        <v>2347</v>
      </c>
      <c r="B2348" s="1" t="s">
        <v>100</v>
      </c>
      <c r="C2348" t="s">
        <v>152</v>
      </c>
      <c r="D2348">
        <v>61</v>
      </c>
      <c r="E2348" t="s">
        <v>158</v>
      </c>
    </row>
    <row r="2349" spans="1:5" x14ac:dyDescent="0.2">
      <c r="A2349">
        <v>2348</v>
      </c>
      <c r="B2349" s="1" t="s">
        <v>105</v>
      </c>
      <c r="C2349" t="s">
        <v>152</v>
      </c>
      <c r="D2349">
        <v>88</v>
      </c>
      <c r="E2349" t="s">
        <v>158</v>
      </c>
    </row>
    <row r="2350" spans="1:5" x14ac:dyDescent="0.2">
      <c r="A2350">
        <v>2349</v>
      </c>
      <c r="B2350" s="1" t="s">
        <v>101</v>
      </c>
      <c r="C2350" t="s">
        <v>151</v>
      </c>
      <c r="D2350">
        <v>37</v>
      </c>
      <c r="E2350" t="s">
        <v>158</v>
      </c>
    </row>
    <row r="2351" spans="1:5" x14ac:dyDescent="0.2">
      <c r="A2351">
        <v>2350</v>
      </c>
      <c r="B2351" s="1" t="s">
        <v>105</v>
      </c>
      <c r="C2351" t="s">
        <v>152</v>
      </c>
      <c r="D2351">
        <v>82</v>
      </c>
      <c r="E2351" t="s">
        <v>158</v>
      </c>
    </row>
    <row r="2352" spans="1:5" x14ac:dyDescent="0.2">
      <c r="A2352">
        <v>2351</v>
      </c>
      <c r="B2352" s="1" t="s">
        <v>99</v>
      </c>
      <c r="C2352" t="s">
        <v>151</v>
      </c>
      <c r="D2352">
        <v>43</v>
      </c>
      <c r="E2352" t="s">
        <v>158</v>
      </c>
    </row>
    <row r="2353" spans="1:5" x14ac:dyDescent="0.2">
      <c r="A2353">
        <v>2352</v>
      </c>
      <c r="B2353" s="1" t="s">
        <v>99</v>
      </c>
      <c r="C2353" t="s">
        <v>152</v>
      </c>
      <c r="D2353">
        <v>35</v>
      </c>
      <c r="E2353" t="s">
        <v>158</v>
      </c>
    </row>
    <row r="2354" spans="1:5" x14ac:dyDescent="0.2">
      <c r="A2354">
        <v>2353</v>
      </c>
      <c r="B2354" s="1" t="s">
        <v>99</v>
      </c>
      <c r="C2354" t="s">
        <v>151</v>
      </c>
      <c r="D2354">
        <v>27</v>
      </c>
      <c r="E2354" t="s">
        <v>158</v>
      </c>
    </row>
    <row r="2355" spans="1:5" x14ac:dyDescent="0.2">
      <c r="A2355">
        <v>2354</v>
      </c>
      <c r="B2355" s="1" t="s">
        <v>99</v>
      </c>
      <c r="C2355" t="s">
        <v>152</v>
      </c>
      <c r="D2355">
        <v>36</v>
      </c>
      <c r="E2355" t="s">
        <v>158</v>
      </c>
    </row>
    <row r="2356" spans="1:5" x14ac:dyDescent="0.2">
      <c r="A2356">
        <v>2355</v>
      </c>
      <c r="B2356" s="1" t="s">
        <v>99</v>
      </c>
      <c r="C2356" t="s">
        <v>152</v>
      </c>
      <c r="D2356">
        <v>24</v>
      </c>
      <c r="E2356" t="s">
        <v>158</v>
      </c>
    </row>
    <row r="2357" spans="1:5" x14ac:dyDescent="0.2">
      <c r="A2357">
        <v>2356</v>
      </c>
      <c r="B2357" s="1" t="s">
        <v>100</v>
      </c>
      <c r="C2357" t="s">
        <v>152</v>
      </c>
      <c r="D2357">
        <v>68</v>
      </c>
      <c r="E2357" t="s">
        <v>158</v>
      </c>
    </row>
    <row r="2358" spans="1:5" x14ac:dyDescent="0.2">
      <c r="A2358">
        <v>2357</v>
      </c>
      <c r="B2358" s="1" t="s">
        <v>105</v>
      </c>
      <c r="C2358" t="s">
        <v>151</v>
      </c>
      <c r="D2358">
        <v>89</v>
      </c>
      <c r="E2358" t="s">
        <v>158</v>
      </c>
    </row>
    <row r="2359" spans="1:5" x14ac:dyDescent="0.2">
      <c r="A2359">
        <v>2358</v>
      </c>
      <c r="B2359" s="1" t="s">
        <v>105</v>
      </c>
      <c r="C2359" t="s">
        <v>151</v>
      </c>
      <c r="D2359">
        <v>31</v>
      </c>
      <c r="E2359" t="s">
        <v>158</v>
      </c>
    </row>
    <row r="2360" spans="1:5" x14ac:dyDescent="0.2">
      <c r="A2360">
        <v>2359</v>
      </c>
      <c r="B2360" s="1" t="s">
        <v>99</v>
      </c>
      <c r="C2360" t="s">
        <v>151</v>
      </c>
      <c r="D2360">
        <v>37</v>
      </c>
      <c r="E2360" t="s">
        <v>158</v>
      </c>
    </row>
    <row r="2361" spans="1:5" x14ac:dyDescent="0.2">
      <c r="A2361">
        <v>2360</v>
      </c>
      <c r="B2361" s="1" t="s">
        <v>109</v>
      </c>
      <c r="C2361" t="s">
        <v>151</v>
      </c>
      <c r="D2361">
        <v>50</v>
      </c>
      <c r="E2361" t="s">
        <v>158</v>
      </c>
    </row>
    <row r="2362" spans="1:5" x14ac:dyDescent="0.2">
      <c r="A2362">
        <v>2361</v>
      </c>
      <c r="B2362" s="1" t="s">
        <v>105</v>
      </c>
      <c r="C2362" t="s">
        <v>152</v>
      </c>
      <c r="D2362">
        <v>86</v>
      </c>
      <c r="E2362" t="s">
        <v>158</v>
      </c>
    </row>
    <row r="2363" spans="1:5" x14ac:dyDescent="0.2">
      <c r="A2363">
        <v>2362</v>
      </c>
      <c r="B2363" s="1" t="s">
        <v>105</v>
      </c>
      <c r="C2363" t="s">
        <v>152</v>
      </c>
      <c r="D2363">
        <v>87</v>
      </c>
      <c r="E2363" t="s">
        <v>158</v>
      </c>
    </row>
    <row r="2364" spans="1:5" x14ac:dyDescent="0.2">
      <c r="A2364">
        <v>2363</v>
      </c>
      <c r="B2364" s="1" t="s">
        <v>107</v>
      </c>
      <c r="C2364" t="s">
        <v>152</v>
      </c>
      <c r="D2364">
        <v>87</v>
      </c>
      <c r="E2364" t="s">
        <v>158</v>
      </c>
    </row>
    <row r="2365" spans="1:5" x14ac:dyDescent="0.2">
      <c r="A2365">
        <v>2364</v>
      </c>
      <c r="B2365" s="1" t="s">
        <v>107</v>
      </c>
      <c r="C2365" t="s">
        <v>152</v>
      </c>
      <c r="D2365">
        <v>63</v>
      </c>
      <c r="E2365" t="s">
        <v>158</v>
      </c>
    </row>
    <row r="2366" spans="1:5" x14ac:dyDescent="0.2">
      <c r="A2366">
        <v>2365</v>
      </c>
      <c r="B2366" s="1" t="s">
        <v>108</v>
      </c>
      <c r="C2366" t="s">
        <v>151</v>
      </c>
      <c r="D2366">
        <v>33</v>
      </c>
      <c r="E2366" t="s">
        <v>158</v>
      </c>
    </row>
    <row r="2367" spans="1:5" x14ac:dyDescent="0.2">
      <c r="A2367">
        <v>2366</v>
      </c>
      <c r="B2367" s="1" t="s">
        <v>106</v>
      </c>
      <c r="C2367" t="s">
        <v>151</v>
      </c>
      <c r="D2367">
        <v>90</v>
      </c>
      <c r="E2367" t="s">
        <v>158</v>
      </c>
    </row>
    <row r="2368" spans="1:5" x14ac:dyDescent="0.2">
      <c r="A2368">
        <v>2367</v>
      </c>
      <c r="B2368" s="1" t="s">
        <v>99</v>
      </c>
      <c r="C2368" t="s">
        <v>152</v>
      </c>
      <c r="D2368">
        <v>68</v>
      </c>
      <c r="E2368" t="s">
        <v>158</v>
      </c>
    </row>
    <row r="2369" spans="1:5" x14ac:dyDescent="0.2">
      <c r="A2369">
        <v>2368</v>
      </c>
      <c r="B2369" s="1" t="s">
        <v>110</v>
      </c>
      <c r="C2369" t="s">
        <v>152</v>
      </c>
      <c r="D2369">
        <v>81</v>
      </c>
      <c r="E2369" t="s">
        <v>158</v>
      </c>
    </row>
    <row r="2370" spans="1:5" x14ac:dyDescent="0.2">
      <c r="A2370">
        <v>2369</v>
      </c>
      <c r="B2370" s="1" t="s">
        <v>107</v>
      </c>
      <c r="C2370" t="s">
        <v>152</v>
      </c>
      <c r="D2370">
        <v>90</v>
      </c>
      <c r="E2370" t="s">
        <v>158</v>
      </c>
    </row>
    <row r="2371" spans="1:5" x14ac:dyDescent="0.2">
      <c r="A2371">
        <v>2370</v>
      </c>
      <c r="B2371" s="1" t="s">
        <v>99</v>
      </c>
      <c r="C2371" t="s">
        <v>151</v>
      </c>
      <c r="D2371">
        <v>26</v>
      </c>
      <c r="E2371" t="s">
        <v>158</v>
      </c>
    </row>
    <row r="2372" spans="1:5" x14ac:dyDescent="0.2">
      <c r="A2372">
        <v>2371</v>
      </c>
      <c r="B2372" s="1" t="s">
        <v>104</v>
      </c>
      <c r="C2372" t="s">
        <v>152</v>
      </c>
      <c r="D2372">
        <v>88</v>
      </c>
      <c r="E2372" t="s">
        <v>158</v>
      </c>
    </row>
    <row r="2373" spans="1:5" x14ac:dyDescent="0.2">
      <c r="A2373">
        <v>2372</v>
      </c>
      <c r="B2373" s="1" t="s">
        <v>99</v>
      </c>
      <c r="C2373" t="s">
        <v>151</v>
      </c>
      <c r="D2373">
        <v>58</v>
      </c>
      <c r="E2373" t="s">
        <v>158</v>
      </c>
    </row>
    <row r="2374" spans="1:5" x14ac:dyDescent="0.2">
      <c r="A2374">
        <v>2373</v>
      </c>
      <c r="B2374" s="1" t="s">
        <v>102</v>
      </c>
      <c r="C2374" t="s">
        <v>151</v>
      </c>
      <c r="D2374">
        <v>61</v>
      </c>
      <c r="E2374" t="s">
        <v>158</v>
      </c>
    </row>
    <row r="2375" spans="1:5" x14ac:dyDescent="0.2">
      <c r="A2375">
        <v>2374</v>
      </c>
      <c r="B2375" s="1" t="s">
        <v>99</v>
      </c>
      <c r="C2375" t="s">
        <v>152</v>
      </c>
      <c r="D2375">
        <v>77</v>
      </c>
      <c r="E2375" t="s">
        <v>158</v>
      </c>
    </row>
    <row r="2376" spans="1:5" x14ac:dyDescent="0.2">
      <c r="A2376">
        <v>2375</v>
      </c>
      <c r="B2376" s="1" t="s">
        <v>100</v>
      </c>
      <c r="C2376" t="s">
        <v>152</v>
      </c>
      <c r="D2376">
        <v>72</v>
      </c>
      <c r="E2376" t="s">
        <v>158</v>
      </c>
    </row>
    <row r="2377" spans="1:5" x14ac:dyDescent="0.2">
      <c r="A2377">
        <v>2376</v>
      </c>
      <c r="B2377" s="1" t="s">
        <v>99</v>
      </c>
      <c r="C2377" t="s">
        <v>152</v>
      </c>
      <c r="D2377">
        <v>30</v>
      </c>
      <c r="E2377" t="s">
        <v>158</v>
      </c>
    </row>
    <row r="2378" spans="1:5" x14ac:dyDescent="0.2">
      <c r="A2378">
        <v>2377</v>
      </c>
      <c r="B2378" s="1" t="s">
        <v>105</v>
      </c>
      <c r="C2378" t="s">
        <v>152</v>
      </c>
      <c r="D2378">
        <v>78</v>
      </c>
      <c r="E2378" t="s">
        <v>158</v>
      </c>
    </row>
    <row r="2379" spans="1:5" x14ac:dyDescent="0.2">
      <c r="A2379">
        <v>2378</v>
      </c>
      <c r="B2379" s="1" t="s">
        <v>101</v>
      </c>
      <c r="C2379" t="s">
        <v>151</v>
      </c>
      <c r="D2379">
        <v>72</v>
      </c>
      <c r="E2379" t="s">
        <v>158</v>
      </c>
    </row>
    <row r="2380" spans="1:5" x14ac:dyDescent="0.2">
      <c r="A2380">
        <v>2379</v>
      </c>
      <c r="B2380" s="1" t="s">
        <v>99</v>
      </c>
      <c r="C2380" t="s">
        <v>151</v>
      </c>
      <c r="D2380">
        <v>78</v>
      </c>
      <c r="E2380" t="s">
        <v>158</v>
      </c>
    </row>
    <row r="2381" spans="1:5" x14ac:dyDescent="0.2">
      <c r="A2381">
        <v>2380</v>
      </c>
      <c r="B2381" s="1" t="s">
        <v>101</v>
      </c>
      <c r="C2381" t="s">
        <v>152</v>
      </c>
      <c r="D2381">
        <v>33</v>
      </c>
      <c r="E2381" t="s">
        <v>158</v>
      </c>
    </row>
    <row r="2382" spans="1:5" x14ac:dyDescent="0.2">
      <c r="A2382">
        <v>2381</v>
      </c>
      <c r="B2382" s="1" t="s">
        <v>99</v>
      </c>
      <c r="C2382" t="s">
        <v>152</v>
      </c>
      <c r="D2382">
        <v>59</v>
      </c>
      <c r="E2382" t="s">
        <v>158</v>
      </c>
    </row>
    <row r="2383" spans="1:5" x14ac:dyDescent="0.2">
      <c r="A2383">
        <v>2382</v>
      </c>
      <c r="B2383" s="1" t="s">
        <v>100</v>
      </c>
      <c r="C2383" t="s">
        <v>151</v>
      </c>
      <c r="D2383">
        <v>53</v>
      </c>
      <c r="E2383" t="s">
        <v>158</v>
      </c>
    </row>
    <row r="2384" spans="1:5" x14ac:dyDescent="0.2">
      <c r="A2384">
        <v>2383</v>
      </c>
      <c r="B2384" s="1" t="s">
        <v>99</v>
      </c>
      <c r="C2384" t="s">
        <v>152</v>
      </c>
      <c r="D2384">
        <v>37</v>
      </c>
      <c r="E2384" t="s">
        <v>158</v>
      </c>
    </row>
    <row r="2385" spans="1:5" x14ac:dyDescent="0.2">
      <c r="A2385">
        <v>2384</v>
      </c>
      <c r="B2385" s="1" t="s">
        <v>99</v>
      </c>
      <c r="C2385" t="s">
        <v>151</v>
      </c>
      <c r="D2385">
        <v>36</v>
      </c>
      <c r="E2385" t="s">
        <v>158</v>
      </c>
    </row>
    <row r="2386" spans="1:5" x14ac:dyDescent="0.2">
      <c r="A2386">
        <v>2385</v>
      </c>
      <c r="B2386" s="1" t="s">
        <v>99</v>
      </c>
      <c r="C2386" t="s">
        <v>151</v>
      </c>
      <c r="D2386">
        <v>53</v>
      </c>
      <c r="E2386" t="s">
        <v>158</v>
      </c>
    </row>
    <row r="2387" spans="1:5" x14ac:dyDescent="0.2">
      <c r="A2387">
        <v>2386</v>
      </c>
      <c r="B2387" s="1" t="s">
        <v>105</v>
      </c>
      <c r="C2387" t="s">
        <v>152</v>
      </c>
      <c r="D2387">
        <v>41</v>
      </c>
      <c r="E2387" t="s">
        <v>158</v>
      </c>
    </row>
    <row r="2388" spans="1:5" x14ac:dyDescent="0.2">
      <c r="A2388">
        <v>2387</v>
      </c>
      <c r="B2388" s="1" t="s">
        <v>105</v>
      </c>
      <c r="C2388" t="s">
        <v>152</v>
      </c>
      <c r="D2388">
        <v>30</v>
      </c>
      <c r="E2388" t="s">
        <v>158</v>
      </c>
    </row>
    <row r="2389" spans="1:5" x14ac:dyDescent="0.2">
      <c r="A2389">
        <v>2388</v>
      </c>
      <c r="B2389" s="1" t="s">
        <v>99</v>
      </c>
      <c r="C2389" t="s">
        <v>152</v>
      </c>
      <c r="D2389">
        <v>61</v>
      </c>
      <c r="E2389" t="s">
        <v>158</v>
      </c>
    </row>
    <row r="2390" spans="1:5" x14ac:dyDescent="0.2">
      <c r="A2390">
        <v>2389</v>
      </c>
      <c r="B2390" s="1" t="s">
        <v>99</v>
      </c>
      <c r="C2390" t="s">
        <v>151</v>
      </c>
      <c r="D2390">
        <v>69</v>
      </c>
      <c r="E2390" t="s">
        <v>158</v>
      </c>
    </row>
    <row r="2391" spans="1:5" x14ac:dyDescent="0.2">
      <c r="A2391">
        <v>2390</v>
      </c>
      <c r="B2391" s="1" t="s">
        <v>100</v>
      </c>
      <c r="C2391" t="s">
        <v>152</v>
      </c>
      <c r="D2391">
        <v>82</v>
      </c>
      <c r="E2391" t="s">
        <v>158</v>
      </c>
    </row>
    <row r="2392" spans="1:5" x14ac:dyDescent="0.2">
      <c r="A2392">
        <v>2391</v>
      </c>
      <c r="B2392" s="1" t="s">
        <v>99</v>
      </c>
      <c r="C2392" t="s">
        <v>152</v>
      </c>
      <c r="D2392">
        <v>19</v>
      </c>
      <c r="E2392" t="s">
        <v>158</v>
      </c>
    </row>
    <row r="2393" spans="1:5" x14ac:dyDescent="0.2">
      <c r="A2393">
        <v>2392</v>
      </c>
      <c r="B2393" s="1" t="s">
        <v>101</v>
      </c>
      <c r="C2393" t="s">
        <v>151</v>
      </c>
      <c r="D2393">
        <v>42</v>
      </c>
      <c r="E2393" t="s">
        <v>158</v>
      </c>
    </row>
    <row r="2394" spans="1:5" x14ac:dyDescent="0.2">
      <c r="A2394">
        <v>2393</v>
      </c>
      <c r="B2394" s="1" t="s">
        <v>107</v>
      </c>
      <c r="C2394" t="s">
        <v>151</v>
      </c>
      <c r="D2394">
        <v>43</v>
      </c>
      <c r="E2394" t="s">
        <v>158</v>
      </c>
    </row>
    <row r="2395" spans="1:5" x14ac:dyDescent="0.2">
      <c r="A2395">
        <v>2394</v>
      </c>
      <c r="B2395" s="1" t="s">
        <v>105</v>
      </c>
      <c r="C2395" t="s">
        <v>152</v>
      </c>
      <c r="D2395">
        <v>74</v>
      </c>
      <c r="E2395" t="s">
        <v>158</v>
      </c>
    </row>
    <row r="2396" spans="1:5" x14ac:dyDescent="0.2">
      <c r="A2396">
        <v>2395</v>
      </c>
      <c r="B2396" s="1" t="s">
        <v>99</v>
      </c>
      <c r="C2396" t="s">
        <v>152</v>
      </c>
      <c r="D2396">
        <v>35</v>
      </c>
      <c r="E2396" t="s">
        <v>158</v>
      </c>
    </row>
    <row r="2397" spans="1:5" x14ac:dyDescent="0.2">
      <c r="A2397">
        <v>2396</v>
      </c>
      <c r="B2397" s="1" t="s">
        <v>99</v>
      </c>
      <c r="C2397" t="s">
        <v>152</v>
      </c>
      <c r="D2397">
        <v>19</v>
      </c>
      <c r="E2397" t="s">
        <v>158</v>
      </c>
    </row>
    <row r="2398" spans="1:5" x14ac:dyDescent="0.2">
      <c r="A2398">
        <v>2397</v>
      </c>
      <c r="B2398" s="1" t="s">
        <v>99</v>
      </c>
      <c r="C2398" t="s">
        <v>152</v>
      </c>
      <c r="D2398">
        <v>77</v>
      </c>
      <c r="E2398" t="s">
        <v>158</v>
      </c>
    </row>
    <row r="2399" spans="1:5" x14ac:dyDescent="0.2">
      <c r="A2399">
        <v>2398</v>
      </c>
      <c r="B2399" s="1" t="s">
        <v>100</v>
      </c>
      <c r="C2399" t="s">
        <v>152</v>
      </c>
      <c r="D2399">
        <v>46</v>
      </c>
      <c r="E2399" t="s">
        <v>158</v>
      </c>
    </row>
    <row r="2400" spans="1:5" x14ac:dyDescent="0.2">
      <c r="A2400">
        <v>2399</v>
      </c>
      <c r="B2400" s="1" t="s">
        <v>99</v>
      </c>
      <c r="C2400" t="s">
        <v>151</v>
      </c>
      <c r="D2400">
        <v>32</v>
      </c>
      <c r="E2400" t="s">
        <v>158</v>
      </c>
    </row>
    <row r="2401" spans="1:5" x14ac:dyDescent="0.2">
      <c r="A2401">
        <v>2400</v>
      </c>
      <c r="B2401" s="1" t="s">
        <v>99</v>
      </c>
      <c r="C2401" t="s">
        <v>151</v>
      </c>
      <c r="D2401">
        <v>64</v>
      </c>
      <c r="E2401" t="s">
        <v>158</v>
      </c>
    </row>
    <row r="2402" spans="1:5" x14ac:dyDescent="0.2">
      <c r="A2402">
        <v>2401</v>
      </c>
      <c r="B2402" s="1" t="s">
        <v>99</v>
      </c>
      <c r="C2402" t="s">
        <v>151</v>
      </c>
      <c r="D2402">
        <v>34</v>
      </c>
      <c r="E2402" t="s">
        <v>158</v>
      </c>
    </row>
    <row r="2403" spans="1:5" x14ac:dyDescent="0.2">
      <c r="A2403">
        <v>2402</v>
      </c>
      <c r="B2403" s="1" t="s">
        <v>100</v>
      </c>
      <c r="C2403" t="s">
        <v>151</v>
      </c>
      <c r="D2403">
        <v>61</v>
      </c>
      <c r="E2403" t="s">
        <v>158</v>
      </c>
    </row>
    <row r="2404" spans="1:5" x14ac:dyDescent="0.2">
      <c r="A2404">
        <v>2403</v>
      </c>
      <c r="B2404" s="1" t="s">
        <v>106</v>
      </c>
      <c r="C2404" t="s">
        <v>152</v>
      </c>
      <c r="D2404">
        <v>87</v>
      </c>
      <c r="E2404" t="s">
        <v>158</v>
      </c>
    </row>
    <row r="2405" spans="1:5" x14ac:dyDescent="0.2">
      <c r="A2405">
        <v>2404</v>
      </c>
      <c r="B2405" s="1" t="s">
        <v>101</v>
      </c>
      <c r="C2405" t="s">
        <v>151</v>
      </c>
      <c r="D2405">
        <v>39</v>
      </c>
      <c r="E2405" t="s">
        <v>158</v>
      </c>
    </row>
    <row r="2406" spans="1:5" x14ac:dyDescent="0.2">
      <c r="A2406">
        <v>2405</v>
      </c>
      <c r="B2406" s="1" t="s">
        <v>99</v>
      </c>
      <c r="C2406" t="s">
        <v>152</v>
      </c>
      <c r="D2406">
        <v>63</v>
      </c>
      <c r="E2406" t="s">
        <v>158</v>
      </c>
    </row>
    <row r="2407" spans="1:5" x14ac:dyDescent="0.2">
      <c r="A2407">
        <v>2406</v>
      </c>
      <c r="B2407" s="1" t="s">
        <v>99</v>
      </c>
      <c r="C2407" t="s">
        <v>151</v>
      </c>
      <c r="D2407">
        <v>76</v>
      </c>
      <c r="E2407" t="s">
        <v>158</v>
      </c>
    </row>
    <row r="2408" spans="1:5" x14ac:dyDescent="0.2">
      <c r="A2408">
        <v>2407</v>
      </c>
      <c r="B2408" s="1" t="s">
        <v>99</v>
      </c>
      <c r="C2408" t="s">
        <v>151</v>
      </c>
      <c r="D2408">
        <v>78</v>
      </c>
      <c r="E2408" t="s">
        <v>158</v>
      </c>
    </row>
    <row r="2409" spans="1:5" x14ac:dyDescent="0.2">
      <c r="A2409">
        <v>2408</v>
      </c>
      <c r="B2409" s="1" t="s">
        <v>99</v>
      </c>
      <c r="C2409" t="s">
        <v>152</v>
      </c>
      <c r="D2409">
        <v>27</v>
      </c>
      <c r="E2409" t="s">
        <v>158</v>
      </c>
    </row>
    <row r="2410" spans="1:5" x14ac:dyDescent="0.2">
      <c r="A2410">
        <v>2409</v>
      </c>
      <c r="B2410" s="1" t="s">
        <v>101</v>
      </c>
      <c r="C2410" t="s">
        <v>152</v>
      </c>
      <c r="D2410">
        <v>30</v>
      </c>
      <c r="E2410" t="s">
        <v>158</v>
      </c>
    </row>
    <row r="2411" spans="1:5" x14ac:dyDescent="0.2">
      <c r="A2411">
        <v>2410</v>
      </c>
      <c r="B2411" s="1" t="s">
        <v>100</v>
      </c>
      <c r="C2411" t="s">
        <v>151</v>
      </c>
      <c r="D2411">
        <v>89</v>
      </c>
      <c r="E2411" t="s">
        <v>158</v>
      </c>
    </row>
    <row r="2412" spans="1:5" x14ac:dyDescent="0.2">
      <c r="A2412">
        <v>2411</v>
      </c>
      <c r="B2412" s="1" t="s">
        <v>104</v>
      </c>
      <c r="C2412" t="s">
        <v>151</v>
      </c>
      <c r="D2412">
        <v>88</v>
      </c>
      <c r="E2412" t="s">
        <v>158</v>
      </c>
    </row>
    <row r="2413" spans="1:5" x14ac:dyDescent="0.2">
      <c r="A2413">
        <v>2412</v>
      </c>
      <c r="B2413" s="1" t="s">
        <v>99</v>
      </c>
      <c r="C2413" t="s">
        <v>151</v>
      </c>
      <c r="D2413">
        <v>19</v>
      </c>
      <c r="E2413" t="s">
        <v>158</v>
      </c>
    </row>
    <row r="2414" spans="1:5" x14ac:dyDescent="0.2">
      <c r="A2414">
        <v>2413</v>
      </c>
      <c r="B2414" s="1" t="s">
        <v>106</v>
      </c>
      <c r="C2414" t="s">
        <v>151</v>
      </c>
      <c r="D2414">
        <v>31</v>
      </c>
      <c r="E2414" t="s">
        <v>158</v>
      </c>
    </row>
    <row r="2415" spans="1:5" x14ac:dyDescent="0.2">
      <c r="A2415">
        <v>2414</v>
      </c>
      <c r="B2415" s="1" t="s">
        <v>105</v>
      </c>
      <c r="C2415" t="s">
        <v>152</v>
      </c>
      <c r="D2415">
        <v>34</v>
      </c>
      <c r="E2415" t="s">
        <v>158</v>
      </c>
    </row>
    <row r="2416" spans="1:5" x14ac:dyDescent="0.2">
      <c r="A2416">
        <v>2415</v>
      </c>
      <c r="B2416" s="1" t="s">
        <v>103</v>
      </c>
      <c r="C2416" t="s">
        <v>152</v>
      </c>
      <c r="D2416">
        <v>54</v>
      </c>
      <c r="E2416" t="s">
        <v>158</v>
      </c>
    </row>
    <row r="2417" spans="1:5" x14ac:dyDescent="0.2">
      <c r="A2417">
        <v>2416</v>
      </c>
      <c r="B2417" s="1" t="s">
        <v>105</v>
      </c>
      <c r="C2417" t="s">
        <v>152</v>
      </c>
      <c r="D2417">
        <v>26</v>
      </c>
      <c r="E2417" t="s">
        <v>158</v>
      </c>
    </row>
    <row r="2418" spans="1:5" x14ac:dyDescent="0.2">
      <c r="A2418">
        <v>2417</v>
      </c>
      <c r="B2418" s="1" t="s">
        <v>99</v>
      </c>
      <c r="C2418" t="s">
        <v>151</v>
      </c>
      <c r="D2418">
        <v>52</v>
      </c>
      <c r="E2418" t="s">
        <v>158</v>
      </c>
    </row>
    <row r="2419" spans="1:5" x14ac:dyDescent="0.2">
      <c r="A2419">
        <v>2418</v>
      </c>
      <c r="B2419" s="1" t="s">
        <v>99</v>
      </c>
      <c r="C2419" t="s">
        <v>151</v>
      </c>
      <c r="D2419">
        <v>65</v>
      </c>
      <c r="E2419" t="s">
        <v>158</v>
      </c>
    </row>
    <row r="2420" spans="1:5" x14ac:dyDescent="0.2">
      <c r="A2420">
        <v>2419</v>
      </c>
      <c r="B2420" s="1" t="s">
        <v>107</v>
      </c>
      <c r="C2420" t="s">
        <v>151</v>
      </c>
      <c r="D2420">
        <v>83</v>
      </c>
      <c r="E2420" t="s">
        <v>158</v>
      </c>
    </row>
    <row r="2421" spans="1:5" x14ac:dyDescent="0.2">
      <c r="A2421">
        <v>2420</v>
      </c>
      <c r="B2421" s="1" t="s">
        <v>100</v>
      </c>
      <c r="C2421" t="s">
        <v>151</v>
      </c>
      <c r="D2421">
        <v>65</v>
      </c>
      <c r="E2421" t="s">
        <v>158</v>
      </c>
    </row>
    <row r="2422" spans="1:5" x14ac:dyDescent="0.2">
      <c r="A2422">
        <v>2421</v>
      </c>
      <c r="B2422" s="1" t="s">
        <v>107</v>
      </c>
      <c r="C2422" t="s">
        <v>152</v>
      </c>
      <c r="D2422">
        <v>78</v>
      </c>
      <c r="E2422" t="s">
        <v>158</v>
      </c>
    </row>
    <row r="2423" spans="1:5" x14ac:dyDescent="0.2">
      <c r="A2423">
        <v>2422</v>
      </c>
      <c r="B2423" s="1" t="s">
        <v>99</v>
      </c>
      <c r="C2423" t="s">
        <v>151</v>
      </c>
      <c r="D2423">
        <v>31</v>
      </c>
      <c r="E2423" t="s">
        <v>158</v>
      </c>
    </row>
    <row r="2424" spans="1:5" x14ac:dyDescent="0.2">
      <c r="A2424">
        <v>2423</v>
      </c>
      <c r="B2424" s="1" t="s">
        <v>101</v>
      </c>
      <c r="C2424" t="s">
        <v>152</v>
      </c>
      <c r="D2424">
        <v>88</v>
      </c>
      <c r="E2424" t="s">
        <v>158</v>
      </c>
    </row>
    <row r="2425" spans="1:5" x14ac:dyDescent="0.2">
      <c r="A2425">
        <v>2424</v>
      </c>
      <c r="B2425" s="1" t="s">
        <v>99</v>
      </c>
      <c r="C2425" t="s">
        <v>152</v>
      </c>
      <c r="D2425">
        <v>73</v>
      </c>
      <c r="E2425" t="s">
        <v>158</v>
      </c>
    </row>
    <row r="2426" spans="1:5" x14ac:dyDescent="0.2">
      <c r="A2426">
        <v>2425</v>
      </c>
      <c r="B2426" s="1" t="s">
        <v>101</v>
      </c>
      <c r="C2426" t="s">
        <v>151</v>
      </c>
      <c r="D2426">
        <v>76</v>
      </c>
      <c r="E2426" t="s">
        <v>158</v>
      </c>
    </row>
    <row r="2427" spans="1:5" x14ac:dyDescent="0.2">
      <c r="A2427">
        <v>2426</v>
      </c>
      <c r="B2427" s="1" t="s">
        <v>99</v>
      </c>
      <c r="C2427" t="s">
        <v>151</v>
      </c>
      <c r="D2427">
        <v>57</v>
      </c>
      <c r="E2427" t="s">
        <v>158</v>
      </c>
    </row>
    <row r="2428" spans="1:5" x14ac:dyDescent="0.2">
      <c r="A2428">
        <v>2427</v>
      </c>
      <c r="B2428" s="1" t="s">
        <v>105</v>
      </c>
      <c r="C2428" t="s">
        <v>152</v>
      </c>
      <c r="D2428">
        <v>30</v>
      </c>
      <c r="E2428" t="s">
        <v>158</v>
      </c>
    </row>
    <row r="2429" spans="1:5" x14ac:dyDescent="0.2">
      <c r="A2429">
        <v>2428</v>
      </c>
      <c r="B2429" s="1" t="s">
        <v>100</v>
      </c>
      <c r="C2429" t="s">
        <v>152</v>
      </c>
      <c r="D2429">
        <v>74</v>
      </c>
      <c r="E2429" t="s">
        <v>158</v>
      </c>
    </row>
    <row r="2430" spans="1:5" x14ac:dyDescent="0.2">
      <c r="A2430">
        <v>2429</v>
      </c>
      <c r="B2430" s="1" t="s">
        <v>99</v>
      </c>
      <c r="C2430" t="s">
        <v>151</v>
      </c>
      <c r="D2430">
        <v>38</v>
      </c>
      <c r="E2430" t="s">
        <v>158</v>
      </c>
    </row>
    <row r="2431" spans="1:5" x14ac:dyDescent="0.2">
      <c r="A2431">
        <v>2430</v>
      </c>
      <c r="B2431" s="1" t="s">
        <v>99</v>
      </c>
      <c r="C2431" t="s">
        <v>152</v>
      </c>
      <c r="D2431">
        <v>76</v>
      </c>
      <c r="E2431" t="s">
        <v>158</v>
      </c>
    </row>
    <row r="2432" spans="1:5" x14ac:dyDescent="0.2">
      <c r="A2432">
        <v>2431</v>
      </c>
      <c r="B2432" s="1" t="s">
        <v>100</v>
      </c>
      <c r="C2432" t="s">
        <v>152</v>
      </c>
      <c r="D2432">
        <v>46</v>
      </c>
      <c r="E2432" t="s">
        <v>158</v>
      </c>
    </row>
    <row r="2433" spans="1:5" x14ac:dyDescent="0.2">
      <c r="A2433">
        <v>2432</v>
      </c>
      <c r="B2433" s="1" t="s">
        <v>109</v>
      </c>
      <c r="C2433" t="s">
        <v>151</v>
      </c>
      <c r="D2433">
        <v>70</v>
      </c>
      <c r="E2433" t="s">
        <v>158</v>
      </c>
    </row>
    <row r="2434" spans="1:5" x14ac:dyDescent="0.2">
      <c r="A2434">
        <v>2433</v>
      </c>
      <c r="B2434" s="1" t="s">
        <v>105</v>
      </c>
      <c r="C2434" t="s">
        <v>152</v>
      </c>
      <c r="D2434">
        <v>58</v>
      </c>
      <c r="E2434" t="s">
        <v>158</v>
      </c>
    </row>
    <row r="2435" spans="1:5" x14ac:dyDescent="0.2">
      <c r="A2435">
        <v>2434</v>
      </c>
      <c r="B2435" s="1" t="s">
        <v>101</v>
      </c>
      <c r="C2435" t="s">
        <v>151</v>
      </c>
      <c r="D2435">
        <v>29</v>
      </c>
      <c r="E2435" t="s">
        <v>158</v>
      </c>
    </row>
    <row r="2436" spans="1:5" x14ac:dyDescent="0.2">
      <c r="A2436">
        <v>2435</v>
      </c>
      <c r="B2436" s="1" t="s">
        <v>105</v>
      </c>
      <c r="C2436" t="s">
        <v>152</v>
      </c>
      <c r="D2436">
        <v>82</v>
      </c>
      <c r="E2436" t="s">
        <v>158</v>
      </c>
    </row>
    <row r="2437" spans="1:5" x14ac:dyDescent="0.2">
      <c r="A2437">
        <v>2436</v>
      </c>
      <c r="B2437" s="1" t="s">
        <v>99</v>
      </c>
      <c r="C2437" t="s">
        <v>151</v>
      </c>
      <c r="D2437">
        <v>42</v>
      </c>
      <c r="E2437" t="s">
        <v>158</v>
      </c>
    </row>
    <row r="2438" spans="1:5" x14ac:dyDescent="0.2">
      <c r="A2438">
        <v>2437</v>
      </c>
      <c r="B2438" s="1" t="s">
        <v>108</v>
      </c>
      <c r="C2438" t="s">
        <v>151</v>
      </c>
      <c r="D2438">
        <v>65</v>
      </c>
      <c r="E2438" t="s">
        <v>158</v>
      </c>
    </row>
    <row r="2439" spans="1:5" x14ac:dyDescent="0.2">
      <c r="A2439">
        <v>2438</v>
      </c>
      <c r="B2439" s="1" t="s">
        <v>105</v>
      </c>
      <c r="C2439" t="s">
        <v>151</v>
      </c>
      <c r="D2439">
        <v>25</v>
      </c>
      <c r="E2439" t="s">
        <v>158</v>
      </c>
    </row>
    <row r="2440" spans="1:5" x14ac:dyDescent="0.2">
      <c r="A2440">
        <v>2439</v>
      </c>
      <c r="B2440" s="1" t="s">
        <v>99</v>
      </c>
      <c r="C2440" t="s">
        <v>151</v>
      </c>
      <c r="D2440">
        <v>84</v>
      </c>
      <c r="E2440" t="s">
        <v>158</v>
      </c>
    </row>
    <row r="2441" spans="1:5" x14ac:dyDescent="0.2">
      <c r="A2441">
        <v>2440</v>
      </c>
      <c r="B2441" s="1" t="s">
        <v>107</v>
      </c>
      <c r="C2441" t="s">
        <v>151</v>
      </c>
      <c r="D2441">
        <v>61</v>
      </c>
      <c r="E2441" t="s">
        <v>158</v>
      </c>
    </row>
    <row r="2442" spans="1:5" x14ac:dyDescent="0.2">
      <c r="A2442">
        <v>2441</v>
      </c>
      <c r="B2442" s="1" t="s">
        <v>99</v>
      </c>
      <c r="C2442" t="s">
        <v>152</v>
      </c>
      <c r="D2442">
        <v>68</v>
      </c>
      <c r="E2442" t="s">
        <v>158</v>
      </c>
    </row>
    <row r="2443" spans="1:5" x14ac:dyDescent="0.2">
      <c r="A2443">
        <v>2442</v>
      </c>
      <c r="B2443" s="1" t="s">
        <v>99</v>
      </c>
      <c r="C2443" t="s">
        <v>151</v>
      </c>
      <c r="D2443">
        <v>70</v>
      </c>
      <c r="E2443" t="s">
        <v>158</v>
      </c>
    </row>
    <row r="2444" spans="1:5" x14ac:dyDescent="0.2">
      <c r="A2444">
        <v>2443</v>
      </c>
      <c r="B2444" s="1" t="s">
        <v>105</v>
      </c>
      <c r="C2444" t="s">
        <v>151</v>
      </c>
      <c r="D2444">
        <v>23</v>
      </c>
      <c r="E2444" t="s">
        <v>158</v>
      </c>
    </row>
    <row r="2445" spans="1:5" x14ac:dyDescent="0.2">
      <c r="A2445">
        <v>2444</v>
      </c>
      <c r="B2445" s="1" t="s">
        <v>105</v>
      </c>
      <c r="C2445" t="s">
        <v>152</v>
      </c>
      <c r="D2445">
        <v>89</v>
      </c>
      <c r="E2445" t="s">
        <v>158</v>
      </c>
    </row>
    <row r="2446" spans="1:5" x14ac:dyDescent="0.2">
      <c r="A2446">
        <v>2445</v>
      </c>
      <c r="B2446" s="1" t="s">
        <v>99</v>
      </c>
      <c r="C2446" t="s">
        <v>151</v>
      </c>
      <c r="D2446">
        <v>46</v>
      </c>
      <c r="E2446" t="s">
        <v>158</v>
      </c>
    </row>
    <row r="2447" spans="1:5" x14ac:dyDescent="0.2">
      <c r="A2447">
        <v>2446</v>
      </c>
      <c r="B2447" s="1" t="s">
        <v>100</v>
      </c>
      <c r="C2447" t="s">
        <v>151</v>
      </c>
      <c r="D2447">
        <v>47</v>
      </c>
      <c r="E2447" t="s">
        <v>158</v>
      </c>
    </row>
    <row r="2448" spans="1:5" x14ac:dyDescent="0.2">
      <c r="A2448">
        <v>2447</v>
      </c>
      <c r="B2448" s="1" t="s">
        <v>110</v>
      </c>
      <c r="C2448" t="s">
        <v>152</v>
      </c>
      <c r="D2448">
        <v>25</v>
      </c>
      <c r="E2448" t="s">
        <v>158</v>
      </c>
    </row>
    <row r="2449" spans="1:5" x14ac:dyDescent="0.2">
      <c r="A2449">
        <v>2448</v>
      </c>
      <c r="B2449" s="1" t="s">
        <v>105</v>
      </c>
      <c r="C2449" t="s">
        <v>152</v>
      </c>
      <c r="D2449">
        <v>55</v>
      </c>
      <c r="E2449" t="s">
        <v>158</v>
      </c>
    </row>
    <row r="2450" spans="1:5" x14ac:dyDescent="0.2">
      <c r="A2450">
        <v>2449</v>
      </c>
      <c r="B2450" s="1" t="s">
        <v>105</v>
      </c>
      <c r="C2450" t="s">
        <v>151</v>
      </c>
      <c r="D2450">
        <v>57</v>
      </c>
      <c r="E2450" t="s">
        <v>158</v>
      </c>
    </row>
    <row r="2451" spans="1:5" x14ac:dyDescent="0.2">
      <c r="A2451">
        <v>2450</v>
      </c>
      <c r="B2451" s="1" t="s">
        <v>105</v>
      </c>
      <c r="C2451" t="s">
        <v>151</v>
      </c>
      <c r="D2451">
        <v>21</v>
      </c>
      <c r="E2451" t="s">
        <v>158</v>
      </c>
    </row>
    <row r="2452" spans="1:5" x14ac:dyDescent="0.2">
      <c r="A2452">
        <v>2451</v>
      </c>
      <c r="B2452" s="1" t="s">
        <v>99</v>
      </c>
      <c r="C2452" t="s">
        <v>152</v>
      </c>
      <c r="D2452">
        <v>89</v>
      </c>
      <c r="E2452" t="s">
        <v>158</v>
      </c>
    </row>
    <row r="2453" spans="1:5" x14ac:dyDescent="0.2">
      <c r="A2453">
        <v>2452</v>
      </c>
      <c r="B2453" s="1" t="s">
        <v>106</v>
      </c>
      <c r="C2453" t="s">
        <v>152</v>
      </c>
      <c r="D2453">
        <v>48</v>
      </c>
      <c r="E2453" t="s">
        <v>158</v>
      </c>
    </row>
    <row r="2454" spans="1:5" x14ac:dyDescent="0.2">
      <c r="A2454">
        <v>2453</v>
      </c>
      <c r="B2454" s="1" t="s">
        <v>99</v>
      </c>
      <c r="C2454" t="s">
        <v>151</v>
      </c>
      <c r="D2454">
        <v>37</v>
      </c>
      <c r="E2454" t="s">
        <v>158</v>
      </c>
    </row>
    <row r="2455" spans="1:5" x14ac:dyDescent="0.2">
      <c r="A2455">
        <v>2454</v>
      </c>
      <c r="B2455" s="1" t="s">
        <v>105</v>
      </c>
      <c r="C2455" t="s">
        <v>151</v>
      </c>
      <c r="D2455">
        <v>21</v>
      </c>
      <c r="E2455" t="s">
        <v>158</v>
      </c>
    </row>
    <row r="2456" spans="1:5" x14ac:dyDescent="0.2">
      <c r="A2456">
        <v>2455</v>
      </c>
      <c r="B2456" s="1" t="s">
        <v>99</v>
      </c>
      <c r="C2456" t="s">
        <v>151</v>
      </c>
      <c r="D2456">
        <v>68</v>
      </c>
      <c r="E2456" t="s">
        <v>158</v>
      </c>
    </row>
    <row r="2457" spans="1:5" x14ac:dyDescent="0.2">
      <c r="A2457">
        <v>2456</v>
      </c>
      <c r="B2457" s="1" t="s">
        <v>100</v>
      </c>
      <c r="C2457" t="s">
        <v>151</v>
      </c>
      <c r="D2457">
        <v>77</v>
      </c>
      <c r="E2457" t="s">
        <v>158</v>
      </c>
    </row>
    <row r="2458" spans="1:5" x14ac:dyDescent="0.2">
      <c r="A2458">
        <v>2457</v>
      </c>
      <c r="B2458" s="1" t="s">
        <v>99</v>
      </c>
      <c r="C2458" t="s">
        <v>151</v>
      </c>
      <c r="D2458">
        <v>50</v>
      </c>
      <c r="E2458" t="s">
        <v>158</v>
      </c>
    </row>
    <row r="2459" spans="1:5" x14ac:dyDescent="0.2">
      <c r="A2459">
        <v>2458</v>
      </c>
      <c r="B2459" s="1" t="s">
        <v>99</v>
      </c>
      <c r="C2459" t="s">
        <v>151</v>
      </c>
      <c r="D2459">
        <v>72</v>
      </c>
      <c r="E2459" t="s">
        <v>158</v>
      </c>
    </row>
    <row r="2460" spans="1:5" x14ac:dyDescent="0.2">
      <c r="A2460">
        <v>2459</v>
      </c>
      <c r="B2460" s="1" t="s">
        <v>99</v>
      </c>
      <c r="C2460" t="s">
        <v>151</v>
      </c>
      <c r="D2460">
        <v>72</v>
      </c>
      <c r="E2460" t="s">
        <v>158</v>
      </c>
    </row>
    <row r="2461" spans="1:5" x14ac:dyDescent="0.2">
      <c r="A2461">
        <v>2460</v>
      </c>
      <c r="B2461" s="1" t="s">
        <v>103</v>
      </c>
      <c r="C2461" t="s">
        <v>152</v>
      </c>
      <c r="D2461">
        <v>67</v>
      </c>
      <c r="E2461" t="s">
        <v>158</v>
      </c>
    </row>
    <row r="2462" spans="1:5" x14ac:dyDescent="0.2">
      <c r="A2462">
        <v>2461</v>
      </c>
      <c r="B2462" s="1" t="s">
        <v>99</v>
      </c>
      <c r="C2462" t="s">
        <v>151</v>
      </c>
      <c r="D2462">
        <v>40</v>
      </c>
      <c r="E2462" t="s">
        <v>158</v>
      </c>
    </row>
    <row r="2463" spans="1:5" x14ac:dyDescent="0.2">
      <c r="A2463">
        <v>2462</v>
      </c>
      <c r="B2463" s="1" t="s">
        <v>99</v>
      </c>
      <c r="C2463" t="s">
        <v>151</v>
      </c>
      <c r="D2463">
        <v>50</v>
      </c>
      <c r="E2463" t="s">
        <v>158</v>
      </c>
    </row>
    <row r="2464" spans="1:5" x14ac:dyDescent="0.2">
      <c r="A2464">
        <v>2463</v>
      </c>
      <c r="B2464" s="1" t="s">
        <v>99</v>
      </c>
      <c r="C2464" t="s">
        <v>151</v>
      </c>
      <c r="D2464">
        <v>58</v>
      </c>
      <c r="E2464" t="s">
        <v>158</v>
      </c>
    </row>
    <row r="2465" spans="1:5" x14ac:dyDescent="0.2">
      <c r="A2465">
        <v>2464</v>
      </c>
      <c r="B2465" s="1" t="s">
        <v>100</v>
      </c>
      <c r="C2465" t="s">
        <v>152</v>
      </c>
      <c r="D2465">
        <v>57</v>
      </c>
      <c r="E2465" t="s">
        <v>158</v>
      </c>
    </row>
    <row r="2466" spans="1:5" x14ac:dyDescent="0.2">
      <c r="A2466">
        <v>2465</v>
      </c>
      <c r="B2466" s="1" t="s">
        <v>101</v>
      </c>
      <c r="C2466" t="s">
        <v>152</v>
      </c>
      <c r="D2466">
        <v>38</v>
      </c>
      <c r="E2466" t="s">
        <v>158</v>
      </c>
    </row>
    <row r="2467" spans="1:5" x14ac:dyDescent="0.2">
      <c r="A2467">
        <v>2466</v>
      </c>
      <c r="B2467" s="1" t="s">
        <v>99</v>
      </c>
      <c r="C2467" t="s">
        <v>152</v>
      </c>
      <c r="D2467">
        <v>39</v>
      </c>
      <c r="E2467" t="s">
        <v>158</v>
      </c>
    </row>
    <row r="2468" spans="1:5" x14ac:dyDescent="0.2">
      <c r="A2468">
        <v>2467</v>
      </c>
      <c r="B2468" s="1" t="s">
        <v>100</v>
      </c>
      <c r="C2468" t="s">
        <v>151</v>
      </c>
      <c r="D2468">
        <v>37</v>
      </c>
      <c r="E2468" t="s">
        <v>158</v>
      </c>
    </row>
    <row r="2469" spans="1:5" x14ac:dyDescent="0.2">
      <c r="A2469">
        <v>2468</v>
      </c>
      <c r="B2469" s="1" t="s">
        <v>99</v>
      </c>
      <c r="C2469" t="s">
        <v>152</v>
      </c>
      <c r="D2469">
        <v>64</v>
      </c>
      <c r="E2469" t="s">
        <v>158</v>
      </c>
    </row>
    <row r="2470" spans="1:5" x14ac:dyDescent="0.2">
      <c r="A2470">
        <v>2469</v>
      </c>
      <c r="B2470" s="1" t="s">
        <v>101</v>
      </c>
      <c r="C2470" t="s">
        <v>152</v>
      </c>
      <c r="D2470">
        <v>41</v>
      </c>
      <c r="E2470" t="s">
        <v>158</v>
      </c>
    </row>
    <row r="2471" spans="1:5" x14ac:dyDescent="0.2">
      <c r="A2471">
        <v>2470</v>
      </c>
      <c r="B2471" s="1" t="s">
        <v>99</v>
      </c>
      <c r="C2471" t="s">
        <v>152</v>
      </c>
      <c r="D2471">
        <v>49</v>
      </c>
      <c r="E2471" t="s">
        <v>158</v>
      </c>
    </row>
    <row r="2472" spans="1:5" x14ac:dyDescent="0.2">
      <c r="A2472">
        <v>2471</v>
      </c>
      <c r="B2472" s="1" t="s">
        <v>99</v>
      </c>
      <c r="C2472" t="s">
        <v>151</v>
      </c>
      <c r="D2472">
        <v>57</v>
      </c>
      <c r="E2472" t="s">
        <v>158</v>
      </c>
    </row>
    <row r="2473" spans="1:5" x14ac:dyDescent="0.2">
      <c r="A2473">
        <v>2472</v>
      </c>
      <c r="B2473" s="1" t="s">
        <v>107</v>
      </c>
      <c r="C2473" t="s">
        <v>152</v>
      </c>
      <c r="D2473">
        <v>44</v>
      </c>
      <c r="E2473" t="s">
        <v>158</v>
      </c>
    </row>
    <row r="2474" spans="1:5" x14ac:dyDescent="0.2">
      <c r="A2474">
        <v>2473</v>
      </c>
      <c r="B2474" s="1" t="s">
        <v>108</v>
      </c>
      <c r="C2474" t="s">
        <v>151</v>
      </c>
      <c r="D2474">
        <v>42</v>
      </c>
      <c r="E2474" t="s">
        <v>158</v>
      </c>
    </row>
    <row r="2475" spans="1:5" x14ac:dyDescent="0.2">
      <c r="A2475">
        <v>2474</v>
      </c>
      <c r="B2475" s="1" t="s">
        <v>109</v>
      </c>
      <c r="C2475" t="s">
        <v>151</v>
      </c>
      <c r="D2475">
        <v>63</v>
      </c>
      <c r="E2475" t="s">
        <v>158</v>
      </c>
    </row>
    <row r="2476" spans="1:5" x14ac:dyDescent="0.2">
      <c r="A2476">
        <v>2475</v>
      </c>
      <c r="B2476" s="1" t="s">
        <v>99</v>
      </c>
      <c r="C2476" t="s">
        <v>152</v>
      </c>
      <c r="D2476">
        <v>78</v>
      </c>
      <c r="E2476" t="s">
        <v>158</v>
      </c>
    </row>
    <row r="2477" spans="1:5" x14ac:dyDescent="0.2">
      <c r="A2477">
        <v>2476</v>
      </c>
      <c r="B2477" s="1" t="s">
        <v>105</v>
      </c>
      <c r="C2477" t="s">
        <v>152</v>
      </c>
      <c r="D2477">
        <v>86</v>
      </c>
      <c r="E2477" t="s">
        <v>158</v>
      </c>
    </row>
    <row r="2478" spans="1:5" x14ac:dyDescent="0.2">
      <c r="A2478">
        <v>2477</v>
      </c>
      <c r="B2478" s="1" t="s">
        <v>99</v>
      </c>
      <c r="C2478" t="s">
        <v>151</v>
      </c>
      <c r="D2478">
        <v>69</v>
      </c>
      <c r="E2478" t="s">
        <v>158</v>
      </c>
    </row>
    <row r="2479" spans="1:5" x14ac:dyDescent="0.2">
      <c r="A2479">
        <v>2478</v>
      </c>
      <c r="B2479" s="1" t="s">
        <v>101</v>
      </c>
      <c r="C2479" t="s">
        <v>151</v>
      </c>
      <c r="D2479">
        <v>83</v>
      </c>
      <c r="E2479" t="s">
        <v>158</v>
      </c>
    </row>
    <row r="2480" spans="1:5" x14ac:dyDescent="0.2">
      <c r="A2480">
        <v>2479</v>
      </c>
      <c r="B2480" s="1" t="s">
        <v>99</v>
      </c>
      <c r="C2480" t="s">
        <v>152</v>
      </c>
      <c r="D2480">
        <v>89</v>
      </c>
      <c r="E2480" t="s">
        <v>158</v>
      </c>
    </row>
    <row r="2481" spans="1:5" x14ac:dyDescent="0.2">
      <c r="A2481">
        <v>2480</v>
      </c>
      <c r="B2481" s="1" t="s">
        <v>108</v>
      </c>
      <c r="C2481" t="s">
        <v>151</v>
      </c>
      <c r="D2481">
        <v>47</v>
      </c>
      <c r="E2481" t="s">
        <v>158</v>
      </c>
    </row>
    <row r="2482" spans="1:5" x14ac:dyDescent="0.2">
      <c r="A2482">
        <v>2481</v>
      </c>
      <c r="B2482" s="1" t="s">
        <v>105</v>
      </c>
      <c r="C2482" t="s">
        <v>151</v>
      </c>
      <c r="D2482">
        <v>56</v>
      </c>
      <c r="E2482" t="s">
        <v>158</v>
      </c>
    </row>
    <row r="2483" spans="1:5" x14ac:dyDescent="0.2">
      <c r="A2483">
        <v>2482</v>
      </c>
      <c r="B2483" s="1" t="s">
        <v>109</v>
      </c>
      <c r="C2483" t="s">
        <v>151</v>
      </c>
      <c r="D2483">
        <v>61</v>
      </c>
      <c r="E2483" t="s">
        <v>158</v>
      </c>
    </row>
    <row r="2484" spans="1:5" x14ac:dyDescent="0.2">
      <c r="A2484">
        <v>2483</v>
      </c>
      <c r="B2484" s="1" t="s">
        <v>102</v>
      </c>
      <c r="C2484" t="s">
        <v>152</v>
      </c>
      <c r="D2484">
        <v>90</v>
      </c>
      <c r="E2484" t="s">
        <v>158</v>
      </c>
    </row>
    <row r="2485" spans="1:5" x14ac:dyDescent="0.2">
      <c r="A2485">
        <v>2484</v>
      </c>
      <c r="B2485" s="1" t="s">
        <v>99</v>
      </c>
      <c r="C2485" t="s">
        <v>151</v>
      </c>
      <c r="D2485">
        <v>55</v>
      </c>
      <c r="E2485" t="s">
        <v>158</v>
      </c>
    </row>
    <row r="2486" spans="1:5" x14ac:dyDescent="0.2">
      <c r="A2486">
        <v>2485</v>
      </c>
      <c r="B2486" s="1" t="s">
        <v>101</v>
      </c>
      <c r="C2486" t="s">
        <v>152</v>
      </c>
      <c r="D2486">
        <v>64</v>
      </c>
      <c r="E2486" t="s">
        <v>158</v>
      </c>
    </row>
    <row r="2487" spans="1:5" x14ac:dyDescent="0.2">
      <c r="A2487">
        <v>2486</v>
      </c>
      <c r="B2487" s="1" t="s">
        <v>108</v>
      </c>
      <c r="C2487" t="s">
        <v>152</v>
      </c>
      <c r="D2487">
        <v>60</v>
      </c>
      <c r="E2487" t="s">
        <v>158</v>
      </c>
    </row>
    <row r="2488" spans="1:5" x14ac:dyDescent="0.2">
      <c r="A2488">
        <v>2487</v>
      </c>
      <c r="B2488" s="1" t="s">
        <v>99</v>
      </c>
      <c r="C2488" t="s">
        <v>152</v>
      </c>
      <c r="D2488">
        <v>89</v>
      </c>
      <c r="E2488" t="s">
        <v>158</v>
      </c>
    </row>
    <row r="2489" spans="1:5" x14ac:dyDescent="0.2">
      <c r="A2489">
        <v>2488</v>
      </c>
      <c r="B2489" s="1" t="s">
        <v>101</v>
      </c>
      <c r="C2489" t="s">
        <v>152</v>
      </c>
      <c r="D2489">
        <v>67</v>
      </c>
      <c r="E2489" t="s">
        <v>158</v>
      </c>
    </row>
    <row r="2490" spans="1:5" x14ac:dyDescent="0.2">
      <c r="A2490">
        <v>2489</v>
      </c>
      <c r="B2490" s="1" t="s">
        <v>99</v>
      </c>
      <c r="C2490" t="s">
        <v>151</v>
      </c>
      <c r="D2490">
        <v>68</v>
      </c>
      <c r="E2490" t="s">
        <v>158</v>
      </c>
    </row>
    <row r="2491" spans="1:5" x14ac:dyDescent="0.2">
      <c r="A2491">
        <v>2490</v>
      </c>
      <c r="B2491" s="1" t="s">
        <v>99</v>
      </c>
      <c r="C2491" t="s">
        <v>152</v>
      </c>
      <c r="D2491">
        <v>31</v>
      </c>
      <c r="E2491" t="s">
        <v>158</v>
      </c>
    </row>
    <row r="2492" spans="1:5" x14ac:dyDescent="0.2">
      <c r="A2492">
        <v>2491</v>
      </c>
      <c r="B2492" s="1" t="s">
        <v>102</v>
      </c>
      <c r="C2492" t="s">
        <v>151</v>
      </c>
      <c r="D2492">
        <v>69</v>
      </c>
      <c r="E2492" t="s">
        <v>158</v>
      </c>
    </row>
    <row r="2493" spans="1:5" x14ac:dyDescent="0.2">
      <c r="A2493">
        <v>2492</v>
      </c>
      <c r="B2493" s="1" t="s">
        <v>100</v>
      </c>
      <c r="C2493" t="s">
        <v>151</v>
      </c>
      <c r="D2493">
        <v>82</v>
      </c>
      <c r="E2493" t="s">
        <v>158</v>
      </c>
    </row>
    <row r="2494" spans="1:5" x14ac:dyDescent="0.2">
      <c r="A2494">
        <v>2493</v>
      </c>
      <c r="B2494" s="1" t="s">
        <v>99</v>
      </c>
      <c r="C2494" t="s">
        <v>152</v>
      </c>
      <c r="D2494">
        <v>65</v>
      </c>
      <c r="E2494" t="s">
        <v>158</v>
      </c>
    </row>
    <row r="2495" spans="1:5" x14ac:dyDescent="0.2">
      <c r="A2495">
        <v>2494</v>
      </c>
      <c r="B2495" s="1" t="s">
        <v>104</v>
      </c>
      <c r="C2495" t="s">
        <v>151</v>
      </c>
      <c r="D2495">
        <v>29</v>
      </c>
      <c r="E2495" t="s">
        <v>158</v>
      </c>
    </row>
    <row r="2496" spans="1:5" x14ac:dyDescent="0.2">
      <c r="A2496">
        <v>2495</v>
      </c>
      <c r="B2496" s="1" t="s">
        <v>101</v>
      </c>
      <c r="C2496" t="s">
        <v>151</v>
      </c>
      <c r="D2496">
        <v>47</v>
      </c>
      <c r="E2496" t="s">
        <v>158</v>
      </c>
    </row>
    <row r="2497" spans="1:5" x14ac:dyDescent="0.2">
      <c r="A2497">
        <v>2496</v>
      </c>
      <c r="B2497" s="1" t="s">
        <v>100</v>
      </c>
      <c r="C2497" t="s">
        <v>152</v>
      </c>
      <c r="D2497">
        <v>89</v>
      </c>
      <c r="E2497" t="s">
        <v>158</v>
      </c>
    </row>
    <row r="2498" spans="1:5" x14ac:dyDescent="0.2">
      <c r="A2498">
        <v>2497</v>
      </c>
      <c r="B2498" s="1" t="s">
        <v>105</v>
      </c>
      <c r="C2498" t="s">
        <v>151</v>
      </c>
      <c r="D2498">
        <v>74</v>
      </c>
      <c r="E2498" t="s">
        <v>158</v>
      </c>
    </row>
    <row r="2499" spans="1:5" x14ac:dyDescent="0.2">
      <c r="A2499">
        <v>2498</v>
      </c>
      <c r="B2499" s="1" t="s">
        <v>101</v>
      </c>
      <c r="C2499" t="s">
        <v>151</v>
      </c>
      <c r="D2499">
        <v>35</v>
      </c>
      <c r="E2499" t="s">
        <v>158</v>
      </c>
    </row>
    <row r="2500" spans="1:5" x14ac:dyDescent="0.2">
      <c r="A2500">
        <v>2499</v>
      </c>
      <c r="B2500" s="1" t="s">
        <v>99</v>
      </c>
      <c r="C2500" t="s">
        <v>152</v>
      </c>
      <c r="D2500">
        <v>86</v>
      </c>
      <c r="E2500" t="s">
        <v>158</v>
      </c>
    </row>
    <row r="2501" spans="1:5" x14ac:dyDescent="0.2">
      <c r="A2501">
        <v>2500</v>
      </c>
      <c r="B2501" s="1" t="s">
        <v>108</v>
      </c>
      <c r="C2501" t="s">
        <v>152</v>
      </c>
      <c r="D2501">
        <v>46</v>
      </c>
      <c r="E2501" t="s">
        <v>158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8E2D3-77AC-4585-98C3-B221078828E5}">
  <sheetPr>
    <tabColor theme="7"/>
  </sheetPr>
  <dimension ref="A1:S93"/>
  <sheetViews>
    <sheetView topLeftCell="A6" workbookViewId="0">
      <selection activeCell="D2" sqref="D2"/>
    </sheetView>
  </sheetViews>
  <sheetFormatPr baseColWidth="10" defaultColWidth="8.83203125" defaultRowHeight="15" x14ac:dyDescent="0.2"/>
  <cols>
    <col min="1" max="1" width="19.5" bestFit="1" customWidth="1"/>
    <col min="2" max="2" width="22.6640625" bestFit="1" customWidth="1"/>
    <col min="3" max="3" width="22.33203125" bestFit="1" customWidth="1"/>
    <col min="4" max="5" width="15.33203125" bestFit="1" customWidth="1"/>
    <col min="6" max="6" width="13.33203125" bestFit="1" customWidth="1"/>
  </cols>
  <sheetData>
    <row r="1" spans="1:19" x14ac:dyDescent="0.2">
      <c r="A1" s="12" t="s">
        <v>3</v>
      </c>
      <c r="B1" s="4" t="s">
        <v>159</v>
      </c>
      <c r="C1" s="4" t="s">
        <v>160</v>
      </c>
      <c r="D1" s="12" t="s">
        <v>141</v>
      </c>
      <c r="E1" s="12" t="s">
        <v>147</v>
      </c>
      <c r="F1" s="12" t="s">
        <v>196</v>
      </c>
      <c r="O1" s="4" t="s">
        <v>3</v>
      </c>
      <c r="P1" s="4" t="s">
        <v>159</v>
      </c>
      <c r="Q1" s="4" t="s">
        <v>160</v>
      </c>
      <c r="R1" s="4" t="s">
        <v>141</v>
      </c>
      <c r="S1" s="4" t="s">
        <v>147</v>
      </c>
    </row>
    <row r="2" spans="1:19" x14ac:dyDescent="0.2">
      <c r="A2" t="s">
        <v>77</v>
      </c>
      <c r="B2" t="s">
        <v>115</v>
      </c>
      <c r="C2" t="s">
        <v>161</v>
      </c>
      <c r="D2" t="s">
        <v>146</v>
      </c>
      <c r="E2">
        <v>100000</v>
      </c>
      <c r="F2" t="str">
        <f>_xlfn.TEXTJOIN("  ",,B2:C2)</f>
        <v>Amelia  Johnson</v>
      </c>
      <c r="O2">
        <f>COUNTBLANK(A2:A93)</f>
        <v>0</v>
      </c>
      <c r="P2">
        <f>COUNTBLANK(B2:B93)</f>
        <v>0</v>
      </c>
      <c r="Q2">
        <f>COUNTBLANK(C2:C93)</f>
        <v>0</v>
      </c>
      <c r="R2">
        <f>COUNTBLANK(D2:D93)</f>
        <v>0</v>
      </c>
      <c r="S2">
        <f>COUNTBLANK(E2:E93)</f>
        <v>0</v>
      </c>
    </row>
    <row r="3" spans="1:19" x14ac:dyDescent="0.2">
      <c r="A3" t="s">
        <v>8</v>
      </c>
      <c r="B3" t="s">
        <v>116</v>
      </c>
      <c r="C3" t="s">
        <v>162</v>
      </c>
      <c r="D3" t="s">
        <v>142</v>
      </c>
      <c r="E3">
        <v>200000</v>
      </c>
      <c r="F3" t="str">
        <f t="shared" ref="F3:F66" si="0">_xlfn.TEXTJOIN("  ",,B3:C3)</f>
        <v>Lukas  Schmidt</v>
      </c>
    </row>
    <row r="4" spans="1:19" x14ac:dyDescent="0.2">
      <c r="A4" t="s">
        <v>78</v>
      </c>
      <c r="B4" t="s">
        <v>117</v>
      </c>
      <c r="C4" t="s">
        <v>163</v>
      </c>
      <c r="D4" t="s">
        <v>143</v>
      </c>
      <c r="E4">
        <v>200000</v>
      </c>
      <c r="F4" t="str">
        <f t="shared" si="0"/>
        <v>Olivia  Jensen</v>
      </c>
    </row>
    <row r="5" spans="1:19" x14ac:dyDescent="0.2">
      <c r="A5" t="s">
        <v>22</v>
      </c>
      <c r="B5" t="s">
        <v>118</v>
      </c>
      <c r="C5" t="s">
        <v>164</v>
      </c>
      <c r="D5" t="s">
        <v>144</v>
      </c>
      <c r="E5">
        <v>100000</v>
      </c>
      <c r="F5" t="str">
        <f t="shared" si="0"/>
        <v>Sofia  Laine</v>
      </c>
    </row>
    <row r="6" spans="1:19" x14ac:dyDescent="0.2">
      <c r="A6" t="s">
        <v>24</v>
      </c>
      <c r="B6" t="s">
        <v>119</v>
      </c>
      <c r="C6" t="s">
        <v>165</v>
      </c>
      <c r="D6" t="s">
        <v>143</v>
      </c>
      <c r="E6">
        <v>200000</v>
      </c>
      <c r="F6" t="str">
        <f t="shared" si="0"/>
        <v>Chloe  Dupont</v>
      </c>
    </row>
    <row r="7" spans="1:19" x14ac:dyDescent="0.2">
      <c r="A7" t="s">
        <v>4</v>
      </c>
      <c r="B7" t="s">
        <v>120</v>
      </c>
      <c r="C7" t="s">
        <v>166</v>
      </c>
      <c r="D7" t="s">
        <v>142</v>
      </c>
      <c r="E7">
        <v>200000</v>
      </c>
      <c r="F7" t="str">
        <f t="shared" si="0"/>
        <v>Alexander  Müller</v>
      </c>
    </row>
    <row r="8" spans="1:19" x14ac:dyDescent="0.2">
      <c r="A8" t="s">
        <v>52</v>
      </c>
      <c r="B8" t="s">
        <v>121</v>
      </c>
      <c r="C8" t="s">
        <v>167</v>
      </c>
      <c r="D8" t="s">
        <v>143</v>
      </c>
      <c r="E8">
        <v>100000</v>
      </c>
      <c r="F8" t="str">
        <f t="shared" si="0"/>
        <v>Liam  O'Sullivan</v>
      </c>
    </row>
    <row r="9" spans="1:19" x14ac:dyDescent="0.2">
      <c r="A9" t="s">
        <v>5</v>
      </c>
      <c r="B9" t="s">
        <v>122</v>
      </c>
      <c r="C9" t="s">
        <v>168</v>
      </c>
      <c r="D9" t="s">
        <v>143</v>
      </c>
      <c r="E9">
        <v>200000</v>
      </c>
      <c r="F9" t="str">
        <f t="shared" si="0"/>
        <v>Sophia  Rossi</v>
      </c>
    </row>
    <row r="10" spans="1:19" x14ac:dyDescent="0.2">
      <c r="A10" t="s">
        <v>88</v>
      </c>
      <c r="B10" t="s">
        <v>123</v>
      </c>
      <c r="C10" t="s">
        <v>169</v>
      </c>
      <c r="D10" t="s">
        <v>144</v>
      </c>
      <c r="E10">
        <v>100000</v>
      </c>
      <c r="F10" t="str">
        <f t="shared" si="0"/>
        <v>Emma  Hansen</v>
      </c>
    </row>
    <row r="11" spans="1:19" x14ac:dyDescent="0.2">
      <c r="A11" t="s">
        <v>81</v>
      </c>
      <c r="B11" t="s">
        <v>124</v>
      </c>
      <c r="C11" t="s">
        <v>170</v>
      </c>
      <c r="D11" t="s">
        <v>143</v>
      </c>
      <c r="E11">
        <v>250000</v>
      </c>
      <c r="F11" t="str">
        <f t="shared" si="0"/>
        <v>Ethan  Lee</v>
      </c>
    </row>
    <row r="12" spans="1:19" x14ac:dyDescent="0.2">
      <c r="A12" t="s">
        <v>46</v>
      </c>
      <c r="B12" t="s">
        <v>125</v>
      </c>
      <c r="C12" t="s">
        <v>171</v>
      </c>
      <c r="D12" t="s">
        <v>142</v>
      </c>
      <c r="E12">
        <v>200000</v>
      </c>
      <c r="F12" t="str">
        <f t="shared" si="0"/>
        <v>Isabella  Garcia</v>
      </c>
    </row>
    <row r="13" spans="1:19" x14ac:dyDescent="0.2">
      <c r="A13" t="s">
        <v>27</v>
      </c>
      <c r="B13" t="s">
        <v>126</v>
      </c>
      <c r="C13" t="s">
        <v>172</v>
      </c>
      <c r="D13" t="s">
        <v>142</v>
      </c>
      <c r="E13">
        <v>1000000</v>
      </c>
      <c r="F13" t="str">
        <f t="shared" si="0"/>
        <v>Noah  Meier</v>
      </c>
    </row>
    <row r="14" spans="1:19" x14ac:dyDescent="0.2">
      <c r="A14" t="s">
        <v>39</v>
      </c>
      <c r="B14" t="s">
        <v>127</v>
      </c>
      <c r="C14" t="s">
        <v>173</v>
      </c>
      <c r="D14" t="s">
        <v>146</v>
      </c>
      <c r="E14">
        <v>100000</v>
      </c>
      <c r="F14" t="str">
        <f t="shared" si="0"/>
        <v>Ava  Williams</v>
      </c>
    </row>
    <row r="15" spans="1:19" x14ac:dyDescent="0.2">
      <c r="A15" t="s">
        <v>18</v>
      </c>
      <c r="B15" t="s">
        <v>128</v>
      </c>
      <c r="C15" t="s">
        <v>174</v>
      </c>
      <c r="D15" t="s">
        <v>145</v>
      </c>
      <c r="E15">
        <v>200000</v>
      </c>
      <c r="F15" t="str">
        <f t="shared" si="0"/>
        <v>Dev  Patel</v>
      </c>
    </row>
    <row r="16" spans="1:19" x14ac:dyDescent="0.2">
      <c r="A16" t="s">
        <v>56</v>
      </c>
      <c r="B16" t="s">
        <v>129</v>
      </c>
      <c r="C16" t="s">
        <v>175</v>
      </c>
      <c r="D16" t="s">
        <v>146</v>
      </c>
      <c r="E16">
        <v>50000</v>
      </c>
      <c r="F16" t="str">
        <f t="shared" si="0"/>
        <v>Mia  Khan</v>
      </c>
    </row>
    <row r="17" spans="1:6" x14ac:dyDescent="0.2">
      <c r="A17" t="s">
        <v>55</v>
      </c>
      <c r="B17" t="s">
        <v>130</v>
      </c>
      <c r="C17" t="s">
        <v>176</v>
      </c>
      <c r="D17" t="s">
        <v>144</v>
      </c>
      <c r="E17">
        <v>100000</v>
      </c>
      <c r="F17" t="str">
        <f t="shared" si="0"/>
        <v>William  Brown</v>
      </c>
    </row>
    <row r="18" spans="1:6" x14ac:dyDescent="0.2">
      <c r="A18" t="s">
        <v>51</v>
      </c>
      <c r="B18" t="s">
        <v>131</v>
      </c>
      <c r="C18" t="s">
        <v>177</v>
      </c>
      <c r="D18" t="s">
        <v>145</v>
      </c>
      <c r="E18">
        <v>100000</v>
      </c>
      <c r="F18" t="str">
        <f t="shared" si="0"/>
        <v>Sophie  Gruber</v>
      </c>
    </row>
    <row r="19" spans="1:6" x14ac:dyDescent="0.2">
      <c r="A19" t="s">
        <v>34</v>
      </c>
      <c r="B19" t="s">
        <v>132</v>
      </c>
      <c r="C19" t="s">
        <v>178</v>
      </c>
      <c r="D19" t="s">
        <v>144</v>
      </c>
      <c r="E19">
        <v>150000</v>
      </c>
      <c r="F19" t="str">
        <f t="shared" si="0"/>
        <v>Lucas  Nielsen</v>
      </c>
    </row>
    <row r="20" spans="1:6" x14ac:dyDescent="0.2">
      <c r="A20" t="s">
        <v>72</v>
      </c>
      <c r="B20" t="s">
        <v>133</v>
      </c>
      <c r="C20" t="s">
        <v>179</v>
      </c>
      <c r="D20" t="s">
        <v>143</v>
      </c>
      <c r="E20">
        <v>150000</v>
      </c>
      <c r="F20" t="str">
        <f t="shared" si="0"/>
        <v>Aino  Virtanen</v>
      </c>
    </row>
    <row r="21" spans="1:6" x14ac:dyDescent="0.2">
      <c r="A21" t="s">
        <v>71</v>
      </c>
      <c r="B21" t="s">
        <v>134</v>
      </c>
      <c r="C21" t="s">
        <v>180</v>
      </c>
      <c r="D21" t="s">
        <v>145</v>
      </c>
      <c r="E21">
        <v>150000</v>
      </c>
      <c r="F21" t="str">
        <f t="shared" si="0"/>
        <v>Emily  Dubois</v>
      </c>
    </row>
    <row r="22" spans="1:6" x14ac:dyDescent="0.2">
      <c r="A22" t="s">
        <v>60</v>
      </c>
      <c r="B22" t="s">
        <v>135</v>
      </c>
      <c r="C22" t="s">
        <v>181</v>
      </c>
      <c r="D22" t="s">
        <v>146</v>
      </c>
      <c r="E22">
        <v>100000</v>
      </c>
      <c r="F22" t="str">
        <f t="shared" si="0"/>
        <v>Benjamin  Weber</v>
      </c>
    </row>
    <row r="23" spans="1:6" x14ac:dyDescent="0.2">
      <c r="A23" t="s">
        <v>90</v>
      </c>
      <c r="B23" t="s">
        <v>134</v>
      </c>
      <c r="C23" t="s">
        <v>182</v>
      </c>
      <c r="D23" t="s">
        <v>142</v>
      </c>
      <c r="E23">
        <v>150000</v>
      </c>
      <c r="F23" t="str">
        <f t="shared" si="0"/>
        <v>Emily  Murphy</v>
      </c>
    </row>
    <row r="24" spans="1:6" x14ac:dyDescent="0.2">
      <c r="A24" t="s">
        <v>40</v>
      </c>
      <c r="B24" t="s">
        <v>136</v>
      </c>
      <c r="C24" t="s">
        <v>183</v>
      </c>
      <c r="D24" t="s">
        <v>142</v>
      </c>
      <c r="E24">
        <v>150000</v>
      </c>
      <c r="F24" t="str">
        <f t="shared" si="0"/>
        <v>Marco  Bianchi</v>
      </c>
    </row>
    <row r="25" spans="1:6" x14ac:dyDescent="0.2">
      <c r="A25" t="s">
        <v>6</v>
      </c>
      <c r="B25" t="s">
        <v>132</v>
      </c>
      <c r="C25" t="s">
        <v>184</v>
      </c>
      <c r="D25" t="s">
        <v>144</v>
      </c>
      <c r="E25">
        <v>100000</v>
      </c>
      <c r="F25" t="str">
        <f t="shared" si="0"/>
        <v>Lucas  Olsen</v>
      </c>
    </row>
    <row r="26" spans="1:6" x14ac:dyDescent="0.2">
      <c r="A26" t="s">
        <v>43</v>
      </c>
      <c r="B26" t="s">
        <v>135</v>
      </c>
      <c r="C26" t="s">
        <v>185</v>
      </c>
      <c r="D26" t="s">
        <v>145</v>
      </c>
      <c r="E26">
        <v>1000000</v>
      </c>
      <c r="F26" t="str">
        <f t="shared" si="0"/>
        <v>Benjamin  Chen</v>
      </c>
    </row>
    <row r="27" spans="1:6" x14ac:dyDescent="0.2">
      <c r="A27" t="s">
        <v>87</v>
      </c>
      <c r="B27" t="s">
        <v>137</v>
      </c>
      <c r="C27" t="s">
        <v>186</v>
      </c>
      <c r="D27" t="s">
        <v>144</v>
      </c>
      <c r="E27">
        <v>100000</v>
      </c>
      <c r="F27" t="str">
        <f t="shared" si="0"/>
        <v>Daniela  Hernandez</v>
      </c>
    </row>
    <row r="28" spans="1:6" x14ac:dyDescent="0.2">
      <c r="A28" t="s">
        <v>70</v>
      </c>
      <c r="B28" t="s">
        <v>121</v>
      </c>
      <c r="C28" t="s">
        <v>187</v>
      </c>
      <c r="D28" t="s">
        <v>143</v>
      </c>
      <c r="E28">
        <v>100000</v>
      </c>
      <c r="F28" t="str">
        <f t="shared" si="0"/>
        <v>Liam  Baumann</v>
      </c>
    </row>
    <row r="29" spans="1:6" x14ac:dyDescent="0.2">
      <c r="A29" t="s">
        <v>66</v>
      </c>
      <c r="B29" t="s">
        <v>138</v>
      </c>
      <c r="C29" t="s">
        <v>188</v>
      </c>
      <c r="D29" t="s">
        <v>144</v>
      </c>
      <c r="E29">
        <v>150000</v>
      </c>
      <c r="F29" t="str">
        <f t="shared" si="0"/>
        <v>Charlotte  Miller</v>
      </c>
    </row>
    <row r="30" spans="1:6" x14ac:dyDescent="0.2">
      <c r="A30" t="s">
        <v>23</v>
      </c>
      <c r="B30" t="s">
        <v>139</v>
      </c>
      <c r="C30" t="s">
        <v>189</v>
      </c>
      <c r="D30" t="s">
        <v>142</v>
      </c>
      <c r="E30">
        <v>150000</v>
      </c>
      <c r="F30" t="str">
        <f t="shared" si="0"/>
        <v>Priya  Kapoor</v>
      </c>
    </row>
    <row r="31" spans="1:6" x14ac:dyDescent="0.2">
      <c r="A31" t="s">
        <v>79</v>
      </c>
      <c r="B31" t="s">
        <v>140</v>
      </c>
      <c r="C31" t="s">
        <v>190</v>
      </c>
      <c r="D31" t="s">
        <v>143</v>
      </c>
      <c r="E31">
        <v>50000</v>
      </c>
      <c r="F31" t="str">
        <f t="shared" si="0"/>
        <v>Oliver  Kumar</v>
      </c>
    </row>
    <row r="32" spans="1:6" x14ac:dyDescent="0.2">
      <c r="A32" t="s">
        <v>49</v>
      </c>
      <c r="B32" t="s">
        <v>115</v>
      </c>
      <c r="C32" t="s">
        <v>161</v>
      </c>
      <c r="D32" t="s">
        <v>146</v>
      </c>
      <c r="E32">
        <v>100000</v>
      </c>
      <c r="F32" t="str">
        <f t="shared" si="0"/>
        <v>Amelia  Johnson</v>
      </c>
    </row>
    <row r="33" spans="1:6" x14ac:dyDescent="0.2">
      <c r="A33" t="s">
        <v>25</v>
      </c>
      <c r="B33" t="s">
        <v>116</v>
      </c>
      <c r="C33" t="s">
        <v>162</v>
      </c>
      <c r="D33" t="s">
        <v>142</v>
      </c>
      <c r="E33">
        <v>100000</v>
      </c>
      <c r="F33" t="str">
        <f t="shared" si="0"/>
        <v>Lukas  Schmidt</v>
      </c>
    </row>
    <row r="34" spans="1:6" x14ac:dyDescent="0.2">
      <c r="A34" t="s">
        <v>28</v>
      </c>
      <c r="B34" t="s">
        <v>117</v>
      </c>
      <c r="C34" t="s">
        <v>163</v>
      </c>
      <c r="D34" t="s">
        <v>143</v>
      </c>
      <c r="E34">
        <v>100000</v>
      </c>
      <c r="F34" t="str">
        <f t="shared" si="0"/>
        <v>Olivia  Jensen</v>
      </c>
    </row>
    <row r="35" spans="1:6" x14ac:dyDescent="0.2">
      <c r="A35" t="s">
        <v>9</v>
      </c>
      <c r="B35" t="s">
        <v>118</v>
      </c>
      <c r="C35" t="s">
        <v>164</v>
      </c>
      <c r="D35" t="s">
        <v>144</v>
      </c>
      <c r="E35">
        <v>150000</v>
      </c>
      <c r="F35" t="str">
        <f t="shared" si="0"/>
        <v>Sofia  Laine</v>
      </c>
    </row>
    <row r="36" spans="1:6" x14ac:dyDescent="0.2">
      <c r="A36" t="s">
        <v>29</v>
      </c>
      <c r="B36" t="s">
        <v>119</v>
      </c>
      <c r="C36" t="s">
        <v>165</v>
      </c>
      <c r="D36" t="s">
        <v>143</v>
      </c>
      <c r="E36">
        <v>150000</v>
      </c>
      <c r="F36" t="str">
        <f t="shared" si="0"/>
        <v>Chloe  Dupont</v>
      </c>
    </row>
    <row r="37" spans="1:6" x14ac:dyDescent="0.2">
      <c r="A37" t="s">
        <v>61</v>
      </c>
      <c r="B37" t="s">
        <v>120</v>
      </c>
      <c r="C37" t="s">
        <v>166</v>
      </c>
      <c r="D37" t="s">
        <v>142</v>
      </c>
      <c r="E37">
        <v>80000</v>
      </c>
      <c r="F37" t="str">
        <f t="shared" si="0"/>
        <v>Alexander  Müller</v>
      </c>
    </row>
    <row r="38" spans="1:6" x14ac:dyDescent="0.2">
      <c r="A38" t="s">
        <v>13</v>
      </c>
      <c r="B38" t="s">
        <v>121</v>
      </c>
      <c r="C38" t="s">
        <v>167</v>
      </c>
      <c r="D38" t="s">
        <v>143</v>
      </c>
      <c r="E38">
        <v>150000</v>
      </c>
      <c r="F38" t="str">
        <f t="shared" si="0"/>
        <v>Liam  O'Sullivan</v>
      </c>
    </row>
    <row r="39" spans="1:6" x14ac:dyDescent="0.2">
      <c r="A39" t="s">
        <v>15</v>
      </c>
      <c r="B39" t="s">
        <v>122</v>
      </c>
      <c r="C39" t="s">
        <v>168</v>
      </c>
      <c r="D39" t="s">
        <v>143</v>
      </c>
      <c r="E39">
        <v>150000</v>
      </c>
      <c r="F39" t="str">
        <f t="shared" si="0"/>
        <v>Sophia  Rossi</v>
      </c>
    </row>
    <row r="40" spans="1:6" x14ac:dyDescent="0.2">
      <c r="A40" t="s">
        <v>68</v>
      </c>
      <c r="B40" t="s">
        <v>123</v>
      </c>
      <c r="C40" t="s">
        <v>169</v>
      </c>
      <c r="D40" t="s">
        <v>144</v>
      </c>
      <c r="E40">
        <v>100000</v>
      </c>
      <c r="F40" t="str">
        <f t="shared" si="0"/>
        <v>Emma  Hansen</v>
      </c>
    </row>
    <row r="41" spans="1:6" x14ac:dyDescent="0.2">
      <c r="A41" t="s">
        <v>95</v>
      </c>
      <c r="B41" t="s">
        <v>124</v>
      </c>
      <c r="C41" t="s">
        <v>170</v>
      </c>
      <c r="D41" t="s">
        <v>143</v>
      </c>
      <c r="E41">
        <v>30000</v>
      </c>
      <c r="F41" t="str">
        <f t="shared" si="0"/>
        <v>Ethan  Lee</v>
      </c>
    </row>
    <row r="42" spans="1:6" x14ac:dyDescent="0.2">
      <c r="A42" t="s">
        <v>19</v>
      </c>
      <c r="B42" t="s">
        <v>125</v>
      </c>
      <c r="C42" t="s">
        <v>171</v>
      </c>
      <c r="D42" t="s">
        <v>142</v>
      </c>
      <c r="E42">
        <v>150000</v>
      </c>
      <c r="F42" t="str">
        <f t="shared" si="0"/>
        <v>Isabella  Garcia</v>
      </c>
    </row>
    <row r="43" spans="1:6" x14ac:dyDescent="0.2">
      <c r="A43" t="s">
        <v>17</v>
      </c>
      <c r="B43" t="s">
        <v>126</v>
      </c>
      <c r="C43" t="s">
        <v>172</v>
      </c>
      <c r="D43" t="s">
        <v>142</v>
      </c>
      <c r="E43">
        <v>100000</v>
      </c>
      <c r="F43" t="str">
        <f t="shared" si="0"/>
        <v>Noah  Meier</v>
      </c>
    </row>
    <row r="44" spans="1:6" x14ac:dyDescent="0.2">
      <c r="A44" t="s">
        <v>20</v>
      </c>
      <c r="B44" t="s">
        <v>127</v>
      </c>
      <c r="C44" t="s">
        <v>173</v>
      </c>
      <c r="D44" t="s">
        <v>146</v>
      </c>
      <c r="E44">
        <v>150000</v>
      </c>
      <c r="F44" t="str">
        <f t="shared" si="0"/>
        <v>Ava  Williams</v>
      </c>
    </row>
    <row r="45" spans="1:6" x14ac:dyDescent="0.2">
      <c r="A45" t="s">
        <v>33</v>
      </c>
      <c r="B45" t="s">
        <v>128</v>
      </c>
      <c r="C45" t="s">
        <v>174</v>
      </c>
      <c r="D45" t="s">
        <v>145</v>
      </c>
      <c r="E45">
        <v>100000</v>
      </c>
      <c r="F45" t="str">
        <f t="shared" si="0"/>
        <v>Dev  Patel</v>
      </c>
    </row>
    <row r="46" spans="1:6" x14ac:dyDescent="0.2">
      <c r="A46" t="s">
        <v>93</v>
      </c>
      <c r="B46" t="s">
        <v>129</v>
      </c>
      <c r="C46" t="s">
        <v>175</v>
      </c>
      <c r="D46" t="s">
        <v>146</v>
      </c>
      <c r="E46">
        <v>30000</v>
      </c>
      <c r="F46" t="str">
        <f t="shared" si="0"/>
        <v>Mia  Khan</v>
      </c>
    </row>
    <row r="47" spans="1:6" x14ac:dyDescent="0.2">
      <c r="A47" t="s">
        <v>35</v>
      </c>
      <c r="B47" t="s">
        <v>130</v>
      </c>
      <c r="C47" t="s">
        <v>176</v>
      </c>
      <c r="D47" t="s">
        <v>144</v>
      </c>
      <c r="E47">
        <v>100000</v>
      </c>
      <c r="F47" t="str">
        <f t="shared" si="0"/>
        <v>William  Brown</v>
      </c>
    </row>
    <row r="48" spans="1:6" x14ac:dyDescent="0.2">
      <c r="A48" t="s">
        <v>62</v>
      </c>
      <c r="B48" t="s">
        <v>131</v>
      </c>
      <c r="C48" t="s">
        <v>177</v>
      </c>
      <c r="D48" t="s">
        <v>145</v>
      </c>
      <c r="E48">
        <v>100000</v>
      </c>
      <c r="F48" t="str">
        <f t="shared" si="0"/>
        <v>Sophie  Gruber</v>
      </c>
    </row>
    <row r="49" spans="1:6" x14ac:dyDescent="0.2">
      <c r="A49" t="s">
        <v>89</v>
      </c>
      <c r="B49" t="s">
        <v>132</v>
      </c>
      <c r="C49" t="s">
        <v>178</v>
      </c>
      <c r="D49" t="s">
        <v>144</v>
      </c>
      <c r="E49">
        <v>150000</v>
      </c>
      <c r="F49" t="str">
        <f t="shared" si="0"/>
        <v>Lucas  Nielsen</v>
      </c>
    </row>
    <row r="50" spans="1:6" x14ac:dyDescent="0.2">
      <c r="A50" t="s">
        <v>64</v>
      </c>
      <c r="B50" t="s">
        <v>133</v>
      </c>
      <c r="C50" t="s">
        <v>179</v>
      </c>
      <c r="D50" t="s">
        <v>143</v>
      </c>
      <c r="E50">
        <v>100000</v>
      </c>
      <c r="F50" t="str">
        <f t="shared" si="0"/>
        <v>Aino  Virtanen</v>
      </c>
    </row>
    <row r="51" spans="1:6" x14ac:dyDescent="0.2">
      <c r="A51" t="s">
        <v>74</v>
      </c>
      <c r="B51" t="s">
        <v>134</v>
      </c>
      <c r="C51" t="s">
        <v>180</v>
      </c>
      <c r="D51" t="s">
        <v>145</v>
      </c>
      <c r="E51">
        <v>150000</v>
      </c>
      <c r="F51" t="str">
        <f t="shared" si="0"/>
        <v>Emily  Dubois</v>
      </c>
    </row>
    <row r="52" spans="1:6" x14ac:dyDescent="0.2">
      <c r="A52" t="s">
        <v>69</v>
      </c>
      <c r="B52" t="s">
        <v>135</v>
      </c>
      <c r="C52" t="s">
        <v>181</v>
      </c>
      <c r="D52" t="s">
        <v>146</v>
      </c>
      <c r="E52">
        <v>250000</v>
      </c>
      <c r="F52" t="str">
        <f t="shared" si="0"/>
        <v>Benjamin  Weber</v>
      </c>
    </row>
    <row r="53" spans="1:6" x14ac:dyDescent="0.2">
      <c r="A53" t="s">
        <v>57</v>
      </c>
      <c r="B53" t="s">
        <v>134</v>
      </c>
      <c r="C53" t="s">
        <v>182</v>
      </c>
      <c r="D53" t="s">
        <v>142</v>
      </c>
      <c r="E53">
        <v>50000</v>
      </c>
      <c r="F53" t="str">
        <f t="shared" si="0"/>
        <v>Emily  Murphy</v>
      </c>
    </row>
    <row r="54" spans="1:6" x14ac:dyDescent="0.2">
      <c r="A54" t="s">
        <v>53</v>
      </c>
      <c r="B54" t="s">
        <v>136</v>
      </c>
      <c r="C54" t="s">
        <v>183</v>
      </c>
      <c r="D54" t="s">
        <v>142</v>
      </c>
      <c r="E54">
        <v>100000</v>
      </c>
      <c r="F54" t="str">
        <f t="shared" si="0"/>
        <v>Marco  Bianchi</v>
      </c>
    </row>
    <row r="55" spans="1:6" x14ac:dyDescent="0.2">
      <c r="A55" t="s">
        <v>44</v>
      </c>
      <c r="B55" t="s">
        <v>132</v>
      </c>
      <c r="C55" t="s">
        <v>184</v>
      </c>
      <c r="D55" t="s">
        <v>144</v>
      </c>
      <c r="E55">
        <v>150000</v>
      </c>
      <c r="F55" t="str">
        <f t="shared" si="0"/>
        <v>Lucas  Olsen</v>
      </c>
    </row>
    <row r="56" spans="1:6" x14ac:dyDescent="0.2">
      <c r="A56" t="s">
        <v>41</v>
      </c>
      <c r="B56" t="s">
        <v>135</v>
      </c>
      <c r="C56" t="s">
        <v>185</v>
      </c>
      <c r="D56" t="s">
        <v>145</v>
      </c>
      <c r="E56">
        <v>150000</v>
      </c>
      <c r="F56" t="str">
        <f t="shared" si="0"/>
        <v>Benjamin  Chen</v>
      </c>
    </row>
    <row r="57" spans="1:6" x14ac:dyDescent="0.2">
      <c r="A57" t="s">
        <v>30</v>
      </c>
      <c r="B57" t="s">
        <v>137</v>
      </c>
      <c r="C57" t="s">
        <v>186</v>
      </c>
      <c r="D57" t="s">
        <v>144</v>
      </c>
      <c r="E57">
        <v>200000</v>
      </c>
      <c r="F57" t="str">
        <f t="shared" si="0"/>
        <v>Daniela  Hernandez</v>
      </c>
    </row>
    <row r="58" spans="1:6" x14ac:dyDescent="0.2">
      <c r="A58" t="s">
        <v>12</v>
      </c>
      <c r="B58" t="s">
        <v>121</v>
      </c>
      <c r="C58" t="s">
        <v>187</v>
      </c>
      <c r="D58" t="s">
        <v>143</v>
      </c>
      <c r="E58">
        <v>150000</v>
      </c>
      <c r="F58" t="str">
        <f t="shared" si="0"/>
        <v>Liam  Baumann</v>
      </c>
    </row>
    <row r="59" spans="1:6" x14ac:dyDescent="0.2">
      <c r="A59" t="s">
        <v>54</v>
      </c>
      <c r="B59" t="s">
        <v>138</v>
      </c>
      <c r="C59" t="s">
        <v>188</v>
      </c>
      <c r="D59" t="s">
        <v>144</v>
      </c>
      <c r="E59">
        <v>100000</v>
      </c>
      <c r="F59" t="str">
        <f t="shared" si="0"/>
        <v>Charlotte  Miller</v>
      </c>
    </row>
    <row r="60" spans="1:6" x14ac:dyDescent="0.2">
      <c r="A60" t="s">
        <v>91</v>
      </c>
      <c r="B60" t="s">
        <v>139</v>
      </c>
      <c r="C60" t="s">
        <v>189</v>
      </c>
      <c r="D60" t="s">
        <v>142</v>
      </c>
      <c r="E60">
        <v>100000</v>
      </c>
      <c r="F60" t="str">
        <f t="shared" si="0"/>
        <v>Priya  Kapoor</v>
      </c>
    </row>
    <row r="61" spans="1:6" x14ac:dyDescent="0.2">
      <c r="A61" t="s">
        <v>11</v>
      </c>
      <c r="B61" t="s">
        <v>140</v>
      </c>
      <c r="C61" t="s">
        <v>190</v>
      </c>
      <c r="D61" t="s">
        <v>143</v>
      </c>
      <c r="E61">
        <v>150000</v>
      </c>
      <c r="F61" t="str">
        <f t="shared" si="0"/>
        <v>Oliver  Kumar</v>
      </c>
    </row>
    <row r="62" spans="1:6" x14ac:dyDescent="0.2">
      <c r="A62" t="s">
        <v>73</v>
      </c>
      <c r="B62" t="s">
        <v>115</v>
      </c>
      <c r="C62" t="s">
        <v>161</v>
      </c>
      <c r="D62" t="s">
        <v>146</v>
      </c>
      <c r="E62">
        <v>150000</v>
      </c>
      <c r="F62" t="str">
        <f t="shared" si="0"/>
        <v>Amelia  Johnson</v>
      </c>
    </row>
    <row r="63" spans="1:6" x14ac:dyDescent="0.2">
      <c r="A63" t="s">
        <v>76</v>
      </c>
      <c r="B63" t="s">
        <v>116</v>
      </c>
      <c r="C63" t="s">
        <v>162</v>
      </c>
      <c r="D63" t="s">
        <v>142</v>
      </c>
      <c r="E63">
        <v>80000</v>
      </c>
      <c r="F63" t="str">
        <f t="shared" si="0"/>
        <v>Lukas  Schmidt</v>
      </c>
    </row>
    <row r="64" spans="1:6" x14ac:dyDescent="0.2">
      <c r="A64" t="s">
        <v>94</v>
      </c>
      <c r="B64" t="s">
        <v>117</v>
      </c>
      <c r="C64" t="s">
        <v>163</v>
      </c>
      <c r="D64" t="s">
        <v>143</v>
      </c>
      <c r="E64">
        <v>50000</v>
      </c>
      <c r="F64" t="str">
        <f t="shared" si="0"/>
        <v>Olivia  Jensen</v>
      </c>
    </row>
    <row r="65" spans="1:6" x14ac:dyDescent="0.2">
      <c r="A65" t="s">
        <v>84</v>
      </c>
      <c r="B65" t="s">
        <v>118</v>
      </c>
      <c r="C65" t="s">
        <v>164</v>
      </c>
      <c r="D65" t="s">
        <v>144</v>
      </c>
      <c r="E65">
        <v>30000</v>
      </c>
      <c r="F65" t="str">
        <f t="shared" si="0"/>
        <v>Sofia  Laine</v>
      </c>
    </row>
    <row r="66" spans="1:6" x14ac:dyDescent="0.2">
      <c r="A66" t="s">
        <v>58</v>
      </c>
      <c r="B66" t="s">
        <v>119</v>
      </c>
      <c r="C66" t="s">
        <v>165</v>
      </c>
      <c r="D66" t="s">
        <v>143</v>
      </c>
      <c r="E66">
        <v>80000</v>
      </c>
      <c r="F66" t="str">
        <f t="shared" si="0"/>
        <v>Chloe  Dupont</v>
      </c>
    </row>
    <row r="67" spans="1:6" x14ac:dyDescent="0.2">
      <c r="A67" t="s">
        <v>45</v>
      </c>
      <c r="B67" t="s">
        <v>120</v>
      </c>
      <c r="C67" t="s">
        <v>166</v>
      </c>
      <c r="D67" t="s">
        <v>142</v>
      </c>
      <c r="E67">
        <v>100000</v>
      </c>
      <c r="F67" t="str">
        <f t="shared" ref="F67:F93" si="1">_xlfn.TEXTJOIN("  ",,B67:C67)</f>
        <v>Alexander  Müller</v>
      </c>
    </row>
    <row r="68" spans="1:6" x14ac:dyDescent="0.2">
      <c r="A68" t="s">
        <v>83</v>
      </c>
      <c r="B68" t="s">
        <v>121</v>
      </c>
      <c r="C68" t="s">
        <v>167</v>
      </c>
      <c r="D68" t="s">
        <v>143</v>
      </c>
      <c r="E68">
        <v>200000</v>
      </c>
      <c r="F68" t="str">
        <f t="shared" si="1"/>
        <v>Liam  O'Sullivan</v>
      </c>
    </row>
    <row r="69" spans="1:6" x14ac:dyDescent="0.2">
      <c r="A69" t="s">
        <v>63</v>
      </c>
      <c r="B69" t="s">
        <v>122</v>
      </c>
      <c r="C69" t="s">
        <v>168</v>
      </c>
      <c r="D69" t="s">
        <v>143</v>
      </c>
      <c r="E69">
        <v>100000</v>
      </c>
      <c r="F69" t="str">
        <f t="shared" si="1"/>
        <v>Sophia  Rossi</v>
      </c>
    </row>
    <row r="70" spans="1:6" x14ac:dyDescent="0.2">
      <c r="A70" t="s">
        <v>7</v>
      </c>
      <c r="B70" t="s">
        <v>123</v>
      </c>
      <c r="C70" t="s">
        <v>169</v>
      </c>
      <c r="D70" t="s">
        <v>144</v>
      </c>
      <c r="E70">
        <v>150000</v>
      </c>
      <c r="F70" t="str">
        <f t="shared" si="1"/>
        <v>Emma  Hansen</v>
      </c>
    </row>
    <row r="71" spans="1:6" x14ac:dyDescent="0.2">
      <c r="A71" t="s">
        <v>38</v>
      </c>
      <c r="B71" t="s">
        <v>124</v>
      </c>
      <c r="C71" t="s">
        <v>170</v>
      </c>
      <c r="D71" t="s">
        <v>143</v>
      </c>
      <c r="E71">
        <v>100000</v>
      </c>
      <c r="F71" t="str">
        <f t="shared" si="1"/>
        <v>Ethan  Lee</v>
      </c>
    </row>
    <row r="72" spans="1:6" x14ac:dyDescent="0.2">
      <c r="A72" t="s">
        <v>21</v>
      </c>
      <c r="B72" t="s">
        <v>125</v>
      </c>
      <c r="C72" t="s">
        <v>171</v>
      </c>
      <c r="D72" t="s">
        <v>142</v>
      </c>
      <c r="E72">
        <v>150000</v>
      </c>
      <c r="F72" t="str">
        <f t="shared" si="1"/>
        <v>Isabella  Garcia</v>
      </c>
    </row>
    <row r="73" spans="1:6" x14ac:dyDescent="0.2">
      <c r="A73" t="s">
        <v>82</v>
      </c>
      <c r="B73" t="s">
        <v>126</v>
      </c>
      <c r="C73" t="s">
        <v>172</v>
      </c>
      <c r="D73" t="s">
        <v>142</v>
      </c>
      <c r="E73">
        <v>100000</v>
      </c>
      <c r="F73" t="str">
        <f t="shared" si="1"/>
        <v>Noah  Meier</v>
      </c>
    </row>
    <row r="74" spans="1:6" x14ac:dyDescent="0.2">
      <c r="A74" t="s">
        <v>85</v>
      </c>
      <c r="B74" t="s">
        <v>127</v>
      </c>
      <c r="C74" t="s">
        <v>173</v>
      </c>
      <c r="D74" t="s">
        <v>146</v>
      </c>
      <c r="E74">
        <v>100000</v>
      </c>
      <c r="F74" t="str">
        <f t="shared" si="1"/>
        <v>Ava  Williams</v>
      </c>
    </row>
    <row r="75" spans="1:6" x14ac:dyDescent="0.2">
      <c r="A75" t="s">
        <v>26</v>
      </c>
      <c r="B75" t="s">
        <v>128</v>
      </c>
      <c r="C75" t="s">
        <v>174</v>
      </c>
      <c r="D75" t="s">
        <v>145</v>
      </c>
      <c r="E75">
        <v>100000</v>
      </c>
      <c r="F75" t="str">
        <f t="shared" si="1"/>
        <v>Dev  Patel</v>
      </c>
    </row>
    <row r="76" spans="1:6" x14ac:dyDescent="0.2">
      <c r="A76" t="s">
        <v>36</v>
      </c>
      <c r="B76" t="s">
        <v>129</v>
      </c>
      <c r="C76" t="s">
        <v>175</v>
      </c>
      <c r="D76" t="s">
        <v>146</v>
      </c>
      <c r="E76">
        <v>100000</v>
      </c>
      <c r="F76" t="str">
        <f t="shared" si="1"/>
        <v>Mia  Khan</v>
      </c>
    </row>
    <row r="77" spans="1:6" x14ac:dyDescent="0.2">
      <c r="A77" t="s">
        <v>42</v>
      </c>
      <c r="B77" t="s">
        <v>130</v>
      </c>
      <c r="C77" t="s">
        <v>176</v>
      </c>
      <c r="D77" t="s">
        <v>144</v>
      </c>
      <c r="E77">
        <v>100000</v>
      </c>
      <c r="F77" t="str">
        <f t="shared" si="1"/>
        <v>William  Brown</v>
      </c>
    </row>
    <row r="78" spans="1:6" x14ac:dyDescent="0.2">
      <c r="A78" t="s">
        <v>32</v>
      </c>
      <c r="B78" t="s">
        <v>131</v>
      </c>
      <c r="C78" t="s">
        <v>177</v>
      </c>
      <c r="D78" t="s">
        <v>145</v>
      </c>
      <c r="E78">
        <v>80000</v>
      </c>
      <c r="F78" t="str">
        <f t="shared" si="1"/>
        <v>Sophie  Gruber</v>
      </c>
    </row>
    <row r="79" spans="1:6" x14ac:dyDescent="0.2">
      <c r="A79" t="s">
        <v>47</v>
      </c>
      <c r="B79" t="s">
        <v>132</v>
      </c>
      <c r="C79" t="s">
        <v>178</v>
      </c>
      <c r="D79" t="s">
        <v>144</v>
      </c>
      <c r="E79">
        <v>100000</v>
      </c>
      <c r="F79" t="str">
        <f t="shared" si="1"/>
        <v>Lucas  Nielsen</v>
      </c>
    </row>
    <row r="80" spans="1:6" x14ac:dyDescent="0.2">
      <c r="A80" t="s">
        <v>50</v>
      </c>
      <c r="B80" t="s">
        <v>133</v>
      </c>
      <c r="C80" t="s">
        <v>179</v>
      </c>
      <c r="D80" t="s">
        <v>143</v>
      </c>
      <c r="E80">
        <v>30000</v>
      </c>
      <c r="F80" t="str">
        <f t="shared" si="1"/>
        <v>Aino  Virtanen</v>
      </c>
    </row>
    <row r="81" spans="1:6" x14ac:dyDescent="0.2">
      <c r="A81" t="s">
        <v>92</v>
      </c>
      <c r="B81" t="s">
        <v>134</v>
      </c>
      <c r="C81" t="s">
        <v>180</v>
      </c>
      <c r="D81" t="s">
        <v>145</v>
      </c>
      <c r="E81">
        <v>30000</v>
      </c>
      <c r="F81" t="str">
        <f t="shared" si="1"/>
        <v>Emily  Dubois</v>
      </c>
    </row>
    <row r="82" spans="1:6" x14ac:dyDescent="0.2">
      <c r="A82" t="s">
        <v>65</v>
      </c>
      <c r="B82" t="s">
        <v>135</v>
      </c>
      <c r="C82" t="s">
        <v>181</v>
      </c>
      <c r="D82" t="s">
        <v>146</v>
      </c>
      <c r="E82">
        <v>200000</v>
      </c>
      <c r="F82" t="str">
        <f t="shared" si="1"/>
        <v>Benjamin  Weber</v>
      </c>
    </row>
    <row r="83" spans="1:6" x14ac:dyDescent="0.2">
      <c r="A83" t="s">
        <v>16</v>
      </c>
      <c r="B83" t="s">
        <v>134</v>
      </c>
      <c r="C83" t="s">
        <v>182</v>
      </c>
      <c r="D83" t="s">
        <v>142</v>
      </c>
      <c r="E83">
        <v>80000</v>
      </c>
      <c r="F83" t="str">
        <f t="shared" si="1"/>
        <v>Emily  Murphy</v>
      </c>
    </row>
    <row r="84" spans="1:6" x14ac:dyDescent="0.2">
      <c r="A84" t="s">
        <v>14</v>
      </c>
      <c r="B84" t="s">
        <v>136</v>
      </c>
      <c r="C84" t="s">
        <v>183</v>
      </c>
      <c r="D84" t="s">
        <v>142</v>
      </c>
      <c r="E84">
        <v>250000</v>
      </c>
      <c r="F84" t="str">
        <f t="shared" si="1"/>
        <v>Marco  Bianchi</v>
      </c>
    </row>
    <row r="85" spans="1:6" x14ac:dyDescent="0.2">
      <c r="A85" t="s">
        <v>37</v>
      </c>
      <c r="B85" t="s">
        <v>132</v>
      </c>
      <c r="C85" t="s">
        <v>184</v>
      </c>
      <c r="D85" t="s">
        <v>144</v>
      </c>
      <c r="E85">
        <v>100000</v>
      </c>
      <c r="F85" t="str">
        <f t="shared" si="1"/>
        <v>Lucas  Olsen</v>
      </c>
    </row>
    <row r="86" spans="1:6" x14ac:dyDescent="0.2">
      <c r="A86" t="s">
        <v>10</v>
      </c>
      <c r="B86" t="s">
        <v>135</v>
      </c>
      <c r="C86" t="s">
        <v>185</v>
      </c>
      <c r="D86" t="s">
        <v>145</v>
      </c>
      <c r="E86">
        <v>150000</v>
      </c>
      <c r="F86" t="str">
        <f t="shared" si="1"/>
        <v>Benjamin  Chen</v>
      </c>
    </row>
    <row r="87" spans="1:6" x14ac:dyDescent="0.2">
      <c r="A87" t="s">
        <v>86</v>
      </c>
      <c r="B87" t="s">
        <v>137</v>
      </c>
      <c r="C87" t="s">
        <v>186</v>
      </c>
      <c r="D87" t="s">
        <v>144</v>
      </c>
      <c r="E87">
        <v>100000</v>
      </c>
      <c r="F87" t="str">
        <f t="shared" si="1"/>
        <v>Daniela  Hernandez</v>
      </c>
    </row>
    <row r="88" spans="1:6" x14ac:dyDescent="0.2">
      <c r="A88" t="s">
        <v>75</v>
      </c>
      <c r="B88" t="s">
        <v>121</v>
      </c>
      <c r="C88" t="s">
        <v>187</v>
      </c>
      <c r="D88" t="s">
        <v>143</v>
      </c>
      <c r="E88">
        <v>50000</v>
      </c>
      <c r="F88" t="str">
        <f t="shared" si="1"/>
        <v>Liam  Baumann</v>
      </c>
    </row>
    <row r="89" spans="1:6" x14ac:dyDescent="0.2">
      <c r="A89" t="s">
        <v>59</v>
      </c>
      <c r="B89" t="s">
        <v>138</v>
      </c>
      <c r="C89" t="s">
        <v>188</v>
      </c>
      <c r="D89" t="s">
        <v>144</v>
      </c>
      <c r="E89">
        <v>80000</v>
      </c>
      <c r="F89" t="str">
        <f t="shared" si="1"/>
        <v>Charlotte  Miller</v>
      </c>
    </row>
    <row r="90" spans="1:6" x14ac:dyDescent="0.2">
      <c r="A90" t="s">
        <v>67</v>
      </c>
      <c r="B90" t="s">
        <v>139</v>
      </c>
      <c r="C90" t="s">
        <v>189</v>
      </c>
      <c r="D90" t="s">
        <v>142</v>
      </c>
      <c r="E90">
        <v>100000</v>
      </c>
      <c r="F90" t="str">
        <f t="shared" si="1"/>
        <v>Priya  Kapoor</v>
      </c>
    </row>
    <row r="91" spans="1:6" x14ac:dyDescent="0.2">
      <c r="A91" t="s">
        <v>31</v>
      </c>
      <c r="B91" t="s">
        <v>140</v>
      </c>
      <c r="C91" t="s">
        <v>190</v>
      </c>
      <c r="D91" t="s">
        <v>143</v>
      </c>
      <c r="E91">
        <v>80000</v>
      </c>
      <c r="F91" t="str">
        <f t="shared" si="1"/>
        <v>Oliver  Kumar</v>
      </c>
    </row>
    <row r="92" spans="1:6" x14ac:dyDescent="0.2">
      <c r="A92" t="s">
        <v>48</v>
      </c>
      <c r="B92" t="s">
        <v>126</v>
      </c>
      <c r="C92" t="s">
        <v>172</v>
      </c>
      <c r="D92" t="s">
        <v>142</v>
      </c>
      <c r="E92">
        <v>100000</v>
      </c>
      <c r="F92" t="str">
        <f t="shared" si="1"/>
        <v>Noah  Meier</v>
      </c>
    </row>
    <row r="93" spans="1:6" x14ac:dyDescent="0.2">
      <c r="A93" t="s">
        <v>80</v>
      </c>
      <c r="B93" t="s">
        <v>127</v>
      </c>
      <c r="C93" t="s">
        <v>173</v>
      </c>
      <c r="D93" t="s">
        <v>146</v>
      </c>
      <c r="E93">
        <v>50000</v>
      </c>
      <c r="F93" t="str">
        <f t="shared" si="1"/>
        <v>Ava  Williams</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05C9E-2AF3-194B-A012-22387AABF028}">
  <dimension ref="C2:D18"/>
  <sheetViews>
    <sheetView workbookViewId="0">
      <selection activeCell="F22" sqref="F22"/>
    </sheetView>
  </sheetViews>
  <sheetFormatPr baseColWidth="10" defaultRowHeight="15" x14ac:dyDescent="0.2"/>
  <cols>
    <col min="3" max="3" width="17.83203125" bestFit="1" customWidth="1"/>
  </cols>
  <sheetData>
    <row r="2" spans="3:4" x14ac:dyDescent="0.2">
      <c r="C2" s="4" t="s">
        <v>148</v>
      </c>
      <c r="D2" t="s">
        <v>298</v>
      </c>
    </row>
    <row r="3" spans="3:4" x14ac:dyDescent="0.2">
      <c r="C3" s="4" t="s">
        <v>2</v>
      </c>
      <c r="D3" t="s">
        <v>299</v>
      </c>
    </row>
    <row r="4" spans="3:4" x14ac:dyDescent="0.2">
      <c r="C4" s="4" t="s">
        <v>114</v>
      </c>
      <c r="D4" t="s">
        <v>300</v>
      </c>
    </row>
    <row r="5" spans="3:4" x14ac:dyDescent="0.2">
      <c r="C5" s="9" t="s">
        <v>0</v>
      </c>
      <c r="D5" t="s">
        <v>301</v>
      </c>
    </row>
    <row r="6" spans="3:4" x14ac:dyDescent="0.2">
      <c r="C6" s="4" t="s">
        <v>112</v>
      </c>
      <c r="D6" t="s">
        <v>302</v>
      </c>
    </row>
    <row r="7" spans="3:4" x14ac:dyDescent="0.2">
      <c r="C7" s="4" t="s">
        <v>3</v>
      </c>
      <c r="D7" t="s">
        <v>303</v>
      </c>
    </row>
    <row r="8" spans="3:4" x14ac:dyDescent="0.2">
      <c r="C8" s="4" t="s">
        <v>1</v>
      </c>
      <c r="D8" t="s">
        <v>304</v>
      </c>
    </row>
    <row r="9" spans="3:4" x14ac:dyDescent="0.2">
      <c r="C9" s="7" t="s">
        <v>193</v>
      </c>
      <c r="D9" t="s">
        <v>300</v>
      </c>
    </row>
    <row r="10" spans="3:4" x14ac:dyDescent="0.2">
      <c r="C10" s="4" t="s">
        <v>194</v>
      </c>
    </row>
    <row r="11" spans="3:4" x14ac:dyDescent="0.2">
      <c r="C11" s="4" t="s">
        <v>294</v>
      </c>
    </row>
    <row r="12" spans="3:4" x14ac:dyDescent="0.2">
      <c r="C12" s="4" t="s">
        <v>195</v>
      </c>
    </row>
    <row r="13" spans="3:4" x14ac:dyDescent="0.2">
      <c r="C13" s="12" t="s">
        <v>141</v>
      </c>
      <c r="D13" t="s">
        <v>305</v>
      </c>
    </row>
    <row r="14" spans="3:4" x14ac:dyDescent="0.2">
      <c r="C14" s="12" t="s">
        <v>147</v>
      </c>
      <c r="D14" t="s">
        <v>306</v>
      </c>
    </row>
    <row r="15" spans="3:4" x14ac:dyDescent="0.2">
      <c r="C15" s="12" t="s">
        <v>196</v>
      </c>
      <c r="D15" t="s">
        <v>307</v>
      </c>
    </row>
    <row r="16" spans="3:4" x14ac:dyDescent="0.2">
      <c r="C16" s="12" t="s">
        <v>149</v>
      </c>
      <c r="D16" t="s">
        <v>308</v>
      </c>
    </row>
    <row r="17" spans="3:4" x14ac:dyDescent="0.2">
      <c r="C17" s="12" t="s">
        <v>150</v>
      </c>
      <c r="D17" t="s">
        <v>309</v>
      </c>
    </row>
    <row r="18" spans="3:4" x14ac:dyDescent="0.2">
      <c r="C18" s="12" t="s">
        <v>153</v>
      </c>
      <c r="D18" t="s">
        <v>310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B0545-8978-2741-A6BC-D7FB7E0EBE69}">
  <sheetPr>
    <tabColor theme="7"/>
  </sheetPr>
  <dimension ref="A1:S35"/>
  <sheetViews>
    <sheetView workbookViewId="0">
      <selection activeCell="J12" sqref="J12"/>
    </sheetView>
  </sheetViews>
  <sheetFormatPr baseColWidth="10" defaultRowHeight="15" x14ac:dyDescent="0.2"/>
  <cols>
    <col min="2" max="2" width="10.1640625" bestFit="1" customWidth="1"/>
    <col min="16" max="16" width="12.1640625" bestFit="1" customWidth="1"/>
  </cols>
  <sheetData>
    <row r="1" spans="1:19" x14ac:dyDescent="0.2">
      <c r="A1" t="s">
        <v>227</v>
      </c>
    </row>
    <row r="2" spans="1:19" x14ac:dyDescent="0.2">
      <c r="A2" t="s">
        <v>228</v>
      </c>
      <c r="C2">
        <v>1455723</v>
      </c>
    </row>
    <row r="3" spans="1:19" x14ac:dyDescent="0.2">
      <c r="A3" t="s">
        <v>229</v>
      </c>
    </row>
    <row r="4" spans="1:19" x14ac:dyDescent="0.2">
      <c r="A4" t="s">
        <v>230</v>
      </c>
    </row>
    <row r="5" spans="1:19" x14ac:dyDescent="0.2">
      <c r="A5" t="s">
        <v>231</v>
      </c>
    </row>
    <row r="11" spans="1:19" x14ac:dyDescent="0.2">
      <c r="J11" t="s">
        <v>238</v>
      </c>
      <c r="N11" t="s">
        <v>239</v>
      </c>
      <c r="P11" t="s">
        <v>244</v>
      </c>
      <c r="S11" t="s">
        <v>246</v>
      </c>
    </row>
    <row r="12" spans="1:19" x14ac:dyDescent="0.2">
      <c r="J12">
        <f>SUMIF('Orders Main data'!C2:C2501,'Orders Main data'!C3,'Orders Main data'!G2:G2501)</f>
        <v>1367737</v>
      </c>
      <c r="N12">
        <v>283</v>
      </c>
      <c r="P12">
        <f>AVERAGEIF('Orders Main data'!E2:E2501,'Orders Main data'!E3,'Orders Main data'!G2:G2501)</f>
        <v>4760.8230647709324</v>
      </c>
      <c r="S12">
        <f>COUNTIFS('Orders Main data'!I2:I2501,"&gt;=15/6/2023",'Orders Main data'!P2:P2501,"&gt; 30")</f>
        <v>1083</v>
      </c>
    </row>
    <row r="14" spans="1:19" x14ac:dyDescent="0.2">
      <c r="J14" t="s">
        <v>240</v>
      </c>
      <c r="K14" t="s">
        <v>242</v>
      </c>
      <c r="M14" t="s">
        <v>240</v>
      </c>
      <c r="N14" t="s">
        <v>243</v>
      </c>
      <c r="P14" t="s">
        <v>240</v>
      </c>
      <c r="Q14" t="s">
        <v>245</v>
      </c>
    </row>
    <row r="15" spans="1:19" x14ac:dyDescent="0.2">
      <c r="J15" t="s">
        <v>101</v>
      </c>
      <c r="K15">
        <v>974217</v>
      </c>
      <c r="M15" t="s">
        <v>101</v>
      </c>
      <c r="N15">
        <v>198</v>
      </c>
      <c r="P15" t="s">
        <v>97</v>
      </c>
      <c r="Q15">
        <v>5132.3215434083604</v>
      </c>
    </row>
    <row r="16" spans="1:19" x14ac:dyDescent="0.2">
      <c r="J16" t="s">
        <v>104</v>
      </c>
      <c r="K16">
        <v>223916</v>
      </c>
      <c r="M16" t="s">
        <v>104</v>
      </c>
      <c r="N16">
        <v>43</v>
      </c>
      <c r="P16" t="s">
        <v>96</v>
      </c>
      <c r="Q16">
        <v>4952.375</v>
      </c>
    </row>
    <row r="17" spans="2:17" x14ac:dyDescent="0.2">
      <c r="J17" t="s">
        <v>108</v>
      </c>
      <c r="K17">
        <v>307260</v>
      </c>
      <c r="M17" t="s">
        <v>108</v>
      </c>
      <c r="N17">
        <v>66</v>
      </c>
      <c r="P17" t="s">
        <v>98</v>
      </c>
      <c r="Q17">
        <v>4802.105180533752</v>
      </c>
    </row>
    <row r="18" spans="2:17" x14ac:dyDescent="0.2">
      <c r="J18" t="s">
        <v>102</v>
      </c>
      <c r="K18">
        <v>324319</v>
      </c>
      <c r="M18" t="s">
        <v>102</v>
      </c>
      <c r="N18">
        <v>66</v>
      </c>
      <c r="P18" t="s">
        <v>191</v>
      </c>
      <c r="Q18">
        <v>4760.8230647709324</v>
      </c>
    </row>
    <row r="19" spans="2:17" x14ac:dyDescent="0.2">
      <c r="J19" t="s">
        <v>100</v>
      </c>
      <c r="K19">
        <v>1645045</v>
      </c>
      <c r="M19" t="s">
        <v>100</v>
      </c>
      <c r="N19">
        <v>323</v>
      </c>
      <c r="P19" t="s">
        <v>241</v>
      </c>
      <c r="Q19">
        <v>4910.3559999999998</v>
      </c>
    </row>
    <row r="20" spans="2:17" x14ac:dyDescent="0.2">
      <c r="J20" t="s">
        <v>109</v>
      </c>
      <c r="K20">
        <v>299656</v>
      </c>
      <c r="M20" t="s">
        <v>109</v>
      </c>
      <c r="N20">
        <v>58</v>
      </c>
    </row>
    <row r="21" spans="2:17" x14ac:dyDescent="0.2">
      <c r="J21" t="s">
        <v>113</v>
      </c>
      <c r="K21">
        <v>1367737</v>
      </c>
      <c r="M21" t="s">
        <v>113</v>
      </c>
      <c r="N21">
        <v>283</v>
      </c>
    </row>
    <row r="22" spans="2:17" x14ac:dyDescent="0.2">
      <c r="J22" t="s">
        <v>111</v>
      </c>
      <c r="K22">
        <v>84378</v>
      </c>
      <c r="M22" t="s">
        <v>111</v>
      </c>
      <c r="N22">
        <v>19</v>
      </c>
    </row>
    <row r="23" spans="2:17" x14ac:dyDescent="0.2">
      <c r="J23" t="s">
        <v>107</v>
      </c>
      <c r="K23">
        <v>541659</v>
      </c>
      <c r="M23" t="s">
        <v>107</v>
      </c>
      <c r="N23">
        <v>114</v>
      </c>
    </row>
    <row r="24" spans="2:17" x14ac:dyDescent="0.2">
      <c r="J24" t="s">
        <v>103</v>
      </c>
      <c r="K24">
        <v>195229</v>
      </c>
      <c r="M24" t="s">
        <v>103</v>
      </c>
      <c r="N24">
        <v>40</v>
      </c>
    </row>
    <row r="25" spans="2:17" x14ac:dyDescent="0.2">
      <c r="J25" t="s">
        <v>106</v>
      </c>
      <c r="K25">
        <v>484344</v>
      </c>
      <c r="M25" t="s">
        <v>106</v>
      </c>
      <c r="N25">
        <v>96</v>
      </c>
    </row>
    <row r="26" spans="2:17" x14ac:dyDescent="0.2">
      <c r="J26" t="s">
        <v>105</v>
      </c>
      <c r="K26">
        <v>1378293</v>
      </c>
      <c r="M26" t="s">
        <v>105</v>
      </c>
      <c r="N26">
        <v>268</v>
      </c>
    </row>
    <row r="27" spans="2:17" x14ac:dyDescent="0.2">
      <c r="J27" t="s">
        <v>110</v>
      </c>
      <c r="K27">
        <v>165904</v>
      </c>
      <c r="M27" t="s">
        <v>110</v>
      </c>
      <c r="N27">
        <v>36</v>
      </c>
    </row>
    <row r="28" spans="2:17" x14ac:dyDescent="0.2">
      <c r="B28" t="s">
        <v>232</v>
      </c>
      <c r="C28">
        <f>QUARTILE('Orders Main data'!G2:G2501,1)</f>
        <v>2364</v>
      </c>
      <c r="E28" t="s">
        <v>232</v>
      </c>
      <c r="J28" t="s">
        <v>99</v>
      </c>
      <c r="K28">
        <v>4283933</v>
      </c>
      <c r="M28" t="s">
        <v>99</v>
      </c>
      <c r="N28">
        <v>890</v>
      </c>
    </row>
    <row r="29" spans="2:17" x14ac:dyDescent="0.2">
      <c r="B29" t="s">
        <v>233</v>
      </c>
      <c r="C29">
        <f>QUARTILE('Orders Main data'!G2:G2501,2)</f>
        <v>4737</v>
      </c>
      <c r="E29" t="s">
        <v>233</v>
      </c>
      <c r="J29" t="s">
        <v>241</v>
      </c>
      <c r="K29">
        <v>12275890</v>
      </c>
      <c r="M29" t="s">
        <v>241</v>
      </c>
      <c r="N29">
        <v>2500</v>
      </c>
    </row>
    <row r="30" spans="2:17" x14ac:dyDescent="0.2">
      <c r="B30" t="s">
        <v>234</v>
      </c>
      <c r="C30">
        <f>QUARTILE('Orders Main data'!G2:G2501,3)</f>
        <v>7439.25</v>
      </c>
      <c r="E30" t="s">
        <v>234</v>
      </c>
    </row>
    <row r="32" spans="2:17" x14ac:dyDescent="0.2">
      <c r="B32" t="s">
        <v>235</v>
      </c>
      <c r="C32">
        <f>C30-C28</f>
        <v>5075.25</v>
      </c>
      <c r="E32" t="s">
        <v>235</v>
      </c>
    </row>
    <row r="34" spans="2:5" x14ac:dyDescent="0.2">
      <c r="B34" t="s">
        <v>236</v>
      </c>
      <c r="C34">
        <f>C30+1.5*C32</f>
        <v>15052.125</v>
      </c>
      <c r="E34" t="s">
        <v>236</v>
      </c>
    </row>
    <row r="35" spans="2:5" x14ac:dyDescent="0.2">
      <c r="B35" t="s">
        <v>237</v>
      </c>
      <c r="C35">
        <f>C28-1.5*C30</f>
        <v>-8794.875</v>
      </c>
      <c r="E35" t="s">
        <v>237</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09EE0-5EFD-F142-A6C8-36A16433CB92}">
  <dimension ref="A1:V45"/>
  <sheetViews>
    <sheetView zoomScaleNormal="100" workbookViewId="0">
      <selection activeCell="I17" sqref="I17"/>
    </sheetView>
  </sheetViews>
  <sheetFormatPr baseColWidth="10" defaultRowHeight="15" x14ac:dyDescent="0.2"/>
  <cols>
    <col min="1" max="1" width="14.83203125" bestFit="1" customWidth="1"/>
    <col min="2" max="2" width="10.83203125" bestFit="1" customWidth="1"/>
    <col min="3" max="3" width="10.5" bestFit="1" customWidth="1"/>
    <col min="4" max="4" width="16" bestFit="1" customWidth="1"/>
    <col min="6" max="6" width="12.1640625" bestFit="1" customWidth="1"/>
    <col min="7" max="7" width="20.1640625" bestFit="1" customWidth="1"/>
    <col min="8" max="9" width="12.1640625" bestFit="1" customWidth="1"/>
    <col min="10" max="10" width="23.33203125" bestFit="1" customWidth="1"/>
    <col min="11" max="11" width="20.1640625" bestFit="1" customWidth="1"/>
    <col min="12" max="12" width="9.6640625" bestFit="1" customWidth="1"/>
    <col min="13" max="14" width="12.1640625" bestFit="1" customWidth="1"/>
    <col min="15" max="15" width="9.6640625" bestFit="1" customWidth="1"/>
    <col min="16" max="16" width="16" bestFit="1" customWidth="1"/>
    <col min="21" max="21" width="12.1640625" bestFit="1" customWidth="1"/>
    <col min="22" max="22" width="9.6640625" bestFit="1" customWidth="1"/>
  </cols>
  <sheetData>
    <row r="1" spans="1:22" x14ac:dyDescent="0.2">
      <c r="F1" s="4" t="s">
        <v>281</v>
      </c>
      <c r="N1" s="4" t="s">
        <v>282</v>
      </c>
      <c r="O1" s="4"/>
      <c r="P1" s="4"/>
      <c r="Q1" s="4"/>
      <c r="R1" s="4"/>
      <c r="S1" s="4"/>
      <c r="T1" s="4"/>
      <c r="U1" s="4" t="s">
        <v>283</v>
      </c>
    </row>
    <row r="2" spans="1:22" x14ac:dyDescent="0.2">
      <c r="A2" t="s">
        <v>261</v>
      </c>
      <c r="F2" t="s">
        <v>268</v>
      </c>
      <c r="N2" t="s">
        <v>296</v>
      </c>
    </row>
    <row r="3" spans="1:22" x14ac:dyDescent="0.2">
      <c r="A3" s="13" t="s">
        <v>240</v>
      </c>
      <c r="B3" t="s">
        <v>259</v>
      </c>
      <c r="C3" t="s">
        <v>260</v>
      </c>
      <c r="F3" s="13" t="s">
        <v>240</v>
      </c>
      <c r="G3" t="s">
        <v>259</v>
      </c>
      <c r="H3" t="s">
        <v>260</v>
      </c>
      <c r="N3" s="13" t="s">
        <v>240</v>
      </c>
      <c r="O3" t="s">
        <v>259</v>
      </c>
      <c r="P3" t="s">
        <v>242</v>
      </c>
      <c r="U3" s="13" t="s">
        <v>240</v>
      </c>
      <c r="V3" t="s">
        <v>259</v>
      </c>
    </row>
    <row r="4" spans="1:22" x14ac:dyDescent="0.2">
      <c r="A4" s="14" t="s">
        <v>247</v>
      </c>
      <c r="B4" s="22">
        <v>217</v>
      </c>
      <c r="C4" s="22">
        <v>4854.4285714285716</v>
      </c>
      <c r="F4" s="14" t="s">
        <v>264</v>
      </c>
      <c r="G4" s="22">
        <v>2</v>
      </c>
      <c r="H4" s="22">
        <v>6297.5</v>
      </c>
      <c r="N4" s="14" t="s">
        <v>271</v>
      </c>
      <c r="O4" s="22">
        <v>78</v>
      </c>
      <c r="P4" s="22">
        <v>381802</v>
      </c>
      <c r="U4" s="14" t="s">
        <v>97</v>
      </c>
      <c r="V4" s="22">
        <v>622</v>
      </c>
    </row>
    <row r="5" spans="1:22" x14ac:dyDescent="0.2">
      <c r="A5" s="14" t="s">
        <v>248</v>
      </c>
      <c r="B5" s="22">
        <v>220</v>
      </c>
      <c r="C5" s="22">
        <v>4979.590909090909</v>
      </c>
      <c r="F5" s="14" t="s">
        <v>267</v>
      </c>
      <c r="G5" s="22">
        <v>1005</v>
      </c>
      <c r="H5" s="22">
        <v>4984.1631840796017</v>
      </c>
      <c r="N5" s="14" t="s">
        <v>274</v>
      </c>
      <c r="O5" s="22">
        <v>318</v>
      </c>
      <c r="P5" s="22">
        <v>1548902</v>
      </c>
      <c r="U5" s="14" t="s">
        <v>96</v>
      </c>
      <c r="V5" s="22">
        <v>608</v>
      </c>
    </row>
    <row r="6" spans="1:22" x14ac:dyDescent="0.2">
      <c r="A6" s="14" t="s">
        <v>249</v>
      </c>
      <c r="B6" s="22">
        <v>197</v>
      </c>
      <c r="C6" s="22">
        <v>5166.2233502538074</v>
      </c>
      <c r="F6" s="14" t="s">
        <v>262</v>
      </c>
      <c r="G6" s="22">
        <v>629</v>
      </c>
      <c r="H6" s="22">
        <v>4969.430842607313</v>
      </c>
      <c r="N6" s="14" t="s">
        <v>277</v>
      </c>
      <c r="O6" s="22">
        <v>336</v>
      </c>
      <c r="P6" s="22">
        <v>1609293</v>
      </c>
      <c r="U6" s="14" t="s">
        <v>98</v>
      </c>
      <c r="V6" s="22">
        <v>637</v>
      </c>
    </row>
    <row r="7" spans="1:22" x14ac:dyDescent="0.2">
      <c r="A7" s="14" t="s">
        <v>250</v>
      </c>
      <c r="B7" s="22">
        <v>197</v>
      </c>
      <c r="C7" s="22">
        <v>4822.2335025380708</v>
      </c>
      <c r="F7" s="14" t="s">
        <v>265</v>
      </c>
      <c r="G7" s="22">
        <v>156</v>
      </c>
      <c r="H7" s="22">
        <v>4933.6025641025644</v>
      </c>
      <c r="N7" s="14" t="s">
        <v>273</v>
      </c>
      <c r="O7" s="22">
        <v>345</v>
      </c>
      <c r="P7" s="22">
        <v>1655399</v>
      </c>
      <c r="U7" s="14" t="s">
        <v>191</v>
      </c>
      <c r="V7" s="22">
        <v>633</v>
      </c>
    </row>
    <row r="8" spans="1:22" x14ac:dyDescent="0.2">
      <c r="A8" s="14" t="s">
        <v>251</v>
      </c>
      <c r="B8" s="22">
        <v>207</v>
      </c>
      <c r="C8" s="22">
        <v>4901.6425120772947</v>
      </c>
      <c r="F8" s="14" t="s">
        <v>266</v>
      </c>
      <c r="G8" s="22">
        <v>648</v>
      </c>
      <c r="H8" s="22">
        <v>4760.4429012345681</v>
      </c>
      <c r="N8" s="14" t="s">
        <v>275</v>
      </c>
      <c r="O8" s="22">
        <v>334</v>
      </c>
      <c r="P8" s="22">
        <v>1684094</v>
      </c>
      <c r="U8" s="14" t="s">
        <v>241</v>
      </c>
      <c r="V8" s="22">
        <v>2500</v>
      </c>
    </row>
    <row r="9" spans="1:22" x14ac:dyDescent="0.2">
      <c r="A9" s="14" t="s">
        <v>252</v>
      </c>
      <c r="B9" s="22">
        <v>213</v>
      </c>
      <c r="C9" s="22">
        <v>4926.7605633802814</v>
      </c>
      <c r="F9" s="14" t="s">
        <v>263</v>
      </c>
      <c r="G9" s="22">
        <v>60</v>
      </c>
      <c r="H9" s="22">
        <v>4567.166666666667</v>
      </c>
      <c r="N9" s="14" t="s">
        <v>278</v>
      </c>
      <c r="O9" s="22">
        <v>351</v>
      </c>
      <c r="P9" s="22">
        <v>1737911</v>
      </c>
    </row>
    <row r="10" spans="1:22" x14ac:dyDescent="0.2">
      <c r="A10" s="14" t="s">
        <v>253</v>
      </c>
      <c r="B10" s="22">
        <v>209</v>
      </c>
      <c r="C10" s="22">
        <v>4989.196172248804</v>
      </c>
      <c r="F10" s="14" t="s">
        <v>241</v>
      </c>
      <c r="G10" s="22">
        <v>2500</v>
      </c>
      <c r="H10" s="22">
        <v>4910.3559999999998</v>
      </c>
      <c r="N10" s="14" t="s">
        <v>276</v>
      </c>
      <c r="O10" s="22">
        <v>377</v>
      </c>
      <c r="P10" s="22">
        <v>1813511</v>
      </c>
    </row>
    <row r="11" spans="1:22" x14ac:dyDescent="0.2">
      <c r="A11" s="14" t="s">
        <v>254</v>
      </c>
      <c r="B11" s="22">
        <v>207</v>
      </c>
      <c r="C11" s="22">
        <v>5169.579710144928</v>
      </c>
      <c r="N11" s="14" t="s">
        <v>272</v>
      </c>
      <c r="O11" s="22">
        <v>361</v>
      </c>
      <c r="P11" s="22">
        <v>1844978</v>
      </c>
    </row>
    <row r="12" spans="1:22" x14ac:dyDescent="0.2">
      <c r="A12" s="14" t="s">
        <v>255</v>
      </c>
      <c r="B12" s="22">
        <v>195</v>
      </c>
      <c r="C12" s="22">
        <v>4759.041025641026</v>
      </c>
      <c r="N12" s="14" t="s">
        <v>241</v>
      </c>
      <c r="O12" s="22">
        <v>2500</v>
      </c>
      <c r="P12" s="22">
        <v>12275890</v>
      </c>
    </row>
    <row r="13" spans="1:22" x14ac:dyDescent="0.2">
      <c r="A13" s="14" t="s">
        <v>256</v>
      </c>
      <c r="B13" s="22">
        <v>201</v>
      </c>
      <c r="C13" s="22">
        <v>4673.4925373134329</v>
      </c>
    </row>
    <row r="14" spans="1:22" x14ac:dyDescent="0.2">
      <c r="A14" s="14" t="s">
        <v>257</v>
      </c>
      <c r="B14" s="22">
        <v>229</v>
      </c>
      <c r="C14" s="22">
        <v>5236.1091703056773</v>
      </c>
    </row>
    <row r="15" spans="1:22" x14ac:dyDescent="0.2">
      <c r="A15" s="14" t="s">
        <v>258</v>
      </c>
      <c r="B15" s="22">
        <v>208</v>
      </c>
      <c r="C15" s="22">
        <v>4403.3846153846152</v>
      </c>
    </row>
    <row r="16" spans="1:22" x14ac:dyDescent="0.2">
      <c r="A16" s="14" t="s">
        <v>241</v>
      </c>
      <c r="B16" s="22">
        <v>2500</v>
      </c>
      <c r="C16" s="22">
        <v>4910.3559999999998</v>
      </c>
    </row>
    <row r="22" spans="1:10" x14ac:dyDescent="0.2">
      <c r="A22" s="4" t="s">
        <v>285</v>
      </c>
      <c r="F22" s="4" t="s">
        <v>292</v>
      </c>
    </row>
    <row r="23" spans="1:10" x14ac:dyDescent="0.2">
      <c r="A23" t="s">
        <v>286</v>
      </c>
      <c r="F23" t="s">
        <v>293</v>
      </c>
    </row>
    <row r="24" spans="1:10" x14ac:dyDescent="0.2">
      <c r="A24" s="13" t="s">
        <v>240</v>
      </c>
      <c r="B24" t="s">
        <v>290</v>
      </c>
      <c r="C24" t="s">
        <v>289</v>
      </c>
      <c r="F24" s="13" t="s">
        <v>240</v>
      </c>
      <c r="G24" t="s">
        <v>287</v>
      </c>
      <c r="I24" s="13" t="s">
        <v>240</v>
      </c>
      <c r="J24" t="s">
        <v>288</v>
      </c>
    </row>
    <row r="25" spans="1:10" x14ac:dyDescent="0.2">
      <c r="A25" s="14" t="s">
        <v>27</v>
      </c>
      <c r="B25" s="22">
        <v>1089868</v>
      </c>
      <c r="C25" s="22">
        <v>1000000</v>
      </c>
      <c r="F25" s="14" t="s">
        <v>142</v>
      </c>
      <c r="G25">
        <v>3690000</v>
      </c>
      <c r="I25" s="14" t="s">
        <v>142</v>
      </c>
      <c r="J25" s="22">
        <v>395339.19597989949</v>
      </c>
    </row>
    <row r="26" spans="1:10" x14ac:dyDescent="0.2">
      <c r="A26" s="14" t="s">
        <v>43</v>
      </c>
      <c r="B26" s="22">
        <v>776835</v>
      </c>
      <c r="C26" s="22">
        <v>1000000</v>
      </c>
      <c r="F26" s="14" t="s">
        <v>143</v>
      </c>
      <c r="G26">
        <v>2920000</v>
      </c>
      <c r="I26" s="14" t="s">
        <v>143</v>
      </c>
      <c r="J26" s="22">
        <v>146003.75234521576</v>
      </c>
    </row>
    <row r="27" spans="1:10" x14ac:dyDescent="0.2">
      <c r="A27" s="14" t="s">
        <v>69</v>
      </c>
      <c r="B27" s="22">
        <v>171694</v>
      </c>
      <c r="C27" s="22">
        <v>250000</v>
      </c>
      <c r="F27" s="14" t="s">
        <v>145</v>
      </c>
      <c r="G27">
        <v>2310000</v>
      </c>
      <c r="I27" s="14" t="s">
        <v>145</v>
      </c>
      <c r="J27" s="22">
        <v>472118.45102505694</v>
      </c>
    </row>
    <row r="28" spans="1:10" x14ac:dyDescent="0.2">
      <c r="A28" s="14" t="s">
        <v>14</v>
      </c>
      <c r="B28" s="22">
        <v>261772</v>
      </c>
      <c r="C28" s="22">
        <v>250000</v>
      </c>
      <c r="F28" s="14" t="s">
        <v>146</v>
      </c>
      <c r="G28">
        <v>1480000</v>
      </c>
      <c r="I28" s="14" t="s">
        <v>146</v>
      </c>
      <c r="J28" s="22">
        <v>135812.27436823104</v>
      </c>
    </row>
    <row r="29" spans="1:10" x14ac:dyDescent="0.2">
      <c r="A29" s="14" t="s">
        <v>81</v>
      </c>
      <c r="B29" s="22">
        <v>261093</v>
      </c>
      <c r="C29" s="22">
        <v>250000</v>
      </c>
      <c r="F29" s="14" t="s">
        <v>144</v>
      </c>
      <c r="G29">
        <v>2410000</v>
      </c>
      <c r="I29" s="14" t="s">
        <v>144</v>
      </c>
      <c r="J29" s="22">
        <v>126087.91208791209</v>
      </c>
    </row>
    <row r="30" spans="1:10" x14ac:dyDescent="0.2">
      <c r="A30" s="14" t="s">
        <v>4</v>
      </c>
      <c r="B30" s="22">
        <v>219735</v>
      </c>
      <c r="C30" s="22">
        <v>200000</v>
      </c>
      <c r="F30" s="14" t="s">
        <v>241</v>
      </c>
      <c r="G30">
        <v>12810000</v>
      </c>
      <c r="I30" s="14" t="s">
        <v>241</v>
      </c>
      <c r="J30" s="22">
        <v>277904</v>
      </c>
    </row>
    <row r="31" spans="1:10" x14ac:dyDescent="0.2">
      <c r="A31" s="14" t="s">
        <v>18</v>
      </c>
      <c r="B31" s="22">
        <v>203887</v>
      </c>
      <c r="C31" s="22">
        <v>200000</v>
      </c>
    </row>
    <row r="32" spans="1:10" x14ac:dyDescent="0.2">
      <c r="A32" s="14" t="s">
        <v>5</v>
      </c>
      <c r="B32" s="22">
        <v>195983</v>
      </c>
      <c r="C32" s="22">
        <v>200000</v>
      </c>
    </row>
    <row r="33" spans="1:3" x14ac:dyDescent="0.2">
      <c r="A33" s="14" t="s">
        <v>46</v>
      </c>
      <c r="B33" s="22">
        <v>242439</v>
      </c>
      <c r="C33" s="22">
        <v>200000</v>
      </c>
    </row>
    <row r="34" spans="1:3" x14ac:dyDescent="0.2">
      <c r="A34" s="14" t="s">
        <v>65</v>
      </c>
      <c r="B34" s="22">
        <v>195359</v>
      </c>
      <c r="C34" s="22">
        <v>200000</v>
      </c>
    </row>
    <row r="35" spans="1:3" x14ac:dyDescent="0.2">
      <c r="A35" s="14" t="s">
        <v>30</v>
      </c>
      <c r="B35" s="22">
        <v>201398</v>
      </c>
      <c r="C35" s="22">
        <v>200000</v>
      </c>
    </row>
    <row r="36" spans="1:3" x14ac:dyDescent="0.2">
      <c r="A36" s="14" t="s">
        <v>78</v>
      </c>
      <c r="B36" s="22">
        <v>227134</v>
      </c>
      <c r="C36" s="22">
        <v>200000</v>
      </c>
    </row>
    <row r="37" spans="1:3" x14ac:dyDescent="0.2">
      <c r="A37" s="14" t="s">
        <v>8</v>
      </c>
      <c r="B37" s="22">
        <v>192740</v>
      </c>
      <c r="C37" s="22">
        <v>200000</v>
      </c>
    </row>
    <row r="38" spans="1:3" x14ac:dyDescent="0.2">
      <c r="A38" s="14" t="s">
        <v>24</v>
      </c>
      <c r="B38" s="22">
        <v>182094</v>
      </c>
      <c r="C38" s="22">
        <v>200000</v>
      </c>
    </row>
    <row r="39" spans="1:3" x14ac:dyDescent="0.2">
      <c r="A39" s="14" t="s">
        <v>44</v>
      </c>
      <c r="B39" s="22">
        <v>166573</v>
      </c>
      <c r="C39" s="22">
        <v>150000</v>
      </c>
    </row>
    <row r="40" spans="1:3" x14ac:dyDescent="0.2">
      <c r="A40" s="14" t="s">
        <v>23</v>
      </c>
      <c r="B40" s="22">
        <v>188709</v>
      </c>
      <c r="C40" s="22">
        <v>150000</v>
      </c>
    </row>
    <row r="41" spans="1:3" x14ac:dyDescent="0.2">
      <c r="A41" s="14" t="s">
        <v>90</v>
      </c>
      <c r="B41" s="22">
        <v>175816</v>
      </c>
      <c r="C41" s="22">
        <v>150000</v>
      </c>
    </row>
    <row r="42" spans="1:3" x14ac:dyDescent="0.2">
      <c r="A42" s="14" t="s">
        <v>34</v>
      </c>
      <c r="B42" s="22">
        <v>173391</v>
      </c>
      <c r="C42" s="22">
        <v>150000</v>
      </c>
    </row>
    <row r="43" spans="1:3" x14ac:dyDescent="0.2">
      <c r="A43" s="14" t="s">
        <v>74</v>
      </c>
      <c r="B43" s="22">
        <v>164789</v>
      </c>
      <c r="C43" s="22">
        <v>150000</v>
      </c>
    </row>
    <row r="44" spans="1:3" x14ac:dyDescent="0.2">
      <c r="A44" s="14" t="s">
        <v>9</v>
      </c>
      <c r="B44" s="22">
        <v>167417</v>
      </c>
      <c r="C44" s="22">
        <v>150000</v>
      </c>
    </row>
    <row r="45" spans="1:3" x14ac:dyDescent="0.2">
      <c r="A45" s="14" t="s">
        <v>241</v>
      </c>
      <c r="B45" s="22">
        <v>5458726</v>
      </c>
      <c r="C45" s="22">
        <v>1000000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CC47B-A976-6143-94BD-3B2E0DF193B6}">
  <dimension ref="D3:S68"/>
  <sheetViews>
    <sheetView zoomScale="50" zoomScaleNormal="100" workbookViewId="0">
      <selection sqref="A1:XFD1048576"/>
    </sheetView>
  </sheetViews>
  <sheetFormatPr baseColWidth="10" defaultRowHeight="15" x14ac:dyDescent="0.2"/>
  <cols>
    <col min="1" max="10" width="10.83203125" style="17"/>
    <col min="11" max="13" width="8.1640625" style="17" customWidth="1"/>
    <col min="14" max="14" width="10.83203125" style="17" customWidth="1"/>
    <col min="15" max="16384" width="10.83203125" style="17"/>
  </cols>
  <sheetData>
    <row r="3" spans="4:18" x14ac:dyDescent="0.2">
      <c r="E3" s="20" t="s">
        <v>297</v>
      </c>
      <c r="F3" s="20"/>
      <c r="G3" s="20"/>
      <c r="H3" s="20"/>
      <c r="I3" s="20"/>
      <c r="J3" s="20"/>
      <c r="K3" s="20"/>
      <c r="L3" s="20"/>
      <c r="M3" s="20"/>
      <c r="N3" s="20"/>
      <c r="O3" s="20"/>
      <c r="P3" s="20"/>
      <c r="Q3" s="20"/>
      <c r="R3" s="20"/>
    </row>
    <row r="4" spans="4:18" x14ac:dyDescent="0.2">
      <c r="E4" s="20"/>
      <c r="F4" s="20"/>
      <c r="G4" s="20"/>
      <c r="H4" s="20"/>
      <c r="I4" s="20"/>
      <c r="J4" s="20"/>
      <c r="K4" s="20"/>
      <c r="L4" s="20"/>
      <c r="M4" s="20"/>
      <c r="N4" s="20"/>
      <c r="O4" s="20"/>
      <c r="P4" s="20"/>
      <c r="Q4" s="20"/>
      <c r="R4" s="20"/>
    </row>
    <row r="5" spans="4:18" x14ac:dyDescent="0.2">
      <c r="E5" s="20"/>
      <c r="F5" s="20"/>
      <c r="G5" s="20"/>
      <c r="H5" s="20"/>
      <c r="I5" s="20"/>
      <c r="J5" s="20"/>
      <c r="K5" s="20"/>
      <c r="L5" s="20"/>
      <c r="M5" s="20"/>
      <c r="N5" s="20"/>
      <c r="O5" s="20"/>
      <c r="P5" s="20"/>
      <c r="Q5" s="20"/>
      <c r="R5" s="20"/>
    </row>
    <row r="6" spans="4:18" ht="15" customHeight="1" x14ac:dyDescent="0.2">
      <c r="D6" s="16"/>
      <c r="E6" s="20"/>
      <c r="F6" s="20"/>
      <c r="G6" s="20"/>
      <c r="H6" s="20"/>
      <c r="I6" s="20"/>
      <c r="J6" s="20"/>
      <c r="K6" s="20"/>
      <c r="L6" s="20"/>
      <c r="M6" s="20"/>
      <c r="N6" s="20"/>
      <c r="O6" s="20"/>
      <c r="P6" s="20"/>
      <c r="Q6" s="20"/>
      <c r="R6" s="20"/>
    </row>
    <row r="7" spans="4:18" ht="15" customHeight="1" x14ac:dyDescent="0.2">
      <c r="D7" s="16"/>
      <c r="E7" s="16"/>
      <c r="F7" s="16"/>
      <c r="G7" s="16"/>
      <c r="H7" s="16"/>
      <c r="I7" s="16"/>
      <c r="J7" s="16"/>
      <c r="K7" s="16"/>
      <c r="L7" s="16"/>
      <c r="M7" s="16"/>
      <c r="N7" s="16"/>
      <c r="O7" s="16"/>
      <c r="P7" s="16"/>
      <c r="Q7" s="16"/>
      <c r="R7" s="16"/>
    </row>
    <row r="8" spans="4:18" ht="15" customHeight="1" x14ac:dyDescent="0.2">
      <c r="D8" s="16"/>
      <c r="E8" s="16"/>
      <c r="F8" s="16"/>
      <c r="G8" s="16"/>
      <c r="H8" s="16"/>
      <c r="I8" s="16"/>
      <c r="J8" s="16"/>
      <c r="K8" s="16"/>
      <c r="L8" s="16"/>
      <c r="M8" s="16"/>
      <c r="N8" s="16"/>
      <c r="O8" s="16"/>
      <c r="P8" s="16"/>
      <c r="Q8" s="16"/>
      <c r="R8" s="16"/>
    </row>
    <row r="9" spans="4:18" ht="15" customHeight="1" x14ac:dyDescent="0.2">
      <c r="D9" s="16"/>
      <c r="E9" s="16"/>
      <c r="F9" s="16"/>
      <c r="G9" s="16"/>
      <c r="H9" s="16"/>
      <c r="I9" s="16"/>
      <c r="J9" s="16"/>
      <c r="K9" s="16"/>
      <c r="L9" s="16"/>
      <c r="M9" s="16"/>
      <c r="N9" s="16"/>
      <c r="O9" s="16"/>
      <c r="P9" s="16"/>
      <c r="Q9" s="16"/>
      <c r="R9" s="16"/>
    </row>
    <row r="27" spans="4:19" x14ac:dyDescent="0.2">
      <c r="D27" s="19" t="s">
        <v>280</v>
      </c>
      <c r="E27" s="19"/>
      <c r="F27" s="19"/>
      <c r="G27" s="19"/>
      <c r="H27" s="19"/>
      <c r="I27" s="19"/>
      <c r="J27" s="19"/>
      <c r="K27" s="19"/>
      <c r="L27" s="19"/>
      <c r="M27" s="19"/>
      <c r="N27" s="19"/>
      <c r="O27" s="19" t="s">
        <v>270</v>
      </c>
      <c r="P27" s="19"/>
      <c r="Q27" s="19"/>
      <c r="R27" s="19"/>
      <c r="S27" s="19"/>
    </row>
    <row r="28" spans="4:19" ht="15" customHeight="1" x14ac:dyDescent="0.2">
      <c r="D28" s="21" t="s">
        <v>279</v>
      </c>
      <c r="E28" s="21"/>
      <c r="F28" s="21"/>
      <c r="G28" s="21"/>
      <c r="H28" s="18"/>
      <c r="I28" s="18"/>
      <c r="J28" s="18"/>
      <c r="K28" s="18"/>
      <c r="L28" s="18"/>
      <c r="M28" s="18"/>
      <c r="N28" s="18"/>
      <c r="O28" s="19" t="s">
        <v>269</v>
      </c>
      <c r="P28" s="19"/>
      <c r="Q28" s="19"/>
      <c r="R28" s="19"/>
      <c r="S28" s="19"/>
    </row>
    <row r="48" spans="4:8" x14ac:dyDescent="0.2">
      <c r="D48" s="21" t="s">
        <v>284</v>
      </c>
      <c r="E48" s="21"/>
      <c r="F48" s="21"/>
      <c r="G48" s="21"/>
      <c r="H48" s="21"/>
    </row>
    <row r="68" spans="4:11" x14ac:dyDescent="0.2">
      <c r="D68" s="21" t="s">
        <v>291</v>
      </c>
      <c r="E68" s="21"/>
      <c r="F68" s="21"/>
      <c r="G68" s="21"/>
      <c r="H68" s="21"/>
      <c r="I68" s="21"/>
      <c r="J68" s="21"/>
      <c r="K68" s="21"/>
    </row>
  </sheetData>
  <mergeCells count="7">
    <mergeCell ref="O28:S28"/>
    <mergeCell ref="O27:S27"/>
    <mergeCell ref="E3:R6"/>
    <mergeCell ref="D68:K68"/>
    <mergeCell ref="D27:N27"/>
    <mergeCell ref="D28:G28"/>
    <mergeCell ref="D48:H4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Orders Main data</vt:lpstr>
      <vt:lpstr>Customers</vt:lpstr>
      <vt:lpstr>Sales Targets</vt:lpstr>
      <vt:lpstr>Data dictionary</vt:lpstr>
      <vt:lpstr>Home work</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Goyal, Ashwin</dc:creator>
  <cp:lastModifiedBy>Gauri Sitaram Angane</cp:lastModifiedBy>
  <dcterms:created xsi:type="dcterms:W3CDTF">2024-05-06T17:02:48Z</dcterms:created>
  <dcterms:modified xsi:type="dcterms:W3CDTF">2025-12-07T14:50:12Z</dcterms:modified>
</cp:coreProperties>
</file>